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4.254\Alrit共有\試合\2026年\26autumn\出番\"/>
    </mc:Choice>
  </mc:AlternateContent>
  <xr:revisionPtr revIDLastSave="0" documentId="13_ncr:1_{B87D79A5-1F60-4E1C-BB23-85BA4951EB75}" xr6:coauthVersionLast="47" xr6:coauthVersionMax="47" xr10:uidLastSave="{00000000-0000-0000-0000-000000000000}"/>
  <bookViews>
    <workbookView xWindow="19090" yWindow="-110" windowWidth="25820" windowHeight="15500" tabRatio="854" firstSheet="2" activeTab="20" xr2:uid="{00000000-000D-0000-FFFF-FFFF00000000}"/>
  </bookViews>
  <sheets>
    <sheet name="21.1" sheetId="69" state="hidden" r:id="rId1"/>
    <sheet name="21.2" sheetId="79" state="hidden" r:id="rId2"/>
    <sheet name="21_A70" sheetId="27" r:id="rId3"/>
    <sheet name="22.1" sheetId="70" state="hidden" r:id="rId4"/>
    <sheet name="22.2" sheetId="80" state="hidden" r:id="rId5"/>
    <sheet name="22_A80 " sheetId="59" r:id="rId6"/>
    <sheet name="23.1" sheetId="71" state="hidden" r:id="rId7"/>
    <sheet name="23.2" sheetId="81" state="hidden" r:id="rId8"/>
    <sheet name="23_LB" sheetId="21" r:id="rId9"/>
    <sheet name="24.1" sheetId="72" state="hidden" r:id="rId10"/>
    <sheet name="24.2" sheetId="82" state="hidden" r:id="rId11"/>
    <sheet name="24_LA" sheetId="31" r:id="rId12"/>
    <sheet name="25.1" sheetId="73" state="hidden" r:id="rId13"/>
    <sheet name="25.2" sheetId="83" state="hidden" r:id="rId14"/>
    <sheet name="25_MA" sheetId="68" r:id="rId15"/>
    <sheet name="26.1" sheetId="74" state="hidden" r:id="rId16"/>
    <sheet name="26.2" sheetId="84" state="hidden" r:id="rId17"/>
    <sheet name="26_中B" sheetId="56" r:id="rId18"/>
    <sheet name="27.1" sheetId="75" state="hidden" r:id="rId19"/>
    <sheet name="27.2" sheetId="85" state="hidden" r:id="rId20"/>
    <sheet name="27_中C" sheetId="55" r:id="rId21"/>
    <sheet name="28.1" sheetId="76" state="hidden" r:id="rId22"/>
    <sheet name="28.2" sheetId="86" state="hidden" r:id="rId23"/>
    <sheet name="28_MC" sheetId="45" r:id="rId24"/>
    <sheet name="29.1" sheetId="77" state="hidden" r:id="rId25"/>
    <sheet name="29.2" sheetId="87" state="hidden" r:id="rId26"/>
    <sheet name="29_中D" sheetId="46" r:id="rId27"/>
    <sheet name="30.1" sheetId="78" state="hidden" r:id="rId28"/>
    <sheet name="30.2" sheetId="88" state="hidden" r:id="rId29"/>
    <sheet name="30_MD" sheetId="44" r:id="rId30"/>
    <sheet name="21" sheetId="28" r:id="rId31"/>
    <sheet name="22" sheetId="57" r:id="rId32"/>
    <sheet name="23" sheetId="36" r:id="rId33"/>
    <sheet name="24" sheetId="32" r:id="rId34"/>
    <sheet name="25" sheetId="63" r:id="rId35"/>
    <sheet name="26" sheetId="54" r:id="rId36"/>
    <sheet name="27" sheetId="53" r:id="rId37"/>
    <sheet name="28" sheetId="64" r:id="rId38"/>
    <sheet name="29" sheetId="65" r:id="rId39"/>
    <sheet name="30" sheetId="66" r:id="rId40"/>
  </sheets>
  <definedNames>
    <definedName name="_xlnm._FilterDatabase" localSheetId="30" hidden="1">'21'!$A$13:$AD$13</definedName>
    <definedName name="_xlnm._FilterDatabase" localSheetId="31" hidden="1">'22'!$A$13:$AD$13</definedName>
    <definedName name="_xlnm._FilterDatabase" localSheetId="32" hidden="1">'23'!$A$13:$AD$13</definedName>
    <definedName name="_xlnm._FilterDatabase" localSheetId="33" hidden="1">'24'!$A$13:$AD$13</definedName>
    <definedName name="_xlnm._FilterDatabase" localSheetId="34" hidden="1">'25'!$A$13:$AD$13</definedName>
    <definedName name="_xlnm._FilterDatabase" localSheetId="35" hidden="1">'26'!$A$13:$AD$13</definedName>
    <definedName name="_xlnm._FilterDatabase" localSheetId="36" hidden="1">'27'!$A$13:$AD$13</definedName>
    <definedName name="_xlnm._FilterDatabase" localSheetId="37" hidden="1">'28'!$A$13:$AD$13</definedName>
    <definedName name="_xlnm._FilterDatabase" localSheetId="38" hidden="1">'29'!$A$13:$AE$13</definedName>
    <definedName name="_xlnm.Print_Area" localSheetId="2">'21_A70'!$A$1:$G$58</definedName>
    <definedName name="_xlnm.Print_Area" localSheetId="5">'22_A80 '!$A$6:$G$43</definedName>
    <definedName name="_xlnm.Print_Area" localSheetId="7">'23.2'!$A$1:$I$11</definedName>
    <definedName name="_xlnm.Print_Area" localSheetId="8">'23_LB'!$A$6:$G$48</definedName>
    <definedName name="_xlnm.Print_Area" localSheetId="10">'24.2'!$A$1:$I$11</definedName>
    <definedName name="_xlnm.Print_Area" localSheetId="11">'24_LA'!$A$1:$G$43</definedName>
    <definedName name="_xlnm.Print_Area" localSheetId="13">'25.2'!$A$1:$I$16</definedName>
    <definedName name="_xlnm.Print_Area" localSheetId="14">'25_MA'!$A$1:$G$14</definedName>
    <definedName name="_xlnm.Print_Area" localSheetId="16">'26.2'!$A$1:$I$16</definedName>
    <definedName name="_xlnm.Print_Area" localSheetId="17">'26_中B'!$A$1:$G$22</definedName>
    <definedName name="_xlnm.Print_Area" localSheetId="19">'27.2'!$A$1:$I$16</definedName>
    <definedName name="_xlnm.Print_Area" localSheetId="20">'27_中C'!$A$1:$G$25</definedName>
    <definedName name="_xlnm.Print_Area" localSheetId="22">'28.2'!$A$1:$I$11</definedName>
    <definedName name="_xlnm.Print_Area" localSheetId="23">'28_MC'!$A$1:$G$43</definedName>
    <definedName name="_xlnm.Print_Area" localSheetId="25">'29.2'!$A$1:$I$16</definedName>
    <definedName name="_xlnm.Print_Area" localSheetId="26">'29_中D'!$A$1:$G$43</definedName>
    <definedName name="_xlnm.Print_Area" localSheetId="28">'30.2'!$A$1:$I$11</definedName>
    <definedName name="_xlnm.Print_Area" localSheetId="29">'30_MD'!$A$1:$G$43</definedName>
    <definedName name="_xlnm.Print_Titles" localSheetId="30">'21'!$1:$13</definedName>
    <definedName name="_xlnm.Print_Titles" localSheetId="2">'21_A70'!$6:$13</definedName>
    <definedName name="_xlnm.Print_Titles" localSheetId="31">'22'!$1:$13</definedName>
    <definedName name="_xlnm.Print_Titles" localSheetId="5">'22_A80 '!$6:$13</definedName>
    <definedName name="_xlnm.Print_Titles" localSheetId="32">'23'!$1:$13</definedName>
    <definedName name="_xlnm.Print_Titles" localSheetId="8">'23_LB'!$6:$13</definedName>
    <definedName name="_xlnm.Print_Titles" localSheetId="33">'24'!$1:$13</definedName>
    <definedName name="_xlnm.Print_Titles" localSheetId="11">'24_LA'!$6:$13</definedName>
    <definedName name="_xlnm.Print_Titles" localSheetId="34">'25'!$1:$13</definedName>
    <definedName name="_xlnm.Print_Titles" localSheetId="14">'25_MA'!$6:$13</definedName>
    <definedName name="_xlnm.Print_Titles" localSheetId="35">'26'!$1:$13</definedName>
    <definedName name="_xlnm.Print_Titles" localSheetId="17">'26_中B'!$6:$13</definedName>
    <definedName name="_xlnm.Print_Titles" localSheetId="36">'27'!$1:$13</definedName>
    <definedName name="_xlnm.Print_Titles" localSheetId="20">'27_中C'!$6:$13</definedName>
    <definedName name="_xlnm.Print_Titles" localSheetId="37">'28'!$1:$13</definedName>
    <definedName name="_xlnm.Print_Titles" localSheetId="23">'28_MC'!$6:$13</definedName>
    <definedName name="_xlnm.Print_Titles" localSheetId="38">'29'!$1:$13</definedName>
    <definedName name="_xlnm.Print_Titles" localSheetId="26">'29_中D'!$6:$13</definedName>
    <definedName name="_xlnm.Print_Titles" localSheetId="39">'30'!$1:$13</definedName>
    <definedName name="_xlnm.Print_Titles" localSheetId="29">'30_MD'!$6:$13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27" l="1"/>
  <c r="G16" i="59"/>
  <c r="G16" i="21"/>
  <c r="G16" i="31"/>
  <c r="G16" i="68"/>
  <c r="G16" i="56"/>
  <c r="G16" i="45"/>
  <c r="G16" i="46"/>
  <c r="G16" i="44"/>
  <c r="G16" i="55"/>
  <c r="G2" i="65"/>
  <c r="D16" i="46"/>
  <c r="A15" i="56" l="1"/>
  <c r="B15" i="56"/>
  <c r="C15" i="56"/>
  <c r="D15" i="56"/>
  <c r="E15" i="56"/>
  <c r="F15" i="56"/>
  <c r="G15" i="56"/>
  <c r="A16" i="56"/>
  <c r="B16" i="56"/>
  <c r="C16" i="56"/>
  <c r="D16" i="56"/>
  <c r="E16" i="56"/>
  <c r="F16" i="56"/>
  <c r="A17" i="56"/>
  <c r="B17" i="56"/>
  <c r="C17" i="56"/>
  <c r="D17" i="56"/>
  <c r="E17" i="56"/>
  <c r="F17" i="56"/>
  <c r="G17" i="56"/>
  <c r="A18" i="56"/>
  <c r="B18" i="56"/>
  <c r="C18" i="56"/>
  <c r="D18" i="56"/>
  <c r="E18" i="56"/>
  <c r="F18" i="56"/>
  <c r="G18" i="56"/>
  <c r="A19" i="56"/>
  <c r="B19" i="56"/>
  <c r="C19" i="56"/>
  <c r="D19" i="56"/>
  <c r="E19" i="56"/>
  <c r="F19" i="56"/>
  <c r="G19" i="56"/>
  <c r="A20" i="56"/>
  <c r="B20" i="56"/>
  <c r="C20" i="56"/>
  <c r="D20" i="56"/>
  <c r="E20" i="56"/>
  <c r="F20" i="56"/>
  <c r="G20" i="56"/>
  <c r="A21" i="56"/>
  <c r="B21" i="56"/>
  <c r="C21" i="56"/>
  <c r="D21" i="56"/>
  <c r="E21" i="56"/>
  <c r="F21" i="56"/>
  <c r="G21" i="56"/>
  <c r="A22" i="56"/>
  <c r="B22" i="56"/>
  <c r="C22" i="56"/>
  <c r="D22" i="56"/>
  <c r="E22" i="56"/>
  <c r="F22" i="56"/>
  <c r="G22" i="56"/>
  <c r="A23" i="56"/>
  <c r="B23" i="56"/>
  <c r="C23" i="56"/>
  <c r="D23" i="56"/>
  <c r="E23" i="56"/>
  <c r="F23" i="56"/>
  <c r="G23" i="56"/>
  <c r="A24" i="56"/>
  <c r="B24" i="56"/>
  <c r="C24" i="56"/>
  <c r="D24" i="56"/>
  <c r="E24" i="56"/>
  <c r="F24" i="56"/>
  <c r="G24" i="56"/>
  <c r="A25" i="56"/>
  <c r="B25" i="56"/>
  <c r="C25" i="56"/>
  <c r="D25" i="56"/>
  <c r="E25" i="56"/>
  <c r="F25" i="56"/>
  <c r="G25" i="56"/>
  <c r="A26" i="56"/>
  <c r="B26" i="56"/>
  <c r="C26" i="56"/>
  <c r="D26" i="56"/>
  <c r="E26" i="56"/>
  <c r="F26" i="56"/>
  <c r="G26" i="56"/>
  <c r="A27" i="56"/>
  <c r="B27" i="56"/>
  <c r="C27" i="56"/>
  <c r="D27" i="56"/>
  <c r="E27" i="56"/>
  <c r="F27" i="56"/>
  <c r="G27" i="56"/>
  <c r="A28" i="56"/>
  <c r="B28" i="56"/>
  <c r="C28" i="56"/>
  <c r="D28" i="56"/>
  <c r="E28" i="56"/>
  <c r="F28" i="56"/>
  <c r="G28" i="56"/>
  <c r="A29" i="56"/>
  <c r="B29" i="56"/>
  <c r="C29" i="56"/>
  <c r="D29" i="56"/>
  <c r="E29" i="56"/>
  <c r="F29" i="56"/>
  <c r="G29" i="56"/>
  <c r="A30" i="56"/>
  <c r="B30" i="56"/>
  <c r="C30" i="56"/>
  <c r="D30" i="56"/>
  <c r="E30" i="56"/>
  <c r="F30" i="56"/>
  <c r="G30" i="56"/>
  <c r="A31" i="56"/>
  <c r="B31" i="56"/>
  <c r="C31" i="56"/>
  <c r="D31" i="56"/>
  <c r="E31" i="56"/>
  <c r="F31" i="56"/>
  <c r="G31" i="56"/>
  <c r="A32" i="56"/>
  <c r="B32" i="56"/>
  <c r="C32" i="56"/>
  <c r="D32" i="56"/>
  <c r="E32" i="56"/>
  <c r="F32" i="56"/>
  <c r="G32" i="56"/>
  <c r="A33" i="56"/>
  <c r="B33" i="56"/>
  <c r="C33" i="56"/>
  <c r="D33" i="56"/>
  <c r="E33" i="56"/>
  <c r="F33" i="56"/>
  <c r="G33" i="56"/>
  <c r="A34" i="56"/>
  <c r="B34" i="56"/>
  <c r="C34" i="56"/>
  <c r="D34" i="56"/>
  <c r="E34" i="56"/>
  <c r="F34" i="56"/>
  <c r="G34" i="56"/>
  <c r="A35" i="56"/>
  <c r="B35" i="56"/>
  <c r="C35" i="56"/>
  <c r="D35" i="56"/>
  <c r="E35" i="56"/>
  <c r="F35" i="56"/>
  <c r="G35" i="56"/>
  <c r="A36" i="56"/>
  <c r="B36" i="56"/>
  <c r="C36" i="56"/>
  <c r="D36" i="56"/>
  <c r="E36" i="56"/>
  <c r="F36" i="56"/>
  <c r="G36" i="56"/>
  <c r="A37" i="56"/>
  <c r="B37" i="56"/>
  <c r="C37" i="56"/>
  <c r="D37" i="56"/>
  <c r="E37" i="56"/>
  <c r="F37" i="56"/>
  <c r="G37" i="56"/>
  <c r="A38" i="56"/>
  <c r="B38" i="56"/>
  <c r="C38" i="56"/>
  <c r="D38" i="56"/>
  <c r="E38" i="56"/>
  <c r="F38" i="56"/>
  <c r="G38" i="56"/>
  <c r="A39" i="56"/>
  <c r="B39" i="56"/>
  <c r="C39" i="56"/>
  <c r="D39" i="56"/>
  <c r="E39" i="56"/>
  <c r="F39" i="56"/>
  <c r="G39" i="56"/>
  <c r="A40" i="56"/>
  <c r="B40" i="56"/>
  <c r="C40" i="56"/>
  <c r="D40" i="56"/>
  <c r="E40" i="56"/>
  <c r="F40" i="56"/>
  <c r="G40" i="56"/>
  <c r="A41" i="56"/>
  <c r="B41" i="56"/>
  <c r="C41" i="56"/>
  <c r="D41" i="56"/>
  <c r="E41" i="56"/>
  <c r="F41" i="56"/>
  <c r="G41" i="56"/>
  <c r="A42" i="56"/>
  <c r="B42" i="56"/>
  <c r="C42" i="56"/>
  <c r="D42" i="56"/>
  <c r="E42" i="56"/>
  <c r="F42" i="56"/>
  <c r="G42" i="56"/>
  <c r="A43" i="56"/>
  <c r="B43" i="56"/>
  <c r="C43" i="56"/>
  <c r="D43" i="56"/>
  <c r="E43" i="56"/>
  <c r="F43" i="56"/>
  <c r="G43" i="56"/>
  <c r="A44" i="56"/>
  <c r="B44" i="56"/>
  <c r="C44" i="56"/>
  <c r="D44" i="56"/>
  <c r="E44" i="56"/>
  <c r="F44" i="56"/>
  <c r="G44" i="56"/>
  <c r="A45" i="56"/>
  <c r="B45" i="56"/>
  <c r="C45" i="56"/>
  <c r="D45" i="56"/>
  <c r="E45" i="56"/>
  <c r="F45" i="56"/>
  <c r="G45" i="56"/>
  <c r="A46" i="56"/>
  <c r="B46" i="56"/>
  <c r="C46" i="56"/>
  <c r="D46" i="56"/>
  <c r="E46" i="56"/>
  <c r="F46" i="56"/>
  <c r="G46" i="56"/>
  <c r="A47" i="56"/>
  <c r="B47" i="56"/>
  <c r="C47" i="56"/>
  <c r="D47" i="56"/>
  <c r="E47" i="56"/>
  <c r="F47" i="56"/>
  <c r="G47" i="56"/>
  <c r="A48" i="56"/>
  <c r="B48" i="56"/>
  <c r="C48" i="56"/>
  <c r="D48" i="56"/>
  <c r="E48" i="56"/>
  <c r="F48" i="56"/>
  <c r="G48" i="56"/>
  <c r="A49" i="56"/>
  <c r="B49" i="56"/>
  <c r="C49" i="56"/>
  <c r="D49" i="56"/>
  <c r="E49" i="56"/>
  <c r="F49" i="56"/>
  <c r="G49" i="56"/>
  <c r="A50" i="56"/>
  <c r="B50" i="56"/>
  <c r="C50" i="56"/>
  <c r="D50" i="56"/>
  <c r="E50" i="56"/>
  <c r="F50" i="56"/>
  <c r="G50" i="56"/>
  <c r="A51" i="56"/>
  <c r="B51" i="56"/>
  <c r="C51" i="56"/>
  <c r="D51" i="56"/>
  <c r="E51" i="56"/>
  <c r="F51" i="56"/>
  <c r="G51" i="56"/>
  <c r="A52" i="56"/>
  <c r="B52" i="56"/>
  <c r="C52" i="56"/>
  <c r="D52" i="56"/>
  <c r="E52" i="56"/>
  <c r="F52" i="56"/>
  <c r="G52" i="56"/>
  <c r="A53" i="56"/>
  <c r="B53" i="56"/>
  <c r="C53" i="56"/>
  <c r="D53" i="56"/>
  <c r="E53" i="56"/>
  <c r="F53" i="56"/>
  <c r="G53" i="56"/>
  <c r="A54" i="56"/>
  <c r="B54" i="56"/>
  <c r="C54" i="56"/>
  <c r="D54" i="56"/>
  <c r="E54" i="56"/>
  <c r="F54" i="56"/>
  <c r="G54" i="56"/>
  <c r="A55" i="56"/>
  <c r="B55" i="56"/>
  <c r="C55" i="56"/>
  <c r="D55" i="56"/>
  <c r="E55" i="56"/>
  <c r="F55" i="56"/>
  <c r="G55" i="56"/>
  <c r="A56" i="56"/>
  <c r="B56" i="56"/>
  <c r="C56" i="56"/>
  <c r="D56" i="56"/>
  <c r="E56" i="56"/>
  <c r="F56" i="56"/>
  <c r="G56" i="56"/>
  <c r="A57" i="56"/>
  <c r="B57" i="56"/>
  <c r="C57" i="56"/>
  <c r="D57" i="56"/>
  <c r="E57" i="56"/>
  <c r="F57" i="56"/>
  <c r="G57" i="56"/>
  <c r="A58" i="56"/>
  <c r="B58" i="56"/>
  <c r="C58" i="56"/>
  <c r="D58" i="56"/>
  <c r="E58" i="56"/>
  <c r="F58" i="56"/>
  <c r="G58" i="56"/>
  <c r="C14" i="56"/>
  <c r="D14" i="56"/>
  <c r="E14" i="56"/>
  <c r="F14" i="56"/>
  <c r="G14" i="56"/>
  <c r="A59" i="56"/>
  <c r="B59" i="56"/>
  <c r="C59" i="56"/>
  <c r="D59" i="56"/>
  <c r="E59" i="56"/>
  <c r="F59" i="56"/>
  <c r="G59" i="56"/>
  <c r="A60" i="56"/>
  <c r="B60" i="56"/>
  <c r="C60" i="56"/>
  <c r="D60" i="56"/>
  <c r="E60" i="56"/>
  <c r="F60" i="56"/>
  <c r="G60" i="56"/>
  <c r="A61" i="56"/>
  <c r="B61" i="56"/>
  <c r="C61" i="56"/>
  <c r="D61" i="56"/>
  <c r="E61" i="56"/>
  <c r="F61" i="56"/>
  <c r="G61" i="56"/>
  <c r="A62" i="56"/>
  <c r="B62" i="56"/>
  <c r="C62" i="56"/>
  <c r="D62" i="56"/>
  <c r="E62" i="56"/>
  <c r="F62" i="56"/>
  <c r="G62" i="56"/>
  <c r="A63" i="56"/>
  <c r="B63" i="56"/>
  <c r="C63" i="56"/>
  <c r="D63" i="56"/>
  <c r="E63" i="56"/>
  <c r="F63" i="56"/>
  <c r="G63" i="56"/>
  <c r="A64" i="56"/>
  <c r="B64" i="56"/>
  <c r="C64" i="56"/>
  <c r="D64" i="56"/>
  <c r="E64" i="56"/>
  <c r="F64" i="56"/>
  <c r="G64" i="56"/>
  <c r="A65" i="56"/>
  <c r="B65" i="56"/>
  <c r="C65" i="56"/>
  <c r="D65" i="56"/>
  <c r="E65" i="56"/>
  <c r="F65" i="56"/>
  <c r="G65" i="56"/>
  <c r="B15" i="31" l="1"/>
  <c r="B16" i="31"/>
  <c r="B20" i="31"/>
  <c r="B25" i="31"/>
  <c r="B30" i="31"/>
  <c r="B31" i="31"/>
  <c r="D6" i="88" l="1"/>
  <c r="B6" i="88"/>
  <c r="A4" i="88"/>
  <c r="D6" i="87"/>
  <c r="B6" i="87"/>
  <c r="D6" i="86"/>
  <c r="B6" i="86"/>
  <c r="D6" i="85"/>
  <c r="D6" i="84"/>
  <c r="D6" i="83" l="1"/>
  <c r="B6" i="83"/>
  <c r="D6" i="82"/>
  <c r="B6" i="82"/>
  <c r="D6" i="81"/>
  <c r="B6" i="81"/>
  <c r="D6" i="80"/>
  <c r="D6" i="79"/>
  <c r="B6" i="80"/>
  <c r="B6" i="79"/>
  <c r="A15" i="44" l="1"/>
  <c r="B15" i="44"/>
  <c r="C15" i="44"/>
  <c r="D15" i="44"/>
  <c r="E15" i="44"/>
  <c r="F15" i="44"/>
  <c r="G15" i="44"/>
  <c r="A16" i="44"/>
  <c r="B16" i="44"/>
  <c r="C16" i="44"/>
  <c r="D16" i="44"/>
  <c r="E16" i="44"/>
  <c r="F16" i="44"/>
  <c r="A17" i="44"/>
  <c r="B17" i="44"/>
  <c r="C17" i="44"/>
  <c r="D17" i="44"/>
  <c r="E17" i="44"/>
  <c r="F17" i="44"/>
  <c r="G17" i="44"/>
  <c r="A18" i="44"/>
  <c r="B18" i="44"/>
  <c r="C18" i="44"/>
  <c r="D18" i="44"/>
  <c r="E18" i="44"/>
  <c r="F18" i="44"/>
  <c r="G18" i="44"/>
  <c r="A19" i="44"/>
  <c r="B19" i="44"/>
  <c r="C19" i="44"/>
  <c r="D19" i="44"/>
  <c r="E19" i="44"/>
  <c r="F19" i="44"/>
  <c r="G19" i="44"/>
  <c r="A20" i="44"/>
  <c r="B20" i="44"/>
  <c r="C20" i="44"/>
  <c r="D20" i="44"/>
  <c r="E20" i="44"/>
  <c r="F20" i="44"/>
  <c r="G20" i="44"/>
  <c r="A21" i="44"/>
  <c r="B21" i="44"/>
  <c r="C21" i="44"/>
  <c r="D21" i="44"/>
  <c r="E21" i="44"/>
  <c r="F21" i="44"/>
  <c r="G21" i="44"/>
  <c r="A22" i="44"/>
  <c r="B22" i="44"/>
  <c r="C22" i="44"/>
  <c r="D22" i="44"/>
  <c r="E22" i="44"/>
  <c r="F22" i="44"/>
  <c r="G22" i="44"/>
  <c r="A23" i="44"/>
  <c r="B23" i="44"/>
  <c r="C23" i="44"/>
  <c r="D23" i="44"/>
  <c r="E23" i="44"/>
  <c r="F23" i="44"/>
  <c r="G23" i="44"/>
  <c r="A24" i="44"/>
  <c r="B24" i="44"/>
  <c r="C24" i="44"/>
  <c r="D24" i="44"/>
  <c r="E24" i="44"/>
  <c r="F24" i="44"/>
  <c r="G24" i="44"/>
  <c r="A25" i="44"/>
  <c r="B25" i="44"/>
  <c r="C25" i="44"/>
  <c r="D25" i="44"/>
  <c r="E25" i="44"/>
  <c r="F25" i="44"/>
  <c r="G25" i="44"/>
  <c r="A26" i="44"/>
  <c r="B26" i="44"/>
  <c r="C26" i="44"/>
  <c r="D26" i="44"/>
  <c r="E26" i="44"/>
  <c r="F26" i="44"/>
  <c r="G26" i="44"/>
  <c r="A27" i="44"/>
  <c r="B27" i="44"/>
  <c r="C27" i="44"/>
  <c r="D27" i="44"/>
  <c r="E27" i="44"/>
  <c r="F27" i="44"/>
  <c r="G27" i="44"/>
  <c r="A28" i="44"/>
  <c r="B28" i="44"/>
  <c r="C28" i="44"/>
  <c r="D28" i="44"/>
  <c r="E28" i="44"/>
  <c r="F28" i="44"/>
  <c r="G28" i="44"/>
  <c r="A29" i="44"/>
  <c r="B29" i="44"/>
  <c r="C29" i="44"/>
  <c r="D29" i="44"/>
  <c r="E29" i="44"/>
  <c r="F29" i="44"/>
  <c r="G29" i="44"/>
  <c r="A15" i="46"/>
  <c r="B15" i="46"/>
  <c r="C15" i="46"/>
  <c r="D15" i="46"/>
  <c r="E15" i="46"/>
  <c r="F15" i="46"/>
  <c r="G15" i="46"/>
  <c r="A16" i="46"/>
  <c r="B16" i="46"/>
  <c r="C16" i="46"/>
  <c r="E16" i="46"/>
  <c r="F16" i="46"/>
  <c r="A17" i="46"/>
  <c r="B17" i="46"/>
  <c r="C17" i="46"/>
  <c r="D17" i="46"/>
  <c r="E17" i="46"/>
  <c r="F17" i="46"/>
  <c r="G17" i="46"/>
  <c r="A18" i="46"/>
  <c r="B18" i="46"/>
  <c r="C18" i="46"/>
  <c r="D18" i="46"/>
  <c r="E18" i="46"/>
  <c r="F18" i="46"/>
  <c r="G18" i="46"/>
  <c r="A19" i="46"/>
  <c r="B19" i="46"/>
  <c r="C19" i="46"/>
  <c r="D19" i="46"/>
  <c r="E19" i="46"/>
  <c r="F19" i="46"/>
  <c r="G19" i="46"/>
  <c r="A20" i="46"/>
  <c r="B20" i="46"/>
  <c r="C20" i="46"/>
  <c r="D20" i="46"/>
  <c r="E20" i="46"/>
  <c r="F20" i="46"/>
  <c r="G20" i="46"/>
  <c r="A21" i="46"/>
  <c r="B21" i="46"/>
  <c r="C21" i="46"/>
  <c r="D21" i="46"/>
  <c r="E21" i="46"/>
  <c r="F21" i="46"/>
  <c r="G21" i="46"/>
  <c r="A22" i="46"/>
  <c r="B22" i="46"/>
  <c r="C22" i="46"/>
  <c r="D22" i="46"/>
  <c r="E22" i="46"/>
  <c r="F22" i="46"/>
  <c r="G22" i="46"/>
  <c r="A23" i="46"/>
  <c r="B23" i="46"/>
  <c r="C23" i="46"/>
  <c r="D23" i="46"/>
  <c r="E23" i="46"/>
  <c r="F23" i="46"/>
  <c r="G23" i="46"/>
  <c r="A24" i="46"/>
  <c r="B24" i="46"/>
  <c r="C24" i="46"/>
  <c r="D24" i="46"/>
  <c r="E24" i="46"/>
  <c r="F24" i="46"/>
  <c r="G24" i="46"/>
  <c r="A25" i="46"/>
  <c r="B25" i="46"/>
  <c r="C25" i="46"/>
  <c r="D25" i="46"/>
  <c r="E25" i="46"/>
  <c r="F25" i="46"/>
  <c r="G25" i="46"/>
  <c r="A26" i="46"/>
  <c r="B26" i="46"/>
  <c r="C26" i="46"/>
  <c r="D26" i="46"/>
  <c r="E26" i="46"/>
  <c r="F26" i="46"/>
  <c r="G26" i="46"/>
  <c r="A27" i="46"/>
  <c r="B27" i="46"/>
  <c r="C27" i="46"/>
  <c r="D27" i="46"/>
  <c r="E27" i="46"/>
  <c r="F27" i="46"/>
  <c r="G27" i="46"/>
  <c r="A28" i="46"/>
  <c r="B28" i="46"/>
  <c r="C28" i="46"/>
  <c r="D28" i="46"/>
  <c r="E28" i="46"/>
  <c r="F28" i="46"/>
  <c r="G28" i="46"/>
  <c r="A29" i="46"/>
  <c r="B29" i="46"/>
  <c r="C29" i="46"/>
  <c r="D29" i="46"/>
  <c r="E29" i="46"/>
  <c r="F29" i="46"/>
  <c r="G29" i="46"/>
  <c r="A30" i="46"/>
  <c r="B30" i="46"/>
  <c r="C30" i="46"/>
  <c r="D30" i="46"/>
  <c r="E30" i="46"/>
  <c r="F30" i="46"/>
  <c r="G30" i="46"/>
  <c r="A31" i="46"/>
  <c r="B31" i="46"/>
  <c r="C31" i="46"/>
  <c r="D31" i="46"/>
  <c r="E31" i="46"/>
  <c r="F31" i="46"/>
  <c r="G31" i="46"/>
  <c r="A32" i="46"/>
  <c r="B32" i="46"/>
  <c r="C32" i="46"/>
  <c r="D32" i="46"/>
  <c r="E32" i="46"/>
  <c r="F32" i="46"/>
  <c r="G32" i="46"/>
  <c r="A33" i="46"/>
  <c r="B33" i="46"/>
  <c r="C33" i="46"/>
  <c r="D33" i="46"/>
  <c r="E33" i="46"/>
  <c r="F33" i="46"/>
  <c r="G33" i="46"/>
  <c r="A34" i="46"/>
  <c r="B34" i="46"/>
  <c r="C34" i="46"/>
  <c r="D34" i="46"/>
  <c r="E34" i="46"/>
  <c r="F34" i="46"/>
  <c r="G34" i="46"/>
  <c r="A35" i="46"/>
  <c r="B35" i="46"/>
  <c r="C35" i="46"/>
  <c r="D35" i="46"/>
  <c r="E35" i="46"/>
  <c r="F35" i="46"/>
  <c r="G35" i="46"/>
  <c r="A36" i="46"/>
  <c r="B36" i="46"/>
  <c r="C36" i="46"/>
  <c r="D36" i="46"/>
  <c r="E36" i="46"/>
  <c r="F36" i="46"/>
  <c r="G36" i="46"/>
  <c r="A37" i="46"/>
  <c r="B37" i="46"/>
  <c r="C37" i="46"/>
  <c r="D37" i="46"/>
  <c r="E37" i="46"/>
  <c r="F37" i="46"/>
  <c r="G37" i="46"/>
  <c r="A38" i="46"/>
  <c r="B38" i="46"/>
  <c r="C38" i="46"/>
  <c r="D38" i="46"/>
  <c r="E38" i="46"/>
  <c r="F38" i="46"/>
  <c r="G38" i="46"/>
  <c r="A39" i="46"/>
  <c r="B39" i="46"/>
  <c r="C39" i="46"/>
  <c r="D39" i="46"/>
  <c r="E39" i="46"/>
  <c r="F39" i="46"/>
  <c r="G39" i="46"/>
  <c r="A40" i="46"/>
  <c r="B40" i="46"/>
  <c r="C40" i="46"/>
  <c r="D40" i="46"/>
  <c r="E40" i="46"/>
  <c r="F40" i="46"/>
  <c r="G40" i="46"/>
  <c r="A41" i="46"/>
  <c r="B41" i="46"/>
  <c r="C41" i="46"/>
  <c r="D41" i="46"/>
  <c r="E41" i="46"/>
  <c r="F41" i="46"/>
  <c r="G41" i="46"/>
  <c r="A42" i="46"/>
  <c r="B42" i="46"/>
  <c r="C42" i="46"/>
  <c r="D42" i="46"/>
  <c r="E42" i="46"/>
  <c r="F42" i="46"/>
  <c r="G42" i="46"/>
  <c r="A43" i="46"/>
  <c r="B43" i="46"/>
  <c r="C43" i="46"/>
  <c r="D43" i="46"/>
  <c r="E43" i="46"/>
  <c r="F43" i="46"/>
  <c r="G43" i="46"/>
  <c r="A44" i="46"/>
  <c r="B44" i="46"/>
  <c r="C44" i="46"/>
  <c r="D44" i="46"/>
  <c r="E44" i="46"/>
  <c r="F44" i="46"/>
  <c r="G44" i="46"/>
  <c r="A45" i="46"/>
  <c r="B45" i="46"/>
  <c r="C45" i="46"/>
  <c r="D45" i="46"/>
  <c r="E45" i="46"/>
  <c r="F45" i="46"/>
  <c r="G45" i="46"/>
  <c r="A46" i="46"/>
  <c r="B46" i="46"/>
  <c r="C46" i="46"/>
  <c r="D46" i="46"/>
  <c r="E46" i="46"/>
  <c r="F46" i="46"/>
  <c r="G46" i="46"/>
  <c r="A47" i="46"/>
  <c r="B47" i="46"/>
  <c r="C47" i="46"/>
  <c r="D47" i="46"/>
  <c r="E47" i="46"/>
  <c r="F47" i="46"/>
  <c r="G47" i="46"/>
  <c r="A48" i="46"/>
  <c r="B48" i="46"/>
  <c r="C48" i="46"/>
  <c r="D48" i="46"/>
  <c r="E48" i="46"/>
  <c r="F48" i="46"/>
  <c r="G48" i="46"/>
  <c r="A49" i="46"/>
  <c r="B49" i="46"/>
  <c r="C49" i="46"/>
  <c r="D49" i="46"/>
  <c r="E49" i="46"/>
  <c r="F49" i="46"/>
  <c r="G49" i="46"/>
  <c r="A50" i="46"/>
  <c r="B50" i="46"/>
  <c r="C50" i="46"/>
  <c r="D50" i="46"/>
  <c r="E50" i="46"/>
  <c r="F50" i="46"/>
  <c r="G50" i="46"/>
  <c r="A51" i="46"/>
  <c r="B51" i="46"/>
  <c r="C51" i="46"/>
  <c r="D51" i="46"/>
  <c r="E51" i="46"/>
  <c r="F51" i="46"/>
  <c r="G51" i="46"/>
  <c r="A52" i="46"/>
  <c r="B52" i="46"/>
  <c r="C52" i="46"/>
  <c r="D52" i="46"/>
  <c r="E52" i="46"/>
  <c r="F52" i="46"/>
  <c r="G52" i="46"/>
  <c r="A53" i="46"/>
  <c r="B53" i="46"/>
  <c r="C53" i="46"/>
  <c r="D53" i="46"/>
  <c r="E53" i="46"/>
  <c r="F53" i="46"/>
  <c r="G53" i="46"/>
  <c r="A15" i="45"/>
  <c r="B15" i="45"/>
  <c r="C15" i="45"/>
  <c r="D15" i="45"/>
  <c r="E15" i="45"/>
  <c r="F15" i="45"/>
  <c r="G15" i="45"/>
  <c r="A16" i="45"/>
  <c r="B16" i="45"/>
  <c r="C16" i="45"/>
  <c r="D16" i="45"/>
  <c r="E16" i="45"/>
  <c r="F16" i="45"/>
  <c r="A17" i="45"/>
  <c r="B17" i="45"/>
  <c r="C17" i="45"/>
  <c r="D17" i="45"/>
  <c r="E17" i="45"/>
  <c r="F17" i="45"/>
  <c r="G17" i="45"/>
  <c r="A18" i="45"/>
  <c r="B18" i="45"/>
  <c r="C18" i="45"/>
  <c r="D18" i="45"/>
  <c r="E18" i="45"/>
  <c r="F18" i="45"/>
  <c r="G18" i="45"/>
  <c r="A19" i="45"/>
  <c r="B19" i="45"/>
  <c r="C19" i="45"/>
  <c r="D19" i="45"/>
  <c r="E19" i="45"/>
  <c r="F19" i="45"/>
  <c r="G19" i="45"/>
  <c r="A20" i="45"/>
  <c r="B20" i="45"/>
  <c r="C20" i="45"/>
  <c r="D20" i="45"/>
  <c r="E20" i="45"/>
  <c r="F20" i="45"/>
  <c r="G20" i="45"/>
  <c r="A21" i="45"/>
  <c r="B21" i="45"/>
  <c r="C21" i="45"/>
  <c r="D21" i="45"/>
  <c r="E21" i="45"/>
  <c r="F21" i="45"/>
  <c r="G21" i="45"/>
  <c r="A22" i="45"/>
  <c r="B22" i="45"/>
  <c r="C22" i="45"/>
  <c r="D22" i="45"/>
  <c r="E22" i="45"/>
  <c r="F22" i="45"/>
  <c r="G22" i="45"/>
  <c r="A23" i="45"/>
  <c r="B23" i="45"/>
  <c r="C23" i="45"/>
  <c r="D23" i="45"/>
  <c r="E23" i="45"/>
  <c r="F23" i="45"/>
  <c r="G23" i="45"/>
  <c r="A24" i="45"/>
  <c r="B24" i="45"/>
  <c r="C24" i="45"/>
  <c r="D24" i="45"/>
  <c r="E24" i="45"/>
  <c r="F24" i="45"/>
  <c r="G24" i="45"/>
  <c r="A25" i="45"/>
  <c r="B25" i="45"/>
  <c r="C25" i="45"/>
  <c r="D25" i="45"/>
  <c r="E25" i="45"/>
  <c r="F25" i="45"/>
  <c r="G25" i="45"/>
  <c r="A26" i="45"/>
  <c r="B26" i="45"/>
  <c r="C26" i="45"/>
  <c r="D26" i="45"/>
  <c r="E26" i="45"/>
  <c r="F26" i="45"/>
  <c r="G26" i="45"/>
  <c r="A27" i="45"/>
  <c r="B27" i="45"/>
  <c r="C27" i="45"/>
  <c r="D27" i="45"/>
  <c r="E27" i="45"/>
  <c r="F27" i="45"/>
  <c r="G27" i="45"/>
  <c r="A28" i="45"/>
  <c r="B28" i="45"/>
  <c r="C28" i="45"/>
  <c r="D28" i="45"/>
  <c r="E28" i="45"/>
  <c r="F28" i="45"/>
  <c r="G28" i="45"/>
  <c r="A29" i="45"/>
  <c r="B29" i="45"/>
  <c r="C29" i="45"/>
  <c r="D29" i="45"/>
  <c r="E29" i="45"/>
  <c r="F29" i="45"/>
  <c r="G29" i="45"/>
  <c r="A30" i="45"/>
  <c r="B30" i="45"/>
  <c r="C30" i="45"/>
  <c r="D30" i="45"/>
  <c r="E30" i="45"/>
  <c r="F30" i="45"/>
  <c r="G30" i="45"/>
  <c r="A31" i="45"/>
  <c r="B31" i="45"/>
  <c r="C31" i="45"/>
  <c r="D31" i="45"/>
  <c r="E31" i="45"/>
  <c r="F31" i="45"/>
  <c r="G31" i="45"/>
  <c r="A32" i="45"/>
  <c r="B32" i="45"/>
  <c r="C32" i="45"/>
  <c r="D32" i="45"/>
  <c r="E32" i="45"/>
  <c r="F32" i="45"/>
  <c r="G32" i="45"/>
  <c r="A33" i="45"/>
  <c r="B33" i="45"/>
  <c r="C33" i="45"/>
  <c r="D33" i="45"/>
  <c r="E33" i="45"/>
  <c r="F33" i="45"/>
  <c r="G33" i="45"/>
  <c r="A34" i="45"/>
  <c r="B34" i="45"/>
  <c r="C34" i="45"/>
  <c r="D34" i="45"/>
  <c r="E34" i="45"/>
  <c r="F34" i="45"/>
  <c r="G34" i="45"/>
  <c r="A35" i="45"/>
  <c r="B35" i="45"/>
  <c r="C35" i="45"/>
  <c r="D35" i="45"/>
  <c r="E35" i="45"/>
  <c r="F35" i="45"/>
  <c r="G35" i="45"/>
  <c r="A15" i="55"/>
  <c r="B15" i="55"/>
  <c r="C15" i="55"/>
  <c r="D15" i="55"/>
  <c r="E15" i="55"/>
  <c r="F15" i="55"/>
  <c r="G15" i="55"/>
  <c r="A16" i="55"/>
  <c r="B16" i="55"/>
  <c r="C16" i="55"/>
  <c r="D16" i="55"/>
  <c r="E16" i="55"/>
  <c r="F16" i="55"/>
  <c r="A17" i="55"/>
  <c r="B17" i="55"/>
  <c r="C17" i="55"/>
  <c r="D17" i="55"/>
  <c r="E17" i="55"/>
  <c r="F17" i="55"/>
  <c r="G17" i="55"/>
  <c r="A18" i="55"/>
  <c r="B18" i="55"/>
  <c r="C18" i="55"/>
  <c r="D18" i="55"/>
  <c r="E18" i="55"/>
  <c r="F18" i="55"/>
  <c r="G18" i="55"/>
  <c r="A19" i="55"/>
  <c r="B19" i="55"/>
  <c r="C19" i="55"/>
  <c r="D19" i="55"/>
  <c r="E19" i="55"/>
  <c r="F19" i="55"/>
  <c r="G19" i="55"/>
  <c r="A20" i="55"/>
  <c r="B20" i="55"/>
  <c r="C20" i="55"/>
  <c r="D20" i="55"/>
  <c r="E20" i="55"/>
  <c r="F20" i="55"/>
  <c r="G20" i="55"/>
  <c r="A21" i="55"/>
  <c r="B21" i="55"/>
  <c r="C21" i="55"/>
  <c r="D21" i="55"/>
  <c r="E21" i="55"/>
  <c r="F21" i="55"/>
  <c r="G21" i="55"/>
  <c r="A22" i="55"/>
  <c r="B22" i="55"/>
  <c r="C22" i="55"/>
  <c r="D22" i="55"/>
  <c r="E22" i="55"/>
  <c r="F22" i="55"/>
  <c r="G22" i="55"/>
  <c r="A23" i="55"/>
  <c r="B23" i="55"/>
  <c r="C23" i="55"/>
  <c r="D23" i="55"/>
  <c r="E23" i="55"/>
  <c r="F23" i="55"/>
  <c r="G23" i="55"/>
  <c r="A24" i="55"/>
  <c r="B24" i="55"/>
  <c r="C24" i="55"/>
  <c r="D24" i="55"/>
  <c r="E24" i="55"/>
  <c r="F24" i="55"/>
  <c r="G24" i="55"/>
  <c r="A25" i="55"/>
  <c r="B25" i="55"/>
  <c r="C25" i="55"/>
  <c r="D25" i="55"/>
  <c r="E25" i="55"/>
  <c r="F25" i="55"/>
  <c r="G25" i="55"/>
  <c r="A26" i="55"/>
  <c r="B26" i="55"/>
  <c r="C26" i="55"/>
  <c r="D26" i="55"/>
  <c r="E26" i="55"/>
  <c r="F26" i="55"/>
  <c r="G26" i="55"/>
  <c r="A27" i="55"/>
  <c r="B27" i="55"/>
  <c r="C27" i="55"/>
  <c r="D27" i="55"/>
  <c r="E27" i="55"/>
  <c r="F27" i="55"/>
  <c r="G27" i="55"/>
  <c r="A28" i="55"/>
  <c r="B28" i="55"/>
  <c r="C28" i="55"/>
  <c r="D28" i="55"/>
  <c r="E28" i="55"/>
  <c r="F28" i="55"/>
  <c r="G28" i="55"/>
  <c r="A29" i="55"/>
  <c r="B29" i="55"/>
  <c r="C29" i="55"/>
  <c r="D29" i="55"/>
  <c r="E29" i="55"/>
  <c r="F29" i="55"/>
  <c r="G29" i="55"/>
  <c r="A30" i="55"/>
  <c r="B30" i="55"/>
  <c r="C30" i="55"/>
  <c r="D30" i="55"/>
  <c r="E30" i="55"/>
  <c r="F30" i="55"/>
  <c r="G30" i="55"/>
  <c r="A31" i="55"/>
  <c r="B31" i="55"/>
  <c r="C31" i="55"/>
  <c r="D31" i="55"/>
  <c r="E31" i="55"/>
  <c r="F31" i="55"/>
  <c r="G31" i="55"/>
  <c r="A32" i="55"/>
  <c r="B32" i="55"/>
  <c r="C32" i="55"/>
  <c r="D32" i="55"/>
  <c r="E32" i="55"/>
  <c r="F32" i="55"/>
  <c r="G32" i="55"/>
  <c r="A33" i="55"/>
  <c r="B33" i="55"/>
  <c r="C33" i="55"/>
  <c r="D33" i="55"/>
  <c r="E33" i="55"/>
  <c r="F33" i="55"/>
  <c r="G33" i="55"/>
  <c r="A34" i="55"/>
  <c r="B34" i="55"/>
  <c r="C34" i="55"/>
  <c r="D34" i="55"/>
  <c r="E34" i="55"/>
  <c r="F34" i="55"/>
  <c r="G34" i="55"/>
  <c r="A35" i="55"/>
  <c r="B35" i="55"/>
  <c r="C35" i="55"/>
  <c r="D35" i="55"/>
  <c r="E35" i="55"/>
  <c r="F35" i="55"/>
  <c r="G35" i="55"/>
  <c r="A36" i="55"/>
  <c r="B36" i="55"/>
  <c r="C36" i="55"/>
  <c r="D36" i="55"/>
  <c r="E36" i="55"/>
  <c r="F36" i="55"/>
  <c r="G36" i="55"/>
  <c r="A37" i="55"/>
  <c r="B37" i="55"/>
  <c r="C37" i="55"/>
  <c r="D37" i="55"/>
  <c r="E37" i="55"/>
  <c r="F37" i="55"/>
  <c r="G37" i="55"/>
  <c r="A38" i="55"/>
  <c r="B38" i="55"/>
  <c r="C38" i="55"/>
  <c r="D38" i="55"/>
  <c r="E38" i="55"/>
  <c r="F38" i="55"/>
  <c r="G38" i="55"/>
  <c r="A39" i="55"/>
  <c r="B39" i="55"/>
  <c r="C39" i="55"/>
  <c r="D39" i="55"/>
  <c r="E39" i="55"/>
  <c r="F39" i="55"/>
  <c r="G39" i="55"/>
  <c r="A40" i="55"/>
  <c r="B40" i="55"/>
  <c r="C40" i="55"/>
  <c r="D40" i="55"/>
  <c r="E40" i="55"/>
  <c r="F40" i="55"/>
  <c r="G40" i="55"/>
  <c r="A41" i="55"/>
  <c r="B41" i="55"/>
  <c r="C41" i="55"/>
  <c r="D41" i="55"/>
  <c r="E41" i="55"/>
  <c r="F41" i="55"/>
  <c r="G41" i="55"/>
  <c r="A42" i="55"/>
  <c r="B42" i="55"/>
  <c r="C42" i="55"/>
  <c r="D42" i="55"/>
  <c r="E42" i="55"/>
  <c r="F42" i="55"/>
  <c r="G42" i="55"/>
  <c r="A43" i="55"/>
  <c r="B43" i="55"/>
  <c r="C43" i="55"/>
  <c r="D43" i="55"/>
  <c r="E43" i="55"/>
  <c r="F43" i="55"/>
  <c r="G43" i="55"/>
  <c r="A44" i="55"/>
  <c r="B44" i="55"/>
  <c r="C44" i="55"/>
  <c r="D44" i="55"/>
  <c r="E44" i="55"/>
  <c r="F44" i="55"/>
  <c r="G44" i="55"/>
  <c r="A45" i="55"/>
  <c r="B45" i="55"/>
  <c r="C45" i="55"/>
  <c r="D45" i="55"/>
  <c r="E45" i="55"/>
  <c r="F45" i="55"/>
  <c r="G45" i="55"/>
  <c r="A46" i="55"/>
  <c r="B46" i="55"/>
  <c r="C46" i="55"/>
  <c r="D46" i="55"/>
  <c r="E46" i="55"/>
  <c r="F46" i="55"/>
  <c r="G46" i="55"/>
  <c r="A47" i="55"/>
  <c r="B47" i="55"/>
  <c r="C47" i="55"/>
  <c r="D47" i="55"/>
  <c r="E47" i="55"/>
  <c r="F47" i="55"/>
  <c r="G47" i="55"/>
  <c r="A48" i="55"/>
  <c r="B48" i="55"/>
  <c r="C48" i="55"/>
  <c r="D48" i="55"/>
  <c r="E48" i="55"/>
  <c r="F48" i="55"/>
  <c r="G48" i="55"/>
  <c r="A49" i="55"/>
  <c r="B49" i="55"/>
  <c r="C49" i="55"/>
  <c r="D49" i="55"/>
  <c r="E49" i="55"/>
  <c r="F49" i="55"/>
  <c r="G49" i="55"/>
  <c r="A50" i="55"/>
  <c r="B50" i="55"/>
  <c r="C50" i="55"/>
  <c r="D50" i="55"/>
  <c r="E50" i="55"/>
  <c r="F50" i="55"/>
  <c r="G50" i="55"/>
  <c r="A51" i="55"/>
  <c r="B51" i="55"/>
  <c r="C51" i="55"/>
  <c r="D51" i="55"/>
  <c r="E51" i="55"/>
  <c r="F51" i="55"/>
  <c r="G51" i="55"/>
  <c r="A52" i="55"/>
  <c r="B52" i="55"/>
  <c r="C52" i="55"/>
  <c r="D52" i="55"/>
  <c r="E52" i="55"/>
  <c r="F52" i="55"/>
  <c r="G52" i="55"/>
  <c r="A53" i="55"/>
  <c r="B53" i="55"/>
  <c r="C53" i="55"/>
  <c r="D53" i="55"/>
  <c r="E53" i="55"/>
  <c r="F53" i="55"/>
  <c r="G53" i="55"/>
  <c r="A15" i="68"/>
  <c r="B15" i="68"/>
  <c r="C15" i="68"/>
  <c r="D15" i="68"/>
  <c r="E15" i="68"/>
  <c r="F15" i="68"/>
  <c r="G15" i="68"/>
  <c r="A16" i="68"/>
  <c r="B16" i="68"/>
  <c r="C16" i="68"/>
  <c r="D16" i="68"/>
  <c r="E16" i="68"/>
  <c r="F16" i="68"/>
  <c r="A17" i="68"/>
  <c r="B17" i="68"/>
  <c r="C17" i="68"/>
  <c r="D17" i="68"/>
  <c r="E17" i="68"/>
  <c r="F17" i="68"/>
  <c r="G17" i="68"/>
  <c r="A18" i="68"/>
  <c r="B18" i="68"/>
  <c r="C18" i="68"/>
  <c r="D18" i="68"/>
  <c r="E18" i="68"/>
  <c r="F18" i="68"/>
  <c r="G18" i="68"/>
  <c r="A19" i="68"/>
  <c r="B19" i="68"/>
  <c r="C19" i="68"/>
  <c r="D19" i="68"/>
  <c r="E19" i="68"/>
  <c r="F19" i="68"/>
  <c r="G19" i="68"/>
  <c r="A20" i="68"/>
  <c r="B20" i="68"/>
  <c r="C20" i="68"/>
  <c r="D20" i="68"/>
  <c r="E20" i="68"/>
  <c r="F20" i="68"/>
  <c r="G20" i="68"/>
  <c r="A21" i="68"/>
  <c r="B21" i="68"/>
  <c r="C21" i="68"/>
  <c r="D21" i="68"/>
  <c r="E21" i="68"/>
  <c r="F21" i="68"/>
  <c r="G21" i="68"/>
  <c r="A22" i="68"/>
  <c r="B22" i="68"/>
  <c r="C22" i="68"/>
  <c r="D22" i="68"/>
  <c r="E22" i="68"/>
  <c r="F22" i="68"/>
  <c r="G22" i="68"/>
  <c r="A23" i="68"/>
  <c r="B23" i="68"/>
  <c r="C23" i="68"/>
  <c r="D23" i="68"/>
  <c r="E23" i="68"/>
  <c r="F23" i="68"/>
  <c r="G23" i="68"/>
  <c r="A24" i="68"/>
  <c r="B24" i="68"/>
  <c r="C24" i="68"/>
  <c r="D24" i="68"/>
  <c r="E24" i="68"/>
  <c r="F24" i="68"/>
  <c r="G24" i="68"/>
  <c r="A25" i="68"/>
  <c r="B25" i="68"/>
  <c r="C25" i="68"/>
  <c r="D25" i="68"/>
  <c r="E25" i="68"/>
  <c r="F25" i="68"/>
  <c r="G25" i="68"/>
  <c r="A26" i="68"/>
  <c r="B26" i="68"/>
  <c r="C26" i="68"/>
  <c r="D26" i="68"/>
  <c r="E26" i="68"/>
  <c r="F26" i="68"/>
  <c r="G26" i="68"/>
  <c r="A27" i="68"/>
  <c r="B27" i="68"/>
  <c r="C27" i="68"/>
  <c r="D27" i="68"/>
  <c r="E27" i="68"/>
  <c r="F27" i="68"/>
  <c r="G27" i="68"/>
  <c r="A28" i="68"/>
  <c r="B28" i="68"/>
  <c r="C28" i="68"/>
  <c r="D28" i="68"/>
  <c r="E28" i="68"/>
  <c r="F28" i="68"/>
  <c r="G28" i="68"/>
  <c r="A29" i="68"/>
  <c r="B29" i="68"/>
  <c r="C29" i="68"/>
  <c r="D29" i="68"/>
  <c r="E29" i="68"/>
  <c r="F29" i="68"/>
  <c r="G29" i="68"/>
  <c r="A30" i="68"/>
  <c r="B30" i="68"/>
  <c r="C30" i="68"/>
  <c r="D30" i="68"/>
  <c r="E30" i="68"/>
  <c r="F30" i="68"/>
  <c r="G30" i="68"/>
  <c r="A31" i="68"/>
  <c r="B31" i="68"/>
  <c r="C31" i="68"/>
  <c r="D31" i="68"/>
  <c r="E31" i="68"/>
  <c r="F31" i="68"/>
  <c r="G31" i="68"/>
  <c r="A32" i="68"/>
  <c r="B32" i="68"/>
  <c r="C32" i="68"/>
  <c r="D32" i="68"/>
  <c r="E32" i="68"/>
  <c r="F32" i="68"/>
  <c r="G32" i="68"/>
  <c r="A33" i="68"/>
  <c r="B33" i="68"/>
  <c r="C33" i="68"/>
  <c r="D33" i="68"/>
  <c r="E33" i="68"/>
  <c r="F33" i="68"/>
  <c r="G33" i="68"/>
  <c r="A34" i="68"/>
  <c r="B34" i="68"/>
  <c r="C34" i="68"/>
  <c r="D34" i="68"/>
  <c r="E34" i="68"/>
  <c r="F34" i="68"/>
  <c r="G34" i="68"/>
  <c r="A35" i="68"/>
  <c r="B35" i="68"/>
  <c r="C35" i="68"/>
  <c r="D35" i="68"/>
  <c r="E35" i="68"/>
  <c r="F35" i="68"/>
  <c r="G35" i="68"/>
  <c r="A36" i="68"/>
  <c r="B36" i="68"/>
  <c r="C36" i="68"/>
  <c r="D36" i="68"/>
  <c r="E36" i="68"/>
  <c r="F36" i="68"/>
  <c r="G36" i="68"/>
  <c r="A37" i="68"/>
  <c r="B37" i="68"/>
  <c r="C37" i="68"/>
  <c r="D37" i="68"/>
  <c r="E37" i="68"/>
  <c r="F37" i="68"/>
  <c r="G37" i="68"/>
  <c r="A38" i="68"/>
  <c r="B38" i="68"/>
  <c r="C38" i="68"/>
  <c r="D38" i="68"/>
  <c r="E38" i="68"/>
  <c r="F38" i="68"/>
  <c r="G38" i="68"/>
  <c r="A39" i="68"/>
  <c r="B39" i="68"/>
  <c r="C39" i="68"/>
  <c r="D39" i="68"/>
  <c r="E39" i="68"/>
  <c r="F39" i="68"/>
  <c r="G39" i="68"/>
  <c r="A40" i="68"/>
  <c r="B40" i="68"/>
  <c r="C40" i="68"/>
  <c r="D40" i="68"/>
  <c r="E40" i="68"/>
  <c r="F40" i="68"/>
  <c r="G40" i="68"/>
  <c r="A41" i="68"/>
  <c r="B41" i="68"/>
  <c r="C41" i="68"/>
  <c r="D41" i="68"/>
  <c r="E41" i="68"/>
  <c r="F41" i="68"/>
  <c r="G41" i="68"/>
  <c r="A42" i="68"/>
  <c r="B42" i="68"/>
  <c r="C42" i="68"/>
  <c r="D42" i="68"/>
  <c r="E42" i="68"/>
  <c r="F42" i="68"/>
  <c r="G42" i="68"/>
  <c r="A43" i="68"/>
  <c r="B43" i="68"/>
  <c r="C43" i="68"/>
  <c r="D43" i="68"/>
  <c r="E43" i="68"/>
  <c r="F43" i="68"/>
  <c r="G43" i="68"/>
  <c r="A15" i="31"/>
  <c r="C15" i="31"/>
  <c r="D15" i="31"/>
  <c r="E15" i="31"/>
  <c r="F15" i="31"/>
  <c r="G15" i="31"/>
  <c r="A16" i="31"/>
  <c r="C16" i="31"/>
  <c r="D16" i="31"/>
  <c r="E16" i="31"/>
  <c r="F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A19" i="31"/>
  <c r="B19" i="31"/>
  <c r="C19" i="31"/>
  <c r="D19" i="31"/>
  <c r="E19" i="31"/>
  <c r="F19" i="31"/>
  <c r="G19" i="31"/>
  <c r="A20" i="31"/>
  <c r="C20" i="31"/>
  <c r="D20" i="31"/>
  <c r="E20" i="31"/>
  <c r="F20" i="31"/>
  <c r="G20" i="31"/>
  <c r="A21" i="31"/>
  <c r="B21" i="31"/>
  <c r="C21" i="31"/>
  <c r="D21" i="31"/>
  <c r="E21" i="31"/>
  <c r="F21" i="31"/>
  <c r="G21" i="31"/>
  <c r="A22" i="31"/>
  <c r="B22" i="31"/>
  <c r="C22" i="31"/>
  <c r="D22" i="31"/>
  <c r="E22" i="31"/>
  <c r="F22" i="31"/>
  <c r="G22" i="31"/>
  <c r="A23" i="31"/>
  <c r="B23" i="31"/>
  <c r="C23" i="31"/>
  <c r="D23" i="31"/>
  <c r="E23" i="31"/>
  <c r="F23" i="31"/>
  <c r="G23" i="31"/>
  <c r="A24" i="31"/>
  <c r="B24" i="31"/>
  <c r="C24" i="31"/>
  <c r="D24" i="31"/>
  <c r="E24" i="31"/>
  <c r="F24" i="31"/>
  <c r="G24" i="31"/>
  <c r="A25" i="31"/>
  <c r="C25" i="31"/>
  <c r="D25" i="31"/>
  <c r="E25" i="31"/>
  <c r="F25" i="31"/>
  <c r="G25" i="31"/>
  <c r="A26" i="31"/>
  <c r="B26" i="31"/>
  <c r="C26" i="31"/>
  <c r="D26" i="31"/>
  <c r="E26" i="31"/>
  <c r="F26" i="31"/>
  <c r="G26" i="31"/>
  <c r="A27" i="31"/>
  <c r="B27" i="31"/>
  <c r="C27" i="31"/>
  <c r="D27" i="31"/>
  <c r="E27" i="31"/>
  <c r="F27" i="31"/>
  <c r="G27" i="31"/>
  <c r="A28" i="31"/>
  <c r="B28" i="31"/>
  <c r="C28" i="31"/>
  <c r="D28" i="31"/>
  <c r="E28" i="31"/>
  <c r="F28" i="31"/>
  <c r="G28" i="31"/>
  <c r="A29" i="31"/>
  <c r="B29" i="31"/>
  <c r="C29" i="31"/>
  <c r="D29" i="31"/>
  <c r="E29" i="31"/>
  <c r="F29" i="31"/>
  <c r="G29" i="31"/>
  <c r="A30" i="31"/>
  <c r="C30" i="31"/>
  <c r="D30" i="31"/>
  <c r="E30" i="31"/>
  <c r="F30" i="31"/>
  <c r="G30" i="31"/>
  <c r="A31" i="31"/>
  <c r="C31" i="31"/>
  <c r="D31" i="31"/>
  <c r="E31" i="31"/>
  <c r="F31" i="31"/>
  <c r="G31" i="31"/>
  <c r="A32" i="31"/>
  <c r="B32" i="31"/>
  <c r="C32" i="31"/>
  <c r="D32" i="31"/>
  <c r="E32" i="31"/>
  <c r="F32" i="31"/>
  <c r="G32" i="31"/>
  <c r="A33" i="31"/>
  <c r="B33" i="31"/>
  <c r="C33" i="31"/>
  <c r="D33" i="31"/>
  <c r="E33" i="31"/>
  <c r="F33" i="31"/>
  <c r="G33" i="31"/>
  <c r="A34" i="31"/>
  <c r="B34" i="31"/>
  <c r="C34" i="31"/>
  <c r="D34" i="31"/>
  <c r="E34" i="31"/>
  <c r="F34" i="31"/>
  <c r="G34" i="31"/>
  <c r="A35" i="31"/>
  <c r="B35" i="31"/>
  <c r="C35" i="31"/>
  <c r="D35" i="31"/>
  <c r="E35" i="31"/>
  <c r="F35" i="31"/>
  <c r="G35" i="31"/>
  <c r="A36" i="31"/>
  <c r="B36" i="31"/>
  <c r="C36" i="31"/>
  <c r="D36" i="31"/>
  <c r="E36" i="31"/>
  <c r="F36" i="31"/>
  <c r="G36" i="31"/>
  <c r="A37" i="31"/>
  <c r="B37" i="31"/>
  <c r="C37" i="31"/>
  <c r="D37" i="31"/>
  <c r="E37" i="31"/>
  <c r="F37" i="31"/>
  <c r="G37" i="31"/>
  <c r="A38" i="31"/>
  <c r="B38" i="31"/>
  <c r="C38" i="31"/>
  <c r="D38" i="31"/>
  <c r="E38" i="31"/>
  <c r="F38" i="31"/>
  <c r="G38" i="31"/>
  <c r="A39" i="31"/>
  <c r="B39" i="31"/>
  <c r="C39" i="31"/>
  <c r="D39" i="31"/>
  <c r="E39" i="31"/>
  <c r="F39" i="31"/>
  <c r="G39" i="31"/>
  <c r="A40" i="31"/>
  <c r="B40" i="31"/>
  <c r="C40" i="31"/>
  <c r="D40" i="31"/>
  <c r="E40" i="31"/>
  <c r="F40" i="31"/>
  <c r="G40" i="31"/>
  <c r="A41" i="31"/>
  <c r="B41" i="31"/>
  <c r="C41" i="31"/>
  <c r="D41" i="31"/>
  <c r="E41" i="31"/>
  <c r="F41" i="31"/>
  <c r="G41" i="31"/>
  <c r="A42" i="31"/>
  <c r="B42" i="31"/>
  <c r="C42" i="31"/>
  <c r="D42" i="31"/>
  <c r="E42" i="31"/>
  <c r="F42" i="31"/>
  <c r="G42" i="31"/>
  <c r="A43" i="31"/>
  <c r="B43" i="31"/>
  <c r="C43" i="31"/>
  <c r="D43" i="31"/>
  <c r="E43" i="31"/>
  <c r="F43" i="31"/>
  <c r="G43" i="31"/>
  <c r="A15" i="21"/>
  <c r="B15" i="21"/>
  <c r="C15" i="21"/>
  <c r="D15" i="21"/>
  <c r="E15" i="21"/>
  <c r="F15" i="21"/>
  <c r="G15" i="21"/>
  <c r="A16" i="21"/>
  <c r="B16" i="21"/>
  <c r="C16" i="21"/>
  <c r="D16" i="21"/>
  <c r="E16" i="21"/>
  <c r="F16" i="21"/>
  <c r="A17" i="21"/>
  <c r="B17" i="21"/>
  <c r="C17" i="21"/>
  <c r="D17" i="21"/>
  <c r="E17" i="21"/>
  <c r="F17" i="21"/>
  <c r="G17" i="21"/>
  <c r="A18" i="21"/>
  <c r="B18" i="21"/>
  <c r="C18" i="21"/>
  <c r="D18" i="21"/>
  <c r="E18" i="21"/>
  <c r="F18" i="21"/>
  <c r="G18" i="21"/>
  <c r="A19" i="21"/>
  <c r="B19" i="21"/>
  <c r="C19" i="21"/>
  <c r="D19" i="21"/>
  <c r="E19" i="21"/>
  <c r="F19" i="21"/>
  <c r="G19" i="21"/>
  <c r="A20" i="21"/>
  <c r="B20" i="21"/>
  <c r="C20" i="21"/>
  <c r="D20" i="21"/>
  <c r="E20" i="21"/>
  <c r="F20" i="21"/>
  <c r="G20" i="21"/>
  <c r="A21" i="21"/>
  <c r="B21" i="21"/>
  <c r="C21" i="21"/>
  <c r="D21" i="21"/>
  <c r="E21" i="21"/>
  <c r="F21" i="21"/>
  <c r="G21" i="21"/>
  <c r="A22" i="21"/>
  <c r="B22" i="21"/>
  <c r="C22" i="21"/>
  <c r="D22" i="21"/>
  <c r="E22" i="21"/>
  <c r="F22" i="21"/>
  <c r="G22" i="21"/>
  <c r="A23" i="21"/>
  <c r="B23" i="21"/>
  <c r="C23" i="21"/>
  <c r="D23" i="21"/>
  <c r="E23" i="21"/>
  <c r="F23" i="21"/>
  <c r="G23" i="21"/>
  <c r="A24" i="21"/>
  <c r="B24" i="21"/>
  <c r="C24" i="21"/>
  <c r="D24" i="21"/>
  <c r="E24" i="21"/>
  <c r="F24" i="21"/>
  <c r="G24" i="21"/>
  <c r="A25" i="21"/>
  <c r="B25" i="21"/>
  <c r="C25" i="21"/>
  <c r="D25" i="21"/>
  <c r="E25" i="21"/>
  <c r="F25" i="21"/>
  <c r="G25" i="21"/>
  <c r="A26" i="21"/>
  <c r="B26" i="21"/>
  <c r="C26" i="21"/>
  <c r="D26" i="21"/>
  <c r="E26" i="21"/>
  <c r="F26" i="21"/>
  <c r="G26" i="21"/>
  <c r="A27" i="21"/>
  <c r="B27" i="21"/>
  <c r="C27" i="21"/>
  <c r="D27" i="21"/>
  <c r="E27" i="21"/>
  <c r="F27" i="21"/>
  <c r="G27" i="21"/>
  <c r="A28" i="21"/>
  <c r="B28" i="21"/>
  <c r="C28" i="21"/>
  <c r="D28" i="21"/>
  <c r="E28" i="21"/>
  <c r="F28" i="21"/>
  <c r="G28" i="21"/>
  <c r="A29" i="21"/>
  <c r="B29" i="21"/>
  <c r="C29" i="21"/>
  <c r="D29" i="21"/>
  <c r="E29" i="21"/>
  <c r="F29" i="21"/>
  <c r="G29" i="21"/>
  <c r="A30" i="21"/>
  <c r="B30" i="21"/>
  <c r="C30" i="21"/>
  <c r="D30" i="21"/>
  <c r="E30" i="21"/>
  <c r="F30" i="21"/>
  <c r="G30" i="21"/>
  <c r="A31" i="21"/>
  <c r="B31" i="21"/>
  <c r="C31" i="21"/>
  <c r="D31" i="21"/>
  <c r="E31" i="21"/>
  <c r="F31" i="21"/>
  <c r="G31" i="21"/>
  <c r="A32" i="21"/>
  <c r="B32" i="21"/>
  <c r="C32" i="21"/>
  <c r="D32" i="21"/>
  <c r="E32" i="21"/>
  <c r="F32" i="21"/>
  <c r="G32" i="21"/>
  <c r="A33" i="21"/>
  <c r="B33" i="21"/>
  <c r="C33" i="21"/>
  <c r="D33" i="21"/>
  <c r="E33" i="21"/>
  <c r="F33" i="21"/>
  <c r="G33" i="21"/>
  <c r="A34" i="21"/>
  <c r="B34" i="21"/>
  <c r="C34" i="21"/>
  <c r="D34" i="21"/>
  <c r="E34" i="21"/>
  <c r="F34" i="21"/>
  <c r="G34" i="21"/>
  <c r="A35" i="21"/>
  <c r="B35" i="21"/>
  <c r="C35" i="21"/>
  <c r="D35" i="21"/>
  <c r="E35" i="21"/>
  <c r="F35" i="21"/>
  <c r="G35" i="21"/>
  <c r="A36" i="21"/>
  <c r="B36" i="21"/>
  <c r="C36" i="21"/>
  <c r="D36" i="21"/>
  <c r="E36" i="21"/>
  <c r="F36" i="21"/>
  <c r="G36" i="21"/>
  <c r="A37" i="21"/>
  <c r="B37" i="21"/>
  <c r="C37" i="21"/>
  <c r="D37" i="21"/>
  <c r="E37" i="21"/>
  <c r="F37" i="21"/>
  <c r="G37" i="21"/>
  <c r="A38" i="21"/>
  <c r="B38" i="21"/>
  <c r="C38" i="21"/>
  <c r="D38" i="21"/>
  <c r="E38" i="21"/>
  <c r="F38" i="21"/>
  <c r="G38" i="21"/>
  <c r="A39" i="21"/>
  <c r="B39" i="21"/>
  <c r="C39" i="21"/>
  <c r="D39" i="21"/>
  <c r="E39" i="21"/>
  <c r="F39" i="21"/>
  <c r="G39" i="21"/>
  <c r="A40" i="21"/>
  <c r="B40" i="21"/>
  <c r="C40" i="21"/>
  <c r="D40" i="21"/>
  <c r="E40" i="21"/>
  <c r="F40" i="21"/>
  <c r="G40" i="21"/>
  <c r="A41" i="21"/>
  <c r="B41" i="21"/>
  <c r="C41" i="21"/>
  <c r="D41" i="21"/>
  <c r="E41" i="21"/>
  <c r="F41" i="21"/>
  <c r="G41" i="21"/>
  <c r="A42" i="21"/>
  <c r="B42" i="21"/>
  <c r="C42" i="21"/>
  <c r="D42" i="21"/>
  <c r="E42" i="21"/>
  <c r="F42" i="21"/>
  <c r="G42" i="21"/>
  <c r="A43" i="21"/>
  <c r="B43" i="21"/>
  <c r="C43" i="21"/>
  <c r="D43" i="21"/>
  <c r="E43" i="21"/>
  <c r="F43" i="21"/>
  <c r="G43" i="21"/>
  <c r="A44" i="21"/>
  <c r="B44" i="21"/>
  <c r="C44" i="21"/>
  <c r="D44" i="21"/>
  <c r="E44" i="21"/>
  <c r="F44" i="21"/>
  <c r="G44" i="21"/>
  <c r="A45" i="21"/>
  <c r="B45" i="21"/>
  <c r="C45" i="21"/>
  <c r="D45" i="21"/>
  <c r="E45" i="21"/>
  <c r="F45" i="21"/>
  <c r="G45" i="21"/>
  <c r="A46" i="21"/>
  <c r="B46" i="21"/>
  <c r="C46" i="21"/>
  <c r="D46" i="21"/>
  <c r="E46" i="21"/>
  <c r="F46" i="21"/>
  <c r="G46" i="21"/>
  <c r="A47" i="21"/>
  <c r="B47" i="21"/>
  <c r="C47" i="21"/>
  <c r="D47" i="21"/>
  <c r="E47" i="21"/>
  <c r="F47" i="21"/>
  <c r="G47" i="21"/>
  <c r="A48" i="21"/>
  <c r="B48" i="21"/>
  <c r="C48" i="21"/>
  <c r="D48" i="21"/>
  <c r="E48" i="21"/>
  <c r="F48" i="21"/>
  <c r="G48" i="21"/>
  <c r="A49" i="21"/>
  <c r="B49" i="21"/>
  <c r="C49" i="21"/>
  <c r="D49" i="21"/>
  <c r="E49" i="21"/>
  <c r="F49" i="21"/>
  <c r="G49" i="21"/>
  <c r="A50" i="21"/>
  <c r="B50" i="21"/>
  <c r="C50" i="21"/>
  <c r="D50" i="21"/>
  <c r="E50" i="21"/>
  <c r="F50" i="21"/>
  <c r="G50" i="21"/>
  <c r="A51" i="21"/>
  <c r="B51" i="21"/>
  <c r="C51" i="21"/>
  <c r="D51" i="21"/>
  <c r="E51" i="21"/>
  <c r="F51" i="21"/>
  <c r="G51" i="21"/>
  <c r="A52" i="21"/>
  <c r="B52" i="21"/>
  <c r="C52" i="21"/>
  <c r="D52" i="21"/>
  <c r="E52" i="21"/>
  <c r="F52" i="21"/>
  <c r="G52" i="21"/>
  <c r="A53" i="21"/>
  <c r="B53" i="21"/>
  <c r="C53" i="21"/>
  <c r="D53" i="21"/>
  <c r="E53" i="21"/>
  <c r="F53" i="21"/>
  <c r="G53" i="21"/>
  <c r="A15" i="59"/>
  <c r="B15" i="59"/>
  <c r="C15" i="59"/>
  <c r="D15" i="59"/>
  <c r="E15" i="59"/>
  <c r="F15" i="59"/>
  <c r="G15" i="59"/>
  <c r="A16" i="59"/>
  <c r="B16" i="59"/>
  <c r="C16" i="59"/>
  <c r="D16" i="59"/>
  <c r="E16" i="59"/>
  <c r="F16" i="59"/>
  <c r="A17" i="59"/>
  <c r="B17" i="59"/>
  <c r="C17" i="59"/>
  <c r="D17" i="59"/>
  <c r="E17" i="59"/>
  <c r="F17" i="59"/>
  <c r="G17" i="59"/>
  <c r="A18" i="59"/>
  <c r="B18" i="59"/>
  <c r="C18" i="59"/>
  <c r="D18" i="59"/>
  <c r="E18" i="59"/>
  <c r="F18" i="59"/>
  <c r="G18" i="59"/>
  <c r="A19" i="59"/>
  <c r="B19" i="59"/>
  <c r="C19" i="59"/>
  <c r="D19" i="59"/>
  <c r="E19" i="59"/>
  <c r="F19" i="59"/>
  <c r="G19" i="59"/>
  <c r="A20" i="59"/>
  <c r="B20" i="59"/>
  <c r="C20" i="59"/>
  <c r="D20" i="59"/>
  <c r="E20" i="59"/>
  <c r="F20" i="59"/>
  <c r="G20" i="59"/>
  <c r="A21" i="59"/>
  <c r="B21" i="59"/>
  <c r="C21" i="59"/>
  <c r="D21" i="59"/>
  <c r="E21" i="59"/>
  <c r="F21" i="59"/>
  <c r="G21" i="59"/>
  <c r="A22" i="59"/>
  <c r="B22" i="59"/>
  <c r="C22" i="59"/>
  <c r="D22" i="59"/>
  <c r="E22" i="59"/>
  <c r="F22" i="59"/>
  <c r="G22" i="59"/>
  <c r="A23" i="59"/>
  <c r="B23" i="59"/>
  <c r="C23" i="59"/>
  <c r="D23" i="59"/>
  <c r="E23" i="59"/>
  <c r="F23" i="59"/>
  <c r="G23" i="59"/>
  <c r="A24" i="59"/>
  <c r="B24" i="59"/>
  <c r="C24" i="59"/>
  <c r="D24" i="59"/>
  <c r="E24" i="59"/>
  <c r="F24" i="59"/>
  <c r="G24" i="59"/>
  <c r="A25" i="59"/>
  <c r="B25" i="59"/>
  <c r="C25" i="59"/>
  <c r="D25" i="59"/>
  <c r="E25" i="59"/>
  <c r="F25" i="59"/>
  <c r="G25" i="59"/>
  <c r="A26" i="59"/>
  <c r="B26" i="59"/>
  <c r="C26" i="59"/>
  <c r="D26" i="59"/>
  <c r="E26" i="59"/>
  <c r="F26" i="59"/>
  <c r="G26" i="59"/>
  <c r="A27" i="59"/>
  <c r="B27" i="59"/>
  <c r="C27" i="59"/>
  <c r="D27" i="59"/>
  <c r="E27" i="59"/>
  <c r="F27" i="59"/>
  <c r="G27" i="59"/>
  <c r="A28" i="59"/>
  <c r="B28" i="59"/>
  <c r="C28" i="59"/>
  <c r="D28" i="59"/>
  <c r="E28" i="59"/>
  <c r="F28" i="59"/>
  <c r="G28" i="59"/>
  <c r="A29" i="59"/>
  <c r="B29" i="59"/>
  <c r="C29" i="59"/>
  <c r="D29" i="59"/>
  <c r="E29" i="59"/>
  <c r="F29" i="59"/>
  <c r="G29" i="59"/>
  <c r="A30" i="59"/>
  <c r="B30" i="59"/>
  <c r="C30" i="59"/>
  <c r="D30" i="59"/>
  <c r="E30" i="59"/>
  <c r="F30" i="59"/>
  <c r="G30" i="59"/>
  <c r="A31" i="59"/>
  <c r="B31" i="59"/>
  <c r="C31" i="59"/>
  <c r="D31" i="59"/>
  <c r="E31" i="59"/>
  <c r="F31" i="59"/>
  <c r="G31" i="59"/>
  <c r="A32" i="59"/>
  <c r="B32" i="59"/>
  <c r="C32" i="59"/>
  <c r="D32" i="59"/>
  <c r="E32" i="59"/>
  <c r="F32" i="59"/>
  <c r="G32" i="59"/>
  <c r="A33" i="59"/>
  <c r="B33" i="59"/>
  <c r="C33" i="59"/>
  <c r="D33" i="59"/>
  <c r="E33" i="59"/>
  <c r="F33" i="59"/>
  <c r="G33" i="59"/>
  <c r="A34" i="59"/>
  <c r="B34" i="59"/>
  <c r="C34" i="59"/>
  <c r="D34" i="59"/>
  <c r="E34" i="59"/>
  <c r="F34" i="59"/>
  <c r="G34" i="59"/>
  <c r="A35" i="59"/>
  <c r="B35" i="59"/>
  <c r="C35" i="59"/>
  <c r="D35" i="59"/>
  <c r="E35" i="59"/>
  <c r="F35" i="59"/>
  <c r="G35" i="59"/>
  <c r="A36" i="59"/>
  <c r="B36" i="59"/>
  <c r="C36" i="59"/>
  <c r="D36" i="59"/>
  <c r="E36" i="59"/>
  <c r="F36" i="59"/>
  <c r="G36" i="59"/>
  <c r="A37" i="59"/>
  <c r="B37" i="59"/>
  <c r="C37" i="59"/>
  <c r="D37" i="59"/>
  <c r="E37" i="59"/>
  <c r="F37" i="59"/>
  <c r="G37" i="59"/>
  <c r="A38" i="59"/>
  <c r="B38" i="59"/>
  <c r="C38" i="59"/>
  <c r="D38" i="59"/>
  <c r="E38" i="59"/>
  <c r="F38" i="59"/>
  <c r="G38" i="59"/>
  <c r="A39" i="59"/>
  <c r="B39" i="59"/>
  <c r="C39" i="59"/>
  <c r="D39" i="59"/>
  <c r="E39" i="59"/>
  <c r="F39" i="59"/>
  <c r="G39" i="59"/>
  <c r="A40" i="59"/>
  <c r="B40" i="59"/>
  <c r="C40" i="59"/>
  <c r="D40" i="59"/>
  <c r="E40" i="59"/>
  <c r="F40" i="59"/>
  <c r="G40" i="59"/>
  <c r="A41" i="59"/>
  <c r="B41" i="59"/>
  <c r="C41" i="59"/>
  <c r="D41" i="59"/>
  <c r="E41" i="59"/>
  <c r="F41" i="59"/>
  <c r="G41" i="59"/>
  <c r="A42" i="59"/>
  <c r="B42" i="59"/>
  <c r="C42" i="59"/>
  <c r="D42" i="59"/>
  <c r="E42" i="59"/>
  <c r="F42" i="59"/>
  <c r="G42" i="59"/>
  <c r="A43" i="59"/>
  <c r="B43" i="59"/>
  <c r="C43" i="59"/>
  <c r="D43" i="59"/>
  <c r="E43" i="59"/>
  <c r="F43" i="59"/>
  <c r="G43" i="59"/>
  <c r="A44" i="59"/>
  <c r="B44" i="59"/>
  <c r="C44" i="59"/>
  <c r="D44" i="59"/>
  <c r="E44" i="59"/>
  <c r="F44" i="59"/>
  <c r="G44" i="59"/>
  <c r="A45" i="59"/>
  <c r="B45" i="59"/>
  <c r="C45" i="59"/>
  <c r="D45" i="59"/>
  <c r="E45" i="59"/>
  <c r="F45" i="59"/>
  <c r="G45" i="59"/>
  <c r="A46" i="59"/>
  <c r="B46" i="59"/>
  <c r="C46" i="59"/>
  <c r="D46" i="59"/>
  <c r="E46" i="59"/>
  <c r="F46" i="59"/>
  <c r="G46" i="59"/>
  <c r="A47" i="59"/>
  <c r="B47" i="59"/>
  <c r="C47" i="59"/>
  <c r="D47" i="59"/>
  <c r="E47" i="59"/>
  <c r="F47" i="59"/>
  <c r="G47" i="59"/>
  <c r="A48" i="59"/>
  <c r="B48" i="59"/>
  <c r="C48" i="59"/>
  <c r="D48" i="59"/>
  <c r="E48" i="59"/>
  <c r="F48" i="59"/>
  <c r="G48" i="59"/>
  <c r="A49" i="59"/>
  <c r="B49" i="59"/>
  <c r="C49" i="59"/>
  <c r="D49" i="59"/>
  <c r="E49" i="59"/>
  <c r="F49" i="59"/>
  <c r="G49" i="59"/>
  <c r="A50" i="59"/>
  <c r="B50" i="59"/>
  <c r="C50" i="59"/>
  <c r="D50" i="59"/>
  <c r="E50" i="59"/>
  <c r="F50" i="59"/>
  <c r="G50" i="59"/>
  <c r="A51" i="59"/>
  <c r="B51" i="59"/>
  <c r="C51" i="59"/>
  <c r="D51" i="59"/>
  <c r="E51" i="59"/>
  <c r="F51" i="59"/>
  <c r="G51" i="59"/>
  <c r="A52" i="59"/>
  <c r="B52" i="59"/>
  <c r="C52" i="59"/>
  <c r="D52" i="59"/>
  <c r="E52" i="59"/>
  <c r="F52" i="59"/>
  <c r="G52" i="59"/>
  <c r="A53" i="59"/>
  <c r="B53" i="59"/>
  <c r="C53" i="59"/>
  <c r="D53" i="59"/>
  <c r="E53" i="59"/>
  <c r="F53" i="59"/>
  <c r="G53" i="59"/>
  <c r="A15" i="27"/>
  <c r="B15" i="27"/>
  <c r="C15" i="27"/>
  <c r="D15" i="27"/>
  <c r="E15" i="27"/>
  <c r="F15" i="27"/>
  <c r="G15" i="27"/>
  <c r="A16" i="27"/>
  <c r="B16" i="27"/>
  <c r="C16" i="27"/>
  <c r="D16" i="27"/>
  <c r="E16" i="27"/>
  <c r="F16" i="27"/>
  <c r="A17" i="27"/>
  <c r="B17" i="27"/>
  <c r="C17" i="27"/>
  <c r="D17" i="27"/>
  <c r="E17" i="27"/>
  <c r="F17" i="27"/>
  <c r="G17" i="27"/>
  <c r="A18" i="27"/>
  <c r="B18" i="27"/>
  <c r="C18" i="27"/>
  <c r="D18" i="27"/>
  <c r="E18" i="27"/>
  <c r="F18" i="27"/>
  <c r="G18" i="27"/>
  <c r="A19" i="27"/>
  <c r="B19" i="27"/>
  <c r="C19" i="27"/>
  <c r="D19" i="27"/>
  <c r="E19" i="27"/>
  <c r="F19" i="27"/>
  <c r="G19" i="27"/>
  <c r="A20" i="27"/>
  <c r="B20" i="27"/>
  <c r="C20" i="27"/>
  <c r="D20" i="27"/>
  <c r="E20" i="27"/>
  <c r="F20" i="27"/>
  <c r="G20" i="27"/>
  <c r="A21" i="27"/>
  <c r="B21" i="27"/>
  <c r="C21" i="27"/>
  <c r="D21" i="27"/>
  <c r="E21" i="27"/>
  <c r="F21" i="27"/>
  <c r="G21" i="27"/>
  <c r="A22" i="27"/>
  <c r="B22" i="27"/>
  <c r="C22" i="27"/>
  <c r="D22" i="27"/>
  <c r="E22" i="27"/>
  <c r="F22" i="27"/>
  <c r="G22" i="27"/>
  <c r="A23" i="27"/>
  <c r="B23" i="27"/>
  <c r="C23" i="27"/>
  <c r="D23" i="27"/>
  <c r="E23" i="27"/>
  <c r="F23" i="27"/>
  <c r="G23" i="27"/>
  <c r="A24" i="27"/>
  <c r="B24" i="27"/>
  <c r="C24" i="27"/>
  <c r="D24" i="27"/>
  <c r="E24" i="27"/>
  <c r="F24" i="27"/>
  <c r="G24" i="27"/>
  <c r="A25" i="27"/>
  <c r="B25" i="27"/>
  <c r="C25" i="27"/>
  <c r="D25" i="27"/>
  <c r="E25" i="27"/>
  <c r="F25" i="27"/>
  <c r="G25" i="27"/>
  <c r="A26" i="27"/>
  <c r="B26" i="27"/>
  <c r="C26" i="27"/>
  <c r="D26" i="27"/>
  <c r="E26" i="27"/>
  <c r="F26" i="27"/>
  <c r="G26" i="27"/>
  <c r="A27" i="27"/>
  <c r="B27" i="27"/>
  <c r="C27" i="27"/>
  <c r="D27" i="27"/>
  <c r="E27" i="27"/>
  <c r="F27" i="27"/>
  <c r="G27" i="27"/>
  <c r="A28" i="27"/>
  <c r="B28" i="27"/>
  <c r="C28" i="27"/>
  <c r="D28" i="27"/>
  <c r="E28" i="27"/>
  <c r="F28" i="27"/>
  <c r="G28" i="27"/>
  <c r="A29" i="27"/>
  <c r="B29" i="27"/>
  <c r="C29" i="27"/>
  <c r="D29" i="27"/>
  <c r="E29" i="27"/>
  <c r="F29" i="27"/>
  <c r="G29" i="27"/>
  <c r="A30" i="27"/>
  <c r="B30" i="27"/>
  <c r="C30" i="27"/>
  <c r="D30" i="27"/>
  <c r="E30" i="27"/>
  <c r="F30" i="27"/>
  <c r="G30" i="27"/>
  <c r="A31" i="27"/>
  <c r="B31" i="27"/>
  <c r="C31" i="27"/>
  <c r="D31" i="27"/>
  <c r="E31" i="27"/>
  <c r="F31" i="27"/>
  <c r="G31" i="27"/>
  <c r="A32" i="27"/>
  <c r="B32" i="27"/>
  <c r="C32" i="27"/>
  <c r="D32" i="27"/>
  <c r="E32" i="27"/>
  <c r="F32" i="27"/>
  <c r="G32" i="27"/>
  <c r="A33" i="27"/>
  <c r="B33" i="27"/>
  <c r="C33" i="27"/>
  <c r="D33" i="27"/>
  <c r="E33" i="27"/>
  <c r="F33" i="27"/>
  <c r="G33" i="27"/>
  <c r="A34" i="27"/>
  <c r="B34" i="27"/>
  <c r="C34" i="27"/>
  <c r="D34" i="27"/>
  <c r="E34" i="27"/>
  <c r="F34" i="27"/>
  <c r="G34" i="27"/>
  <c r="A35" i="27"/>
  <c r="B35" i="27"/>
  <c r="C35" i="27"/>
  <c r="D35" i="27"/>
  <c r="E35" i="27"/>
  <c r="F35" i="27"/>
  <c r="G35" i="27"/>
  <c r="A36" i="27"/>
  <c r="B36" i="27"/>
  <c r="C36" i="27"/>
  <c r="D36" i="27"/>
  <c r="E36" i="27"/>
  <c r="F36" i="27"/>
  <c r="G36" i="27"/>
  <c r="A37" i="27"/>
  <c r="B37" i="27"/>
  <c r="C37" i="27"/>
  <c r="D37" i="27"/>
  <c r="E37" i="27"/>
  <c r="F37" i="27"/>
  <c r="G37" i="27"/>
  <c r="A38" i="27"/>
  <c r="B38" i="27"/>
  <c r="C38" i="27"/>
  <c r="D38" i="27"/>
  <c r="E38" i="27"/>
  <c r="F38" i="27"/>
  <c r="G38" i="27"/>
  <c r="A39" i="27"/>
  <c r="B39" i="27"/>
  <c r="C39" i="27"/>
  <c r="D39" i="27"/>
  <c r="E39" i="27"/>
  <c r="F39" i="27"/>
  <c r="G39" i="27"/>
  <c r="A40" i="27"/>
  <c r="B40" i="27"/>
  <c r="C40" i="27"/>
  <c r="D40" i="27"/>
  <c r="E40" i="27"/>
  <c r="F40" i="27"/>
  <c r="G40" i="27"/>
  <c r="A41" i="27"/>
  <c r="B41" i="27"/>
  <c r="C41" i="27"/>
  <c r="D41" i="27"/>
  <c r="E41" i="27"/>
  <c r="F41" i="27"/>
  <c r="G41" i="27"/>
  <c r="A42" i="27"/>
  <c r="B42" i="27"/>
  <c r="C42" i="27"/>
  <c r="D42" i="27"/>
  <c r="E42" i="27"/>
  <c r="F42" i="27"/>
  <c r="G42" i="27"/>
  <c r="A43" i="27"/>
  <c r="B43" i="27"/>
  <c r="C43" i="27"/>
  <c r="D43" i="27"/>
  <c r="E43" i="27"/>
  <c r="F43" i="27"/>
  <c r="G43" i="27"/>
  <c r="B73" i="46"/>
  <c r="J46" i="57"/>
  <c r="M46" i="57"/>
  <c r="P46" i="57"/>
  <c r="S46" i="57"/>
  <c r="V46" i="57"/>
  <c r="W46" i="57"/>
  <c r="J47" i="57"/>
  <c r="M47" i="57"/>
  <c r="P47" i="57"/>
  <c r="S47" i="57"/>
  <c r="V47" i="57"/>
  <c r="W47" i="57"/>
  <c r="J48" i="57"/>
  <c r="M48" i="57"/>
  <c r="P48" i="57"/>
  <c r="S48" i="57"/>
  <c r="V48" i="57"/>
  <c r="W48" i="57"/>
  <c r="J49" i="57"/>
  <c r="M49" i="57"/>
  <c r="P49" i="57"/>
  <c r="S49" i="57"/>
  <c r="V49" i="57"/>
  <c r="W49" i="57"/>
  <c r="A70" i="46" l="1"/>
  <c r="B70" i="46"/>
  <c r="C70" i="46"/>
  <c r="D70" i="46"/>
  <c r="E70" i="46"/>
  <c r="F70" i="46"/>
  <c r="G70" i="46"/>
  <c r="A71" i="46"/>
  <c r="B71" i="46"/>
  <c r="C71" i="46"/>
  <c r="D71" i="46"/>
  <c r="E71" i="46"/>
  <c r="F71" i="46"/>
  <c r="G71" i="46"/>
  <c r="A72" i="46"/>
  <c r="B72" i="46"/>
  <c r="C72" i="46"/>
  <c r="D72" i="46"/>
  <c r="E72" i="46"/>
  <c r="F72" i="46"/>
  <c r="G72" i="46"/>
  <c r="A66" i="46"/>
  <c r="B66" i="46"/>
  <c r="C66" i="46"/>
  <c r="D66" i="46"/>
  <c r="E66" i="46"/>
  <c r="F66" i="46"/>
  <c r="G66" i="46"/>
  <c r="A67" i="46"/>
  <c r="B67" i="46"/>
  <c r="C67" i="46"/>
  <c r="D67" i="46"/>
  <c r="E67" i="46"/>
  <c r="F67" i="46"/>
  <c r="G67" i="46"/>
  <c r="A68" i="46"/>
  <c r="B68" i="46"/>
  <c r="C68" i="46"/>
  <c r="D68" i="46"/>
  <c r="E68" i="46"/>
  <c r="F68" i="46"/>
  <c r="G68" i="46"/>
  <c r="A69" i="46"/>
  <c r="B69" i="46"/>
  <c r="C69" i="46"/>
  <c r="D69" i="46"/>
  <c r="E69" i="46"/>
  <c r="F69" i="46"/>
  <c r="G69" i="46"/>
  <c r="A54" i="46"/>
  <c r="B54" i="46"/>
  <c r="C54" i="46"/>
  <c r="D54" i="46"/>
  <c r="E54" i="46"/>
  <c r="F54" i="46"/>
  <c r="G54" i="46"/>
  <c r="A55" i="46"/>
  <c r="B55" i="46"/>
  <c r="C55" i="46"/>
  <c r="D55" i="46"/>
  <c r="E55" i="46"/>
  <c r="F55" i="46"/>
  <c r="G55" i="46"/>
  <c r="A56" i="46"/>
  <c r="B56" i="46"/>
  <c r="C56" i="46"/>
  <c r="D56" i="46"/>
  <c r="E56" i="46"/>
  <c r="F56" i="46"/>
  <c r="G56" i="46"/>
  <c r="A57" i="46"/>
  <c r="B57" i="46"/>
  <c r="C57" i="46"/>
  <c r="D57" i="46"/>
  <c r="E57" i="46"/>
  <c r="F57" i="46"/>
  <c r="G57" i="46"/>
  <c r="A58" i="46"/>
  <c r="B58" i="46"/>
  <c r="C58" i="46"/>
  <c r="D58" i="46"/>
  <c r="E58" i="46"/>
  <c r="F58" i="46"/>
  <c r="G58" i="46"/>
  <c r="A59" i="46"/>
  <c r="B59" i="46"/>
  <c r="C59" i="46"/>
  <c r="D59" i="46"/>
  <c r="E59" i="46"/>
  <c r="F59" i="46"/>
  <c r="G59" i="46"/>
  <c r="A60" i="46"/>
  <c r="B60" i="46"/>
  <c r="C60" i="46"/>
  <c r="D60" i="46"/>
  <c r="E60" i="46"/>
  <c r="F60" i="46"/>
  <c r="G60" i="46"/>
  <c r="A61" i="46"/>
  <c r="B61" i="46"/>
  <c r="C61" i="46"/>
  <c r="D61" i="46"/>
  <c r="E61" i="46"/>
  <c r="F61" i="46"/>
  <c r="G61" i="46"/>
  <c r="A62" i="46"/>
  <c r="B62" i="46"/>
  <c r="C62" i="46"/>
  <c r="D62" i="46"/>
  <c r="E62" i="46"/>
  <c r="F62" i="46"/>
  <c r="G62" i="46"/>
  <c r="A63" i="46"/>
  <c r="B63" i="46"/>
  <c r="C63" i="46"/>
  <c r="D63" i="46"/>
  <c r="E63" i="46"/>
  <c r="F63" i="46"/>
  <c r="G63" i="46"/>
  <c r="A64" i="46"/>
  <c r="B64" i="46"/>
  <c r="C64" i="46"/>
  <c r="D64" i="46"/>
  <c r="E64" i="46"/>
  <c r="F64" i="46"/>
  <c r="G64" i="46"/>
  <c r="A65" i="46"/>
  <c r="B65" i="46"/>
  <c r="C65" i="46"/>
  <c r="D65" i="46"/>
  <c r="E65" i="46"/>
  <c r="F65" i="46"/>
  <c r="G65" i="46"/>
  <c r="E9" i="77" l="1"/>
  <c r="E8" i="77"/>
  <c r="E9" i="75"/>
  <c r="E8" i="75"/>
  <c r="E9" i="74"/>
  <c r="E8" i="74"/>
  <c r="E9" i="73"/>
  <c r="E8" i="73"/>
  <c r="E9" i="71"/>
  <c r="E8" i="71"/>
  <c r="E9" i="69"/>
  <c r="A30" i="44" l="1"/>
  <c r="B30" i="44"/>
  <c r="C30" i="44"/>
  <c r="D30" i="44"/>
  <c r="E30" i="44"/>
  <c r="F30" i="44"/>
  <c r="G30" i="44"/>
  <c r="A31" i="44"/>
  <c r="B31" i="44"/>
  <c r="C31" i="44"/>
  <c r="D31" i="44"/>
  <c r="E31" i="44"/>
  <c r="F31" i="44"/>
  <c r="G31" i="44"/>
  <c r="A32" i="44"/>
  <c r="B32" i="44"/>
  <c r="C32" i="44"/>
  <c r="D32" i="44"/>
  <c r="E32" i="44"/>
  <c r="F32" i="44"/>
  <c r="G32" i="44"/>
  <c r="A33" i="44"/>
  <c r="B33" i="44"/>
  <c r="C33" i="44"/>
  <c r="D33" i="44"/>
  <c r="E33" i="44"/>
  <c r="F33" i="44"/>
  <c r="G33" i="44"/>
  <c r="A34" i="44"/>
  <c r="B34" i="44"/>
  <c r="C34" i="44"/>
  <c r="D34" i="44"/>
  <c r="E34" i="44"/>
  <c r="F34" i="44"/>
  <c r="G34" i="44"/>
  <c r="A35" i="44"/>
  <c r="B35" i="44"/>
  <c r="C35" i="44"/>
  <c r="D35" i="44"/>
  <c r="E35" i="44"/>
  <c r="F35" i="44"/>
  <c r="G35" i="44"/>
  <c r="A36" i="44"/>
  <c r="B36" i="44"/>
  <c r="C36" i="44"/>
  <c r="D36" i="44"/>
  <c r="E36" i="44"/>
  <c r="F36" i="44"/>
  <c r="G36" i="44"/>
  <c r="A37" i="44"/>
  <c r="B37" i="44"/>
  <c r="C37" i="44"/>
  <c r="D37" i="44"/>
  <c r="E37" i="44"/>
  <c r="F37" i="44"/>
  <c r="G37" i="44"/>
  <c r="A38" i="44"/>
  <c r="B38" i="44"/>
  <c r="C38" i="44"/>
  <c r="D38" i="44"/>
  <c r="E38" i="44"/>
  <c r="F38" i="44"/>
  <c r="G38" i="44"/>
  <c r="A39" i="44"/>
  <c r="B39" i="44"/>
  <c r="C39" i="44"/>
  <c r="D39" i="44"/>
  <c r="E39" i="44"/>
  <c r="F39" i="44"/>
  <c r="G39" i="44"/>
  <c r="A40" i="44"/>
  <c r="B40" i="44"/>
  <c r="C40" i="44"/>
  <c r="D40" i="44"/>
  <c r="E40" i="44"/>
  <c r="F40" i="44"/>
  <c r="G40" i="44"/>
  <c r="A41" i="44"/>
  <c r="B41" i="44"/>
  <c r="C41" i="44"/>
  <c r="D41" i="44"/>
  <c r="E41" i="44"/>
  <c r="F41" i="44"/>
  <c r="G41" i="44"/>
  <c r="A42" i="44"/>
  <c r="B42" i="44"/>
  <c r="C42" i="44"/>
  <c r="D42" i="44"/>
  <c r="E42" i="44"/>
  <c r="F42" i="44"/>
  <c r="G42" i="44"/>
  <c r="A43" i="44"/>
  <c r="B43" i="44"/>
  <c r="C43" i="44"/>
  <c r="D43" i="44"/>
  <c r="E43" i="44"/>
  <c r="F43" i="44"/>
  <c r="G43" i="44"/>
  <c r="A44" i="44"/>
  <c r="B44" i="44"/>
  <c r="C44" i="44"/>
  <c r="D44" i="44"/>
  <c r="E44" i="44"/>
  <c r="F44" i="44"/>
  <c r="G44" i="44"/>
  <c r="A45" i="44"/>
  <c r="B45" i="44"/>
  <c r="C45" i="44"/>
  <c r="D45" i="44"/>
  <c r="E45" i="44"/>
  <c r="F45" i="44"/>
  <c r="G45" i="44"/>
  <c r="A46" i="44"/>
  <c r="B46" i="44"/>
  <c r="C46" i="44"/>
  <c r="D46" i="44"/>
  <c r="E46" i="44"/>
  <c r="F46" i="44"/>
  <c r="G46" i="44"/>
  <c r="A47" i="44"/>
  <c r="B47" i="44"/>
  <c r="C47" i="44"/>
  <c r="D47" i="44"/>
  <c r="E47" i="44"/>
  <c r="F47" i="44"/>
  <c r="G47" i="44"/>
  <c r="A48" i="44"/>
  <c r="B48" i="44"/>
  <c r="C48" i="44"/>
  <c r="D48" i="44"/>
  <c r="E48" i="44"/>
  <c r="F48" i="44"/>
  <c r="G48" i="44"/>
  <c r="A36" i="45"/>
  <c r="B36" i="45"/>
  <c r="C36" i="45"/>
  <c r="D36" i="45"/>
  <c r="E36" i="45"/>
  <c r="F36" i="45"/>
  <c r="G36" i="45"/>
  <c r="A37" i="45"/>
  <c r="B37" i="45"/>
  <c r="C37" i="45"/>
  <c r="D37" i="45"/>
  <c r="E37" i="45"/>
  <c r="F37" i="45"/>
  <c r="G37" i="45"/>
  <c r="A38" i="45"/>
  <c r="B38" i="45"/>
  <c r="C38" i="45"/>
  <c r="D38" i="45"/>
  <c r="E38" i="45"/>
  <c r="F38" i="45"/>
  <c r="G38" i="45"/>
  <c r="A39" i="45"/>
  <c r="B39" i="45"/>
  <c r="C39" i="45"/>
  <c r="D39" i="45"/>
  <c r="E39" i="45"/>
  <c r="F39" i="45"/>
  <c r="G39" i="45"/>
  <c r="A40" i="45"/>
  <c r="B40" i="45"/>
  <c r="C40" i="45"/>
  <c r="D40" i="45"/>
  <c r="E40" i="45"/>
  <c r="F40" i="45"/>
  <c r="G40" i="45"/>
  <c r="A41" i="45"/>
  <c r="B41" i="45"/>
  <c r="C41" i="45"/>
  <c r="D41" i="45"/>
  <c r="E41" i="45"/>
  <c r="F41" i="45"/>
  <c r="G41" i="45"/>
  <c r="A42" i="45"/>
  <c r="B42" i="45"/>
  <c r="C42" i="45"/>
  <c r="D42" i="45"/>
  <c r="E42" i="45"/>
  <c r="F42" i="45"/>
  <c r="G42" i="45"/>
  <c r="A43" i="45"/>
  <c r="B43" i="45"/>
  <c r="C43" i="45"/>
  <c r="D43" i="45"/>
  <c r="E43" i="45"/>
  <c r="F43" i="45"/>
  <c r="G43" i="45"/>
  <c r="A44" i="45"/>
  <c r="B44" i="45"/>
  <c r="C44" i="45"/>
  <c r="D44" i="45"/>
  <c r="E44" i="45"/>
  <c r="F44" i="45"/>
  <c r="G44" i="45"/>
  <c r="A45" i="45"/>
  <c r="B45" i="45"/>
  <c r="C45" i="45"/>
  <c r="D45" i="45"/>
  <c r="E45" i="45"/>
  <c r="F45" i="45"/>
  <c r="G45" i="45"/>
  <c r="A46" i="45"/>
  <c r="B46" i="45"/>
  <c r="C46" i="45"/>
  <c r="D46" i="45"/>
  <c r="E46" i="45"/>
  <c r="F46" i="45"/>
  <c r="G46" i="45"/>
  <c r="A47" i="45"/>
  <c r="B47" i="45"/>
  <c r="C47" i="45"/>
  <c r="D47" i="45"/>
  <c r="E47" i="45"/>
  <c r="F47" i="45"/>
  <c r="G47" i="45"/>
  <c r="A48" i="45"/>
  <c r="B48" i="45"/>
  <c r="C48" i="45"/>
  <c r="D48" i="45"/>
  <c r="E48" i="45"/>
  <c r="F48" i="45"/>
  <c r="G48" i="45"/>
  <c r="A44" i="68"/>
  <c r="B44" i="68"/>
  <c r="C44" i="68"/>
  <c r="D44" i="68"/>
  <c r="E44" i="68"/>
  <c r="F44" i="68"/>
  <c r="G44" i="68"/>
  <c r="A44" i="31"/>
  <c r="B44" i="31"/>
  <c r="C44" i="31"/>
  <c r="D44" i="31"/>
  <c r="E44" i="31"/>
  <c r="F44" i="31"/>
  <c r="G44" i="31"/>
  <c r="A45" i="31"/>
  <c r="B45" i="31"/>
  <c r="C45" i="31"/>
  <c r="D45" i="31"/>
  <c r="E45" i="31"/>
  <c r="F45" i="31"/>
  <c r="G45" i="31"/>
  <c r="A46" i="31"/>
  <c r="B46" i="31"/>
  <c r="C46" i="31"/>
  <c r="D46" i="31"/>
  <c r="E46" i="31"/>
  <c r="F46" i="31"/>
  <c r="G46" i="31"/>
  <c r="A47" i="31"/>
  <c r="B47" i="31"/>
  <c r="C47" i="31"/>
  <c r="D47" i="31"/>
  <c r="E47" i="31"/>
  <c r="F47" i="31"/>
  <c r="G47" i="31"/>
  <c r="A48" i="31"/>
  <c r="B48" i="31"/>
  <c r="C48" i="31"/>
  <c r="D48" i="31"/>
  <c r="E48" i="31"/>
  <c r="F48" i="31"/>
  <c r="G48" i="31"/>
  <c r="A49" i="31"/>
  <c r="B49" i="31"/>
  <c r="C49" i="31"/>
  <c r="D49" i="31"/>
  <c r="E49" i="31"/>
  <c r="F49" i="31"/>
  <c r="G49" i="31"/>
  <c r="A50" i="31"/>
  <c r="B50" i="31"/>
  <c r="C50" i="31"/>
  <c r="D50" i="31"/>
  <c r="E50" i="31"/>
  <c r="F50" i="31"/>
  <c r="G50" i="31"/>
  <c r="A51" i="31"/>
  <c r="B51" i="31"/>
  <c r="C51" i="31"/>
  <c r="D51" i="31"/>
  <c r="E51" i="31"/>
  <c r="F51" i="31"/>
  <c r="G51" i="31"/>
  <c r="A52" i="31"/>
  <c r="B52" i="31"/>
  <c r="C52" i="31"/>
  <c r="D52" i="31"/>
  <c r="E52" i="31"/>
  <c r="F52" i="31"/>
  <c r="G52" i="31"/>
  <c r="A53" i="31"/>
  <c r="B53" i="31"/>
  <c r="C53" i="31"/>
  <c r="D53" i="31"/>
  <c r="E53" i="31"/>
  <c r="F53" i="31"/>
  <c r="G53" i="31"/>
  <c r="A54" i="31"/>
  <c r="B54" i="31"/>
  <c r="C54" i="31"/>
  <c r="D54" i="31"/>
  <c r="E54" i="31"/>
  <c r="F54" i="31"/>
  <c r="G54" i="31"/>
  <c r="A55" i="31"/>
  <c r="B55" i="31"/>
  <c r="C55" i="31"/>
  <c r="D55" i="31"/>
  <c r="E55" i="31"/>
  <c r="F55" i="31"/>
  <c r="G55" i="31"/>
  <c r="A56" i="31"/>
  <c r="B56" i="31"/>
  <c r="C56" i="31"/>
  <c r="D56" i="31"/>
  <c r="E56" i="31"/>
  <c r="F56" i="31"/>
  <c r="G56" i="31"/>
  <c r="A57" i="31"/>
  <c r="B57" i="31"/>
  <c r="C57" i="31"/>
  <c r="D57" i="31"/>
  <c r="E57" i="31"/>
  <c r="F57" i="31"/>
  <c r="G57" i="31"/>
  <c r="A58" i="31"/>
  <c r="B58" i="31"/>
  <c r="C58" i="31"/>
  <c r="D58" i="31"/>
  <c r="E58" i="31"/>
  <c r="F58" i="31"/>
  <c r="G58" i="31"/>
  <c r="A59" i="31"/>
  <c r="B59" i="31"/>
  <c r="C59" i="31"/>
  <c r="D59" i="31"/>
  <c r="E59" i="31"/>
  <c r="F59" i="31"/>
  <c r="G59" i="31"/>
  <c r="A60" i="31"/>
  <c r="B60" i="31"/>
  <c r="C60" i="31"/>
  <c r="D60" i="31"/>
  <c r="E60" i="31"/>
  <c r="F60" i="31"/>
  <c r="G60" i="31"/>
  <c r="A61" i="31"/>
  <c r="B61" i="31"/>
  <c r="C61" i="31"/>
  <c r="D61" i="31"/>
  <c r="E61" i="31"/>
  <c r="F61" i="31"/>
  <c r="G61" i="31"/>
  <c r="A62" i="31"/>
  <c r="B62" i="31"/>
  <c r="C62" i="31"/>
  <c r="D62" i="31"/>
  <c r="E62" i="31"/>
  <c r="F62" i="31"/>
  <c r="G62" i="31"/>
  <c r="A54" i="21"/>
  <c r="B54" i="21"/>
  <c r="C54" i="21"/>
  <c r="D54" i="21"/>
  <c r="E54" i="21"/>
  <c r="F54" i="21"/>
  <c r="G54" i="21"/>
  <c r="A55" i="21"/>
  <c r="B55" i="21"/>
  <c r="C55" i="21"/>
  <c r="D55" i="21"/>
  <c r="E55" i="21"/>
  <c r="F55" i="21"/>
  <c r="G55" i="21"/>
  <c r="A56" i="21"/>
  <c r="B56" i="21"/>
  <c r="C56" i="21"/>
  <c r="D56" i="21"/>
  <c r="E56" i="21"/>
  <c r="F56" i="21"/>
  <c r="G56" i="21"/>
  <c r="A57" i="21"/>
  <c r="B57" i="21"/>
  <c r="C57" i="21"/>
  <c r="D57" i="21"/>
  <c r="E57" i="21"/>
  <c r="F57" i="21"/>
  <c r="G57" i="21"/>
  <c r="A58" i="21"/>
  <c r="B58" i="21"/>
  <c r="C58" i="21"/>
  <c r="D58" i="21"/>
  <c r="E58" i="21"/>
  <c r="F58" i="21"/>
  <c r="G58" i="21"/>
  <c r="A59" i="21"/>
  <c r="B59" i="21"/>
  <c r="C59" i="21"/>
  <c r="D59" i="21"/>
  <c r="E59" i="21"/>
  <c r="F59" i="21"/>
  <c r="G59" i="21"/>
  <c r="A60" i="21"/>
  <c r="B60" i="21"/>
  <c r="C60" i="21"/>
  <c r="D60" i="21"/>
  <c r="E60" i="21"/>
  <c r="F60" i="21"/>
  <c r="G60" i="21"/>
  <c r="A61" i="21"/>
  <c r="B61" i="21"/>
  <c r="C61" i="21"/>
  <c r="D61" i="21"/>
  <c r="E61" i="21"/>
  <c r="F61" i="21"/>
  <c r="G61" i="21"/>
  <c r="A62" i="21"/>
  <c r="B62" i="21"/>
  <c r="C62" i="21"/>
  <c r="D62" i="21"/>
  <c r="E62" i="21"/>
  <c r="F62" i="21"/>
  <c r="G62" i="21"/>
  <c r="A63" i="21"/>
  <c r="B63" i="21"/>
  <c r="C63" i="21"/>
  <c r="D63" i="21"/>
  <c r="E63" i="21"/>
  <c r="F63" i="21"/>
  <c r="G63" i="21"/>
  <c r="A64" i="21"/>
  <c r="B64" i="21"/>
  <c r="C64" i="21"/>
  <c r="D64" i="21"/>
  <c r="E64" i="21"/>
  <c r="F64" i="21"/>
  <c r="G64" i="21"/>
  <c r="A65" i="21"/>
  <c r="B65" i="21"/>
  <c r="C65" i="21"/>
  <c r="D65" i="21"/>
  <c r="E65" i="21"/>
  <c r="F65" i="21"/>
  <c r="G65" i="21"/>
  <c r="A66" i="21"/>
  <c r="B66" i="21"/>
  <c r="C66" i="21"/>
  <c r="D66" i="21"/>
  <c r="E66" i="21"/>
  <c r="F66" i="21"/>
  <c r="G66" i="21"/>
  <c r="A67" i="21"/>
  <c r="B67" i="21"/>
  <c r="C67" i="21"/>
  <c r="D67" i="21"/>
  <c r="E67" i="21"/>
  <c r="F67" i="21"/>
  <c r="G67" i="21"/>
  <c r="A68" i="21"/>
  <c r="B68" i="21"/>
  <c r="C68" i="21"/>
  <c r="D68" i="21"/>
  <c r="E68" i="21"/>
  <c r="F68" i="21"/>
  <c r="G68" i="21"/>
  <c r="A69" i="21"/>
  <c r="B69" i="21"/>
  <c r="C69" i="21"/>
  <c r="D69" i="21"/>
  <c r="E69" i="21"/>
  <c r="F69" i="21"/>
  <c r="G69" i="21"/>
  <c r="A70" i="21"/>
  <c r="B70" i="21"/>
  <c r="C70" i="21"/>
  <c r="D70" i="21"/>
  <c r="E70" i="21"/>
  <c r="F70" i="21"/>
  <c r="G70" i="21"/>
  <c r="A71" i="21"/>
  <c r="B71" i="21"/>
  <c r="C71" i="21"/>
  <c r="D71" i="21"/>
  <c r="E71" i="21"/>
  <c r="F71" i="21"/>
  <c r="G71" i="21"/>
  <c r="A72" i="21"/>
  <c r="B72" i="21"/>
  <c r="C72" i="21"/>
  <c r="D72" i="21"/>
  <c r="E72" i="21"/>
  <c r="F72" i="21"/>
  <c r="G72" i="21"/>
  <c r="A73" i="21"/>
  <c r="B73" i="21"/>
  <c r="C73" i="21"/>
  <c r="D73" i="21"/>
  <c r="E73" i="21"/>
  <c r="F73" i="21"/>
  <c r="G73" i="21"/>
  <c r="A44" i="27"/>
  <c r="B44" i="27"/>
  <c r="C44" i="27"/>
  <c r="D44" i="27"/>
  <c r="E44" i="27"/>
  <c r="F44" i="27"/>
  <c r="G44" i="27"/>
  <c r="A45" i="27"/>
  <c r="B45" i="27"/>
  <c r="C45" i="27"/>
  <c r="D45" i="27"/>
  <c r="E45" i="27"/>
  <c r="F45" i="27"/>
  <c r="G45" i="27"/>
  <c r="A46" i="27"/>
  <c r="B46" i="27"/>
  <c r="C46" i="27"/>
  <c r="D46" i="27"/>
  <c r="E46" i="27"/>
  <c r="F46" i="27"/>
  <c r="G46" i="27"/>
  <c r="A47" i="27"/>
  <c r="B47" i="27"/>
  <c r="C47" i="27"/>
  <c r="D47" i="27"/>
  <c r="E47" i="27"/>
  <c r="F47" i="27"/>
  <c r="G47" i="27"/>
  <c r="A48" i="27"/>
  <c r="B48" i="27"/>
  <c r="C48" i="27"/>
  <c r="D48" i="27"/>
  <c r="E48" i="27"/>
  <c r="F48" i="27"/>
  <c r="G48" i="27"/>
  <c r="A14" i="44" l="1"/>
  <c r="A14" i="27"/>
  <c r="B14" i="27"/>
  <c r="C14" i="27"/>
  <c r="D14" i="27"/>
  <c r="E14" i="27"/>
  <c r="F14" i="27"/>
  <c r="G14" i="27"/>
  <c r="A14" i="59"/>
  <c r="B14" i="59"/>
  <c r="C14" i="59"/>
  <c r="D14" i="59"/>
  <c r="E14" i="59"/>
  <c r="F14" i="59"/>
  <c r="G14" i="59"/>
  <c r="A14" i="21"/>
  <c r="B14" i="21"/>
  <c r="C14" i="21"/>
  <c r="D14" i="21"/>
  <c r="E14" i="21"/>
  <c r="F14" i="21"/>
  <c r="G14" i="21"/>
  <c r="W73" i="63"/>
  <c r="V73" i="63"/>
  <c r="S73" i="63"/>
  <c r="P73" i="63"/>
  <c r="M73" i="63"/>
  <c r="J73" i="63"/>
  <c r="W72" i="63"/>
  <c r="V72" i="63"/>
  <c r="S72" i="63"/>
  <c r="P72" i="63"/>
  <c r="M72" i="63"/>
  <c r="J72" i="63"/>
  <c r="W71" i="63"/>
  <c r="V71" i="63"/>
  <c r="S71" i="63"/>
  <c r="P71" i="63"/>
  <c r="M71" i="63"/>
  <c r="J71" i="63"/>
  <c r="W70" i="63"/>
  <c r="V70" i="63"/>
  <c r="S70" i="63"/>
  <c r="P70" i="63"/>
  <c r="M70" i="63"/>
  <c r="J70" i="63"/>
  <c r="W69" i="63"/>
  <c r="V69" i="63"/>
  <c r="S69" i="63"/>
  <c r="P69" i="63"/>
  <c r="M69" i="63"/>
  <c r="J69" i="63"/>
  <c r="W68" i="63"/>
  <c r="V68" i="63"/>
  <c r="S68" i="63"/>
  <c r="P68" i="63"/>
  <c r="M68" i="63"/>
  <c r="J68" i="63"/>
  <c r="W67" i="63"/>
  <c r="V67" i="63"/>
  <c r="S67" i="63"/>
  <c r="P67" i="63"/>
  <c r="M67" i="63"/>
  <c r="J67" i="63"/>
  <c r="W66" i="63"/>
  <c r="V66" i="63"/>
  <c r="S66" i="63"/>
  <c r="P66" i="63"/>
  <c r="M66" i="63"/>
  <c r="J66" i="63"/>
  <c r="W65" i="63"/>
  <c r="V65" i="63"/>
  <c r="S65" i="63"/>
  <c r="P65" i="63"/>
  <c r="M65" i="63"/>
  <c r="J65" i="63"/>
  <c r="W64" i="63"/>
  <c r="V64" i="63"/>
  <c r="S64" i="63"/>
  <c r="P64" i="63"/>
  <c r="M64" i="63"/>
  <c r="J64" i="63"/>
  <c r="W63" i="63"/>
  <c r="V63" i="63"/>
  <c r="S63" i="63"/>
  <c r="P63" i="63"/>
  <c r="M63" i="63"/>
  <c r="J63" i="63"/>
  <c r="W62" i="63"/>
  <c r="V62" i="63"/>
  <c r="S62" i="63"/>
  <c r="P62" i="63"/>
  <c r="M62" i="63"/>
  <c r="J62" i="63"/>
  <c r="W61" i="63"/>
  <c r="V61" i="63"/>
  <c r="S61" i="63"/>
  <c r="P61" i="63"/>
  <c r="M61" i="63"/>
  <c r="J61" i="63"/>
  <c r="W60" i="63"/>
  <c r="V60" i="63"/>
  <c r="S60" i="63"/>
  <c r="P60" i="63"/>
  <c r="M60" i="63"/>
  <c r="J60" i="63"/>
  <c r="W59" i="63"/>
  <c r="V59" i="63"/>
  <c r="S59" i="63"/>
  <c r="P59" i="63"/>
  <c r="M59" i="63"/>
  <c r="J59" i="63"/>
  <c r="W58" i="63"/>
  <c r="V58" i="63"/>
  <c r="S58" i="63"/>
  <c r="P58" i="63"/>
  <c r="M58" i="63"/>
  <c r="J58" i="63"/>
  <c r="W57" i="63"/>
  <c r="V57" i="63"/>
  <c r="S57" i="63"/>
  <c r="P57" i="63"/>
  <c r="M57" i="63"/>
  <c r="J57" i="63"/>
  <c r="W56" i="63"/>
  <c r="V56" i="63"/>
  <c r="S56" i="63"/>
  <c r="P56" i="63"/>
  <c r="M56" i="63"/>
  <c r="J56" i="63"/>
  <c r="W55" i="63"/>
  <c r="V55" i="63"/>
  <c r="S55" i="63"/>
  <c r="P55" i="63"/>
  <c r="M55" i="63"/>
  <c r="J55" i="63"/>
  <c r="W54" i="63"/>
  <c r="V54" i="63"/>
  <c r="S54" i="63"/>
  <c r="P54" i="63"/>
  <c r="M54" i="63"/>
  <c r="J54" i="63"/>
  <c r="W53" i="63"/>
  <c r="V53" i="63"/>
  <c r="S53" i="63"/>
  <c r="P53" i="63"/>
  <c r="M53" i="63"/>
  <c r="J53" i="63"/>
  <c r="W52" i="63"/>
  <c r="V52" i="63"/>
  <c r="S52" i="63"/>
  <c r="P52" i="63"/>
  <c r="M52" i="63"/>
  <c r="J52" i="63"/>
  <c r="W51" i="63"/>
  <c r="V51" i="63"/>
  <c r="S51" i="63"/>
  <c r="P51" i="63"/>
  <c r="M51" i="63"/>
  <c r="J51" i="63"/>
  <c r="W50" i="63"/>
  <c r="V50" i="63"/>
  <c r="S50" i="63"/>
  <c r="P50" i="63"/>
  <c r="M50" i="63"/>
  <c r="J50" i="63"/>
  <c r="W49" i="63"/>
  <c r="V49" i="63"/>
  <c r="S49" i="63"/>
  <c r="P49" i="63"/>
  <c r="M49" i="63"/>
  <c r="J49" i="63"/>
  <c r="W48" i="63"/>
  <c r="V48" i="63"/>
  <c r="S48" i="63"/>
  <c r="P48" i="63"/>
  <c r="M48" i="63"/>
  <c r="J48" i="63"/>
  <c r="W47" i="63"/>
  <c r="V47" i="63"/>
  <c r="S47" i="63"/>
  <c r="P47" i="63"/>
  <c r="M47" i="63"/>
  <c r="J47" i="63"/>
  <c r="W46" i="63"/>
  <c r="V46" i="63"/>
  <c r="S46" i="63"/>
  <c r="P46" i="63"/>
  <c r="M46" i="63"/>
  <c r="J46" i="63"/>
  <c r="W45" i="63"/>
  <c r="V45" i="63"/>
  <c r="S45" i="63"/>
  <c r="P45" i="63"/>
  <c r="M45" i="63"/>
  <c r="J45" i="63"/>
  <c r="W44" i="63"/>
  <c r="V44" i="63"/>
  <c r="S44" i="63"/>
  <c r="P44" i="63"/>
  <c r="M44" i="63"/>
  <c r="J44" i="63"/>
  <c r="W43" i="63"/>
  <c r="V43" i="63"/>
  <c r="S43" i="63"/>
  <c r="P43" i="63"/>
  <c r="M43" i="63"/>
  <c r="J43" i="63"/>
  <c r="W42" i="63"/>
  <c r="V42" i="63"/>
  <c r="S42" i="63"/>
  <c r="P42" i="63"/>
  <c r="M42" i="63"/>
  <c r="J42" i="63"/>
  <c r="W41" i="63"/>
  <c r="V41" i="63"/>
  <c r="S41" i="63"/>
  <c r="P41" i="63"/>
  <c r="M41" i="63"/>
  <c r="J41" i="63"/>
  <c r="W40" i="63"/>
  <c r="V40" i="63"/>
  <c r="S40" i="63"/>
  <c r="P40" i="63"/>
  <c r="M40" i="63"/>
  <c r="J40" i="63"/>
  <c r="W39" i="63"/>
  <c r="V39" i="63"/>
  <c r="S39" i="63"/>
  <c r="P39" i="63"/>
  <c r="M39" i="63"/>
  <c r="J39" i="63"/>
  <c r="W38" i="63"/>
  <c r="V38" i="63"/>
  <c r="S38" i="63"/>
  <c r="P38" i="63"/>
  <c r="M38" i="63"/>
  <c r="J38" i="63"/>
  <c r="W37" i="63"/>
  <c r="V37" i="63"/>
  <c r="S37" i="63"/>
  <c r="P37" i="63"/>
  <c r="M37" i="63"/>
  <c r="J37" i="63"/>
  <c r="W36" i="63"/>
  <c r="V36" i="63"/>
  <c r="S36" i="63"/>
  <c r="P36" i="63"/>
  <c r="M36" i="63"/>
  <c r="J36" i="63"/>
  <c r="W35" i="63"/>
  <c r="V35" i="63"/>
  <c r="S35" i="63"/>
  <c r="P35" i="63"/>
  <c r="M35" i="63"/>
  <c r="J35" i="63"/>
  <c r="W34" i="63"/>
  <c r="V34" i="63"/>
  <c r="S34" i="63"/>
  <c r="P34" i="63"/>
  <c r="M34" i="63"/>
  <c r="J34" i="63"/>
  <c r="W24" i="63"/>
  <c r="V24" i="63"/>
  <c r="S24" i="63"/>
  <c r="P24" i="63"/>
  <c r="M24" i="63"/>
  <c r="J24" i="63"/>
  <c r="W26" i="63"/>
  <c r="V26" i="63"/>
  <c r="S26" i="63"/>
  <c r="P26" i="63"/>
  <c r="M26" i="63"/>
  <c r="J26" i="63"/>
  <c r="W33" i="63"/>
  <c r="V33" i="63"/>
  <c r="S33" i="63"/>
  <c r="P33" i="63"/>
  <c r="M33" i="63"/>
  <c r="J33" i="63"/>
  <c r="W28" i="63"/>
  <c r="V28" i="63"/>
  <c r="S28" i="63"/>
  <c r="P28" i="63"/>
  <c r="M28" i="63"/>
  <c r="J28" i="63"/>
  <c r="W19" i="63"/>
  <c r="V19" i="63"/>
  <c r="S19" i="63"/>
  <c r="P19" i="63"/>
  <c r="M19" i="63"/>
  <c r="J19" i="63"/>
  <c r="W14" i="63"/>
  <c r="V14" i="63"/>
  <c r="S14" i="63"/>
  <c r="P14" i="63"/>
  <c r="M14" i="63"/>
  <c r="J14" i="63"/>
  <c r="W17" i="63"/>
  <c r="V17" i="63"/>
  <c r="S17" i="63"/>
  <c r="P17" i="63"/>
  <c r="M17" i="63"/>
  <c r="J17" i="63"/>
  <c r="W32" i="63"/>
  <c r="V32" i="63"/>
  <c r="S32" i="63"/>
  <c r="P32" i="63"/>
  <c r="M32" i="63"/>
  <c r="J32" i="63"/>
  <c r="W25" i="63"/>
  <c r="V25" i="63"/>
  <c r="S25" i="63"/>
  <c r="P25" i="63"/>
  <c r="M25" i="63"/>
  <c r="J25" i="63"/>
  <c r="W20" i="63"/>
  <c r="V20" i="63"/>
  <c r="S20" i="63"/>
  <c r="P20" i="63"/>
  <c r="M20" i="63"/>
  <c r="J20" i="63"/>
  <c r="W29" i="63"/>
  <c r="V29" i="63"/>
  <c r="S29" i="63"/>
  <c r="P29" i="63"/>
  <c r="M29" i="63"/>
  <c r="J29" i="63"/>
  <c r="W15" i="63"/>
  <c r="V15" i="63"/>
  <c r="S15" i="63"/>
  <c r="P15" i="63"/>
  <c r="M15" i="63"/>
  <c r="J15" i="63"/>
  <c r="W23" i="63"/>
  <c r="V23" i="63"/>
  <c r="S23" i="63"/>
  <c r="P23" i="63"/>
  <c r="M23" i="63"/>
  <c r="J23" i="63"/>
  <c r="W31" i="63"/>
  <c r="V31" i="63"/>
  <c r="S31" i="63"/>
  <c r="P31" i="63"/>
  <c r="M31" i="63"/>
  <c r="J31" i="63"/>
  <c r="W16" i="63"/>
  <c r="V16" i="63"/>
  <c r="S16" i="63"/>
  <c r="P16" i="63"/>
  <c r="M16" i="63"/>
  <c r="J16" i="63"/>
  <c r="W22" i="63"/>
  <c r="V22" i="63"/>
  <c r="S22" i="63"/>
  <c r="P22" i="63"/>
  <c r="M22" i="63"/>
  <c r="J22" i="63"/>
  <c r="W27" i="63"/>
  <c r="V27" i="63"/>
  <c r="S27" i="63"/>
  <c r="P27" i="63"/>
  <c r="M27" i="63"/>
  <c r="J27" i="63"/>
  <c r="W21" i="63"/>
  <c r="V21" i="63"/>
  <c r="S21" i="63"/>
  <c r="P21" i="63"/>
  <c r="M21" i="63"/>
  <c r="J21" i="63"/>
  <c r="W30" i="63"/>
  <c r="V30" i="63"/>
  <c r="S30" i="63"/>
  <c r="P30" i="63"/>
  <c r="M30" i="63"/>
  <c r="J30" i="63"/>
  <c r="W18" i="63"/>
  <c r="V18" i="63"/>
  <c r="S18" i="63"/>
  <c r="P18" i="63"/>
  <c r="M18" i="63"/>
  <c r="J18" i="63"/>
  <c r="F10" i="68"/>
  <c r="F9" i="68"/>
  <c r="D10" i="68"/>
  <c r="D9" i="68"/>
  <c r="C7" i="68"/>
  <c r="D8" i="68"/>
  <c r="D6" i="73" s="1"/>
  <c r="B8" i="68"/>
  <c r="B6" i="73" s="1"/>
  <c r="B14" i="44"/>
  <c r="C14" i="44"/>
  <c r="D14" i="44"/>
  <c r="E14" i="44"/>
  <c r="F14" i="44"/>
  <c r="G14" i="44"/>
  <c r="D8" i="45"/>
  <c r="D6" i="76" s="1"/>
  <c r="C7" i="45"/>
  <c r="F9" i="45"/>
  <c r="F10" i="45"/>
  <c r="D10" i="45"/>
  <c r="D9" i="45"/>
  <c r="D10" i="46"/>
  <c r="C7" i="46"/>
  <c r="D8" i="46"/>
  <c r="D6" i="77" s="1"/>
  <c r="F9" i="46"/>
  <c r="F10" i="46"/>
  <c r="D9" i="46"/>
  <c r="B8" i="46"/>
  <c r="B6" i="77" s="1"/>
  <c r="D8" i="44"/>
  <c r="D6" i="78" s="1"/>
  <c r="C7" i="44"/>
  <c r="A4" i="78" s="1"/>
  <c r="B8" i="44"/>
  <c r="B6" i="78" s="1"/>
  <c r="D9" i="44"/>
  <c r="F10" i="44"/>
  <c r="F9" i="44"/>
  <c r="D10" i="44"/>
  <c r="B8" i="45"/>
  <c r="B6" i="76" s="1"/>
  <c r="G14" i="46"/>
  <c r="F14" i="46"/>
  <c r="C14" i="46"/>
  <c r="D14" i="46"/>
  <c r="E14" i="46"/>
  <c r="B14" i="46"/>
  <c r="A14" i="46"/>
  <c r="G72" i="44"/>
  <c r="F72" i="44"/>
  <c r="E72" i="44"/>
  <c r="D72" i="44"/>
  <c r="C72" i="44"/>
  <c r="B72" i="44"/>
  <c r="A72" i="44"/>
  <c r="G71" i="44"/>
  <c r="F71" i="44"/>
  <c r="E71" i="44"/>
  <c r="D71" i="44"/>
  <c r="C71" i="44"/>
  <c r="B71" i="44"/>
  <c r="A71" i="44"/>
  <c r="G70" i="44"/>
  <c r="F70" i="44"/>
  <c r="E70" i="44"/>
  <c r="D70" i="44"/>
  <c r="C70" i="44"/>
  <c r="B70" i="44"/>
  <c r="A70" i="44"/>
  <c r="G69" i="44"/>
  <c r="F69" i="44"/>
  <c r="E69" i="44"/>
  <c r="D69" i="44"/>
  <c r="C69" i="44"/>
  <c r="B69" i="44"/>
  <c r="A69" i="44"/>
  <c r="G68" i="44"/>
  <c r="F68" i="44"/>
  <c r="E68" i="44"/>
  <c r="D68" i="44"/>
  <c r="C68" i="44"/>
  <c r="B68" i="44"/>
  <c r="A68" i="44"/>
  <c r="G67" i="44"/>
  <c r="F67" i="44"/>
  <c r="E67" i="44"/>
  <c r="D67" i="44"/>
  <c r="C67" i="44"/>
  <c r="B67" i="44"/>
  <c r="A67" i="44"/>
  <c r="G66" i="44"/>
  <c r="F66" i="44"/>
  <c r="E66" i="44"/>
  <c r="D66" i="44"/>
  <c r="C66" i="44"/>
  <c r="B66" i="44"/>
  <c r="A66" i="44"/>
  <c r="G65" i="44"/>
  <c r="F65" i="44"/>
  <c r="E65" i="44"/>
  <c r="D65" i="44"/>
  <c r="C65" i="44"/>
  <c r="B65" i="44"/>
  <c r="A65" i="44"/>
  <c r="G64" i="44"/>
  <c r="F64" i="44"/>
  <c r="E64" i="44"/>
  <c r="D64" i="44"/>
  <c r="C64" i="44"/>
  <c r="B64" i="44"/>
  <c r="A64" i="44"/>
  <c r="G63" i="44"/>
  <c r="F63" i="44"/>
  <c r="E63" i="44"/>
  <c r="D63" i="44"/>
  <c r="C63" i="44"/>
  <c r="B63" i="44"/>
  <c r="A63" i="44"/>
  <c r="G62" i="44"/>
  <c r="F62" i="44"/>
  <c r="E62" i="44"/>
  <c r="D62" i="44"/>
  <c r="C62" i="44"/>
  <c r="B62" i="44"/>
  <c r="A62" i="44"/>
  <c r="G61" i="44"/>
  <c r="F61" i="44"/>
  <c r="E61" i="44"/>
  <c r="D61" i="44"/>
  <c r="C61" i="44"/>
  <c r="B61" i="44"/>
  <c r="A61" i="44"/>
  <c r="G60" i="44"/>
  <c r="F60" i="44"/>
  <c r="E60" i="44"/>
  <c r="D60" i="44"/>
  <c r="C60" i="44"/>
  <c r="B60" i="44"/>
  <c r="A60" i="44"/>
  <c r="G59" i="44"/>
  <c r="F59" i="44"/>
  <c r="E59" i="44"/>
  <c r="D59" i="44"/>
  <c r="C59" i="44"/>
  <c r="B59" i="44"/>
  <c r="A59" i="44"/>
  <c r="G58" i="44"/>
  <c r="F58" i="44"/>
  <c r="E58" i="44"/>
  <c r="D58" i="44"/>
  <c r="C58" i="44"/>
  <c r="B58" i="44"/>
  <c r="A58" i="44"/>
  <c r="G57" i="44"/>
  <c r="F57" i="44"/>
  <c r="E57" i="44"/>
  <c r="D57" i="44"/>
  <c r="C57" i="44"/>
  <c r="B57" i="44"/>
  <c r="A57" i="44"/>
  <c r="G56" i="44"/>
  <c r="F56" i="44"/>
  <c r="E56" i="44"/>
  <c r="D56" i="44"/>
  <c r="C56" i="44"/>
  <c r="B56" i="44"/>
  <c r="A56" i="44"/>
  <c r="G55" i="44"/>
  <c r="F55" i="44"/>
  <c r="E55" i="44"/>
  <c r="D55" i="44"/>
  <c r="C55" i="44"/>
  <c r="B55" i="44"/>
  <c r="A55" i="44"/>
  <c r="G54" i="44"/>
  <c r="F54" i="44"/>
  <c r="E54" i="44"/>
  <c r="D54" i="44"/>
  <c r="C54" i="44"/>
  <c r="B54" i="44"/>
  <c r="A54" i="44"/>
  <c r="G53" i="44"/>
  <c r="F53" i="44"/>
  <c r="E53" i="44"/>
  <c r="D53" i="44"/>
  <c r="C53" i="44"/>
  <c r="B53" i="44"/>
  <c r="A53" i="44"/>
  <c r="G52" i="44"/>
  <c r="F52" i="44"/>
  <c r="E52" i="44"/>
  <c r="D52" i="44"/>
  <c r="C52" i="44"/>
  <c r="B52" i="44"/>
  <c r="A52" i="44"/>
  <c r="G51" i="44"/>
  <c r="F51" i="44"/>
  <c r="E51" i="44"/>
  <c r="D51" i="44"/>
  <c r="C51" i="44"/>
  <c r="B51" i="44"/>
  <c r="A51" i="44"/>
  <c r="G50" i="44"/>
  <c r="F50" i="44"/>
  <c r="E50" i="44"/>
  <c r="D50" i="44"/>
  <c r="C50" i="44"/>
  <c r="B50" i="44"/>
  <c r="A50" i="44"/>
  <c r="G49" i="44"/>
  <c r="F49" i="44"/>
  <c r="E49" i="44"/>
  <c r="D49" i="44"/>
  <c r="C49" i="44"/>
  <c r="B49" i="44"/>
  <c r="A49" i="44"/>
  <c r="G14" i="68"/>
  <c r="F14" i="68"/>
  <c r="E14" i="68"/>
  <c r="D14" i="68"/>
  <c r="C14" i="68"/>
  <c r="B14" i="68"/>
  <c r="A14" i="68"/>
  <c r="G73" i="68"/>
  <c r="F73" i="68"/>
  <c r="E73" i="68"/>
  <c r="D73" i="68"/>
  <c r="C73" i="68"/>
  <c r="B73" i="68"/>
  <c r="A73" i="68"/>
  <c r="G72" i="68"/>
  <c r="F72" i="68"/>
  <c r="E72" i="68"/>
  <c r="D72" i="68"/>
  <c r="C72" i="68"/>
  <c r="B72" i="68"/>
  <c r="A72" i="68"/>
  <c r="G71" i="68"/>
  <c r="F71" i="68"/>
  <c r="E71" i="68"/>
  <c r="D71" i="68"/>
  <c r="C71" i="68"/>
  <c r="B71" i="68"/>
  <c r="A71" i="68"/>
  <c r="G70" i="68"/>
  <c r="F70" i="68"/>
  <c r="E70" i="68"/>
  <c r="D70" i="68"/>
  <c r="C70" i="68"/>
  <c r="B70" i="68"/>
  <c r="A70" i="68"/>
  <c r="G69" i="68"/>
  <c r="F69" i="68"/>
  <c r="E69" i="68"/>
  <c r="D69" i="68"/>
  <c r="C69" i="68"/>
  <c r="B69" i="68"/>
  <c r="A69" i="68"/>
  <c r="G68" i="68"/>
  <c r="F68" i="68"/>
  <c r="E68" i="68"/>
  <c r="D68" i="68"/>
  <c r="C68" i="68"/>
  <c r="B68" i="68"/>
  <c r="A68" i="68"/>
  <c r="G67" i="68"/>
  <c r="F67" i="68"/>
  <c r="E67" i="68"/>
  <c r="D67" i="68"/>
  <c r="C67" i="68"/>
  <c r="B67" i="68"/>
  <c r="A67" i="68"/>
  <c r="G66" i="68"/>
  <c r="F66" i="68"/>
  <c r="E66" i="68"/>
  <c r="D66" i="68"/>
  <c r="C66" i="68"/>
  <c r="B66" i="68"/>
  <c r="A66" i="68"/>
  <c r="G65" i="68"/>
  <c r="F65" i="68"/>
  <c r="E65" i="68"/>
  <c r="D65" i="68"/>
  <c r="C65" i="68"/>
  <c r="B65" i="68"/>
  <c r="A65" i="68"/>
  <c r="G64" i="68"/>
  <c r="F64" i="68"/>
  <c r="E64" i="68"/>
  <c r="D64" i="68"/>
  <c r="C64" i="68"/>
  <c r="B64" i="68"/>
  <c r="A64" i="68"/>
  <c r="G63" i="68"/>
  <c r="F63" i="68"/>
  <c r="E63" i="68"/>
  <c r="D63" i="68"/>
  <c r="C63" i="68"/>
  <c r="B63" i="68"/>
  <c r="A63" i="68"/>
  <c r="G62" i="68"/>
  <c r="F62" i="68"/>
  <c r="E62" i="68"/>
  <c r="D62" i="68"/>
  <c r="C62" i="68"/>
  <c r="B62" i="68"/>
  <c r="A62" i="68"/>
  <c r="G61" i="68"/>
  <c r="F61" i="68"/>
  <c r="E61" i="68"/>
  <c r="D61" i="68"/>
  <c r="C61" i="68"/>
  <c r="B61" i="68"/>
  <c r="A61" i="68"/>
  <c r="G60" i="68"/>
  <c r="F60" i="68"/>
  <c r="E60" i="68"/>
  <c r="D60" i="68"/>
  <c r="C60" i="68"/>
  <c r="B60" i="68"/>
  <c r="A60" i="68"/>
  <c r="G59" i="68"/>
  <c r="F59" i="68"/>
  <c r="E59" i="68"/>
  <c r="D59" i="68"/>
  <c r="C59" i="68"/>
  <c r="B59" i="68"/>
  <c r="A59" i="68"/>
  <c r="G58" i="68"/>
  <c r="F58" i="68"/>
  <c r="E58" i="68"/>
  <c r="D58" i="68"/>
  <c r="C58" i="68"/>
  <c r="B58" i="68"/>
  <c r="A58" i="68"/>
  <c r="G57" i="68"/>
  <c r="F57" i="68"/>
  <c r="E57" i="68"/>
  <c r="D57" i="68"/>
  <c r="C57" i="68"/>
  <c r="B57" i="68"/>
  <c r="A57" i="68"/>
  <c r="G56" i="68"/>
  <c r="F56" i="68"/>
  <c r="E56" i="68"/>
  <c r="D56" i="68"/>
  <c r="C56" i="68"/>
  <c r="B56" i="68"/>
  <c r="A56" i="68"/>
  <c r="G55" i="68"/>
  <c r="F55" i="68"/>
  <c r="E55" i="68"/>
  <c r="D55" i="68"/>
  <c r="C55" i="68"/>
  <c r="B55" i="68"/>
  <c r="A55" i="68"/>
  <c r="G54" i="68"/>
  <c r="F54" i="68"/>
  <c r="E54" i="68"/>
  <c r="D54" i="68"/>
  <c r="C54" i="68"/>
  <c r="B54" i="68"/>
  <c r="A54" i="68"/>
  <c r="G53" i="68"/>
  <c r="F53" i="68"/>
  <c r="E53" i="68"/>
  <c r="D53" i="68"/>
  <c r="C53" i="68"/>
  <c r="B53" i="68"/>
  <c r="A53" i="68"/>
  <c r="G52" i="68"/>
  <c r="F52" i="68"/>
  <c r="E52" i="68"/>
  <c r="D52" i="68"/>
  <c r="C52" i="68"/>
  <c r="B52" i="68"/>
  <c r="A52" i="68"/>
  <c r="G51" i="68"/>
  <c r="F51" i="68"/>
  <c r="E51" i="68"/>
  <c r="D51" i="68"/>
  <c r="C51" i="68"/>
  <c r="B51" i="68"/>
  <c r="A51" i="68"/>
  <c r="G50" i="68"/>
  <c r="F50" i="68"/>
  <c r="E50" i="68"/>
  <c r="D50" i="68"/>
  <c r="C50" i="68"/>
  <c r="B50" i="68"/>
  <c r="A50" i="68"/>
  <c r="G49" i="68"/>
  <c r="F49" i="68"/>
  <c r="E49" i="68"/>
  <c r="D49" i="68"/>
  <c r="C49" i="68"/>
  <c r="B49" i="68"/>
  <c r="A49" i="68"/>
  <c r="G48" i="68"/>
  <c r="F48" i="68"/>
  <c r="E48" i="68"/>
  <c r="D48" i="68"/>
  <c r="C48" i="68"/>
  <c r="B48" i="68"/>
  <c r="A48" i="68"/>
  <c r="G47" i="68"/>
  <c r="F47" i="68"/>
  <c r="E47" i="68"/>
  <c r="D47" i="68"/>
  <c r="C47" i="68"/>
  <c r="B47" i="68"/>
  <c r="A47" i="68"/>
  <c r="G46" i="68"/>
  <c r="F46" i="68"/>
  <c r="E46" i="68"/>
  <c r="D46" i="68"/>
  <c r="C46" i="68"/>
  <c r="B46" i="68"/>
  <c r="A46" i="68"/>
  <c r="G45" i="68"/>
  <c r="F45" i="68"/>
  <c r="E45" i="68"/>
  <c r="D45" i="68"/>
  <c r="C45" i="68"/>
  <c r="B45" i="68"/>
  <c r="A45" i="68"/>
  <c r="A49" i="45"/>
  <c r="B49" i="45"/>
  <c r="C49" i="45"/>
  <c r="D49" i="45"/>
  <c r="E49" i="45"/>
  <c r="F49" i="45"/>
  <c r="G49" i="45"/>
  <c r="A50" i="45"/>
  <c r="B50" i="45"/>
  <c r="C50" i="45"/>
  <c r="D50" i="45"/>
  <c r="E50" i="45"/>
  <c r="F50" i="45"/>
  <c r="G50" i="45"/>
  <c r="A51" i="45"/>
  <c r="B51" i="45"/>
  <c r="C51" i="45"/>
  <c r="D51" i="45"/>
  <c r="E51" i="45"/>
  <c r="F51" i="45"/>
  <c r="G51" i="45"/>
  <c r="A52" i="45"/>
  <c r="B52" i="45"/>
  <c r="C52" i="45"/>
  <c r="D52" i="45"/>
  <c r="E52" i="45"/>
  <c r="F52" i="45"/>
  <c r="G52" i="45"/>
  <c r="A53" i="45"/>
  <c r="B53" i="45"/>
  <c r="C53" i="45"/>
  <c r="D53" i="45"/>
  <c r="E53" i="45"/>
  <c r="F53" i="45"/>
  <c r="G53" i="45"/>
  <c r="A54" i="45"/>
  <c r="B54" i="45"/>
  <c r="C54" i="45"/>
  <c r="D54" i="45"/>
  <c r="E54" i="45"/>
  <c r="F54" i="45"/>
  <c r="G54" i="45"/>
  <c r="A55" i="45"/>
  <c r="B55" i="45"/>
  <c r="C55" i="45"/>
  <c r="D55" i="45"/>
  <c r="E55" i="45"/>
  <c r="F55" i="45"/>
  <c r="G55" i="45"/>
  <c r="A56" i="45"/>
  <c r="B56" i="45"/>
  <c r="C56" i="45"/>
  <c r="D56" i="45"/>
  <c r="E56" i="45"/>
  <c r="F56" i="45"/>
  <c r="G56" i="45"/>
  <c r="A57" i="45"/>
  <c r="B57" i="45"/>
  <c r="C57" i="45"/>
  <c r="D57" i="45"/>
  <c r="E57" i="45"/>
  <c r="F57" i="45"/>
  <c r="G57" i="45"/>
  <c r="A58" i="45"/>
  <c r="B58" i="45"/>
  <c r="C58" i="45"/>
  <c r="D58" i="45"/>
  <c r="E58" i="45"/>
  <c r="F58" i="45"/>
  <c r="G58" i="45"/>
  <c r="A59" i="45"/>
  <c r="B59" i="45"/>
  <c r="C59" i="45"/>
  <c r="D59" i="45"/>
  <c r="E59" i="45"/>
  <c r="F59" i="45"/>
  <c r="G59" i="45"/>
  <c r="A60" i="45"/>
  <c r="B60" i="45"/>
  <c r="C60" i="45"/>
  <c r="D60" i="45"/>
  <c r="E60" i="45"/>
  <c r="F60" i="45"/>
  <c r="G60" i="45"/>
  <c r="A61" i="45"/>
  <c r="B61" i="45"/>
  <c r="C61" i="45"/>
  <c r="D61" i="45"/>
  <c r="E61" i="45"/>
  <c r="F61" i="45"/>
  <c r="G61" i="45"/>
  <c r="A62" i="45"/>
  <c r="B62" i="45"/>
  <c r="C62" i="45"/>
  <c r="D62" i="45"/>
  <c r="E62" i="45"/>
  <c r="F62" i="45"/>
  <c r="G62" i="45"/>
  <c r="A63" i="45"/>
  <c r="B63" i="45"/>
  <c r="C63" i="45"/>
  <c r="D63" i="45"/>
  <c r="E63" i="45"/>
  <c r="F63" i="45"/>
  <c r="G63" i="45"/>
  <c r="A64" i="45"/>
  <c r="B64" i="45"/>
  <c r="C64" i="45"/>
  <c r="D64" i="45"/>
  <c r="E64" i="45"/>
  <c r="F64" i="45"/>
  <c r="G64" i="45"/>
  <c r="A65" i="45"/>
  <c r="B65" i="45"/>
  <c r="C65" i="45"/>
  <c r="D65" i="45"/>
  <c r="E65" i="45"/>
  <c r="F65" i="45"/>
  <c r="G65" i="45"/>
  <c r="A66" i="45"/>
  <c r="B66" i="45"/>
  <c r="C66" i="45"/>
  <c r="D66" i="45"/>
  <c r="E66" i="45"/>
  <c r="F66" i="45"/>
  <c r="G66" i="45"/>
  <c r="A67" i="45"/>
  <c r="B67" i="45"/>
  <c r="C67" i="45"/>
  <c r="D67" i="45"/>
  <c r="E67" i="45"/>
  <c r="F67" i="45"/>
  <c r="G67" i="45"/>
  <c r="A68" i="45"/>
  <c r="B68" i="45"/>
  <c r="C68" i="45"/>
  <c r="D68" i="45"/>
  <c r="E68" i="45"/>
  <c r="F68" i="45"/>
  <c r="G68" i="45"/>
  <c r="A69" i="45"/>
  <c r="B69" i="45"/>
  <c r="C69" i="45"/>
  <c r="D69" i="45"/>
  <c r="E69" i="45"/>
  <c r="F69" i="45"/>
  <c r="G69" i="45"/>
  <c r="A70" i="45"/>
  <c r="B70" i="45"/>
  <c r="C70" i="45"/>
  <c r="D70" i="45"/>
  <c r="E70" i="45"/>
  <c r="F70" i="45"/>
  <c r="G70" i="45"/>
  <c r="A71" i="45"/>
  <c r="B71" i="45"/>
  <c r="C71" i="45"/>
  <c r="D71" i="45"/>
  <c r="E71" i="45"/>
  <c r="F71" i="45"/>
  <c r="G71" i="45"/>
  <c r="A72" i="45"/>
  <c r="B72" i="45"/>
  <c r="C72" i="45"/>
  <c r="D72" i="45"/>
  <c r="E72" i="45"/>
  <c r="F72" i="45"/>
  <c r="G72" i="45"/>
  <c r="A73" i="45"/>
  <c r="B73" i="45"/>
  <c r="C73" i="45"/>
  <c r="D73" i="45"/>
  <c r="E73" i="45"/>
  <c r="F73" i="45"/>
  <c r="G73" i="45"/>
  <c r="B14" i="45"/>
  <c r="A14" i="45"/>
  <c r="G14" i="45"/>
  <c r="F14" i="45"/>
  <c r="E14" i="45"/>
  <c r="D14" i="45"/>
  <c r="C14" i="45"/>
  <c r="W73" i="66"/>
  <c r="V73" i="66"/>
  <c r="S73" i="66"/>
  <c r="P73" i="66"/>
  <c r="M73" i="66"/>
  <c r="J73" i="66"/>
  <c r="W72" i="66"/>
  <c r="V72" i="66"/>
  <c r="S72" i="66"/>
  <c r="P72" i="66"/>
  <c r="M72" i="66"/>
  <c r="J72" i="66"/>
  <c r="W71" i="66"/>
  <c r="V71" i="66"/>
  <c r="S71" i="66"/>
  <c r="P71" i="66"/>
  <c r="M71" i="66"/>
  <c r="J71" i="66"/>
  <c r="W70" i="66"/>
  <c r="V70" i="66"/>
  <c r="S70" i="66"/>
  <c r="P70" i="66"/>
  <c r="M70" i="66"/>
  <c r="J70" i="66"/>
  <c r="W69" i="66"/>
  <c r="V69" i="66"/>
  <c r="S69" i="66"/>
  <c r="P69" i="66"/>
  <c r="M69" i="66"/>
  <c r="J69" i="66"/>
  <c r="W68" i="66"/>
  <c r="V68" i="66"/>
  <c r="S68" i="66"/>
  <c r="P68" i="66"/>
  <c r="M68" i="66"/>
  <c r="J68" i="66"/>
  <c r="W67" i="66"/>
  <c r="V67" i="66"/>
  <c r="S67" i="66"/>
  <c r="P67" i="66"/>
  <c r="M67" i="66"/>
  <c r="J67" i="66"/>
  <c r="W66" i="66"/>
  <c r="V66" i="66"/>
  <c r="S66" i="66"/>
  <c r="P66" i="66"/>
  <c r="M66" i="66"/>
  <c r="J66" i="66"/>
  <c r="W65" i="66"/>
  <c r="V65" i="66"/>
  <c r="S65" i="66"/>
  <c r="P65" i="66"/>
  <c r="M65" i="66"/>
  <c r="J65" i="66"/>
  <c r="W64" i="66"/>
  <c r="V64" i="66"/>
  <c r="S64" i="66"/>
  <c r="P64" i="66"/>
  <c r="M64" i="66"/>
  <c r="J64" i="66"/>
  <c r="W63" i="66"/>
  <c r="V63" i="66"/>
  <c r="S63" i="66"/>
  <c r="P63" i="66"/>
  <c r="M63" i="66"/>
  <c r="J63" i="66"/>
  <c r="W62" i="66"/>
  <c r="V62" i="66"/>
  <c r="S62" i="66"/>
  <c r="P62" i="66"/>
  <c r="M62" i="66"/>
  <c r="J62" i="66"/>
  <c r="W61" i="66"/>
  <c r="V61" i="66"/>
  <c r="S61" i="66"/>
  <c r="P61" i="66"/>
  <c r="M61" i="66"/>
  <c r="J61" i="66"/>
  <c r="W60" i="66"/>
  <c r="V60" i="66"/>
  <c r="S60" i="66"/>
  <c r="P60" i="66"/>
  <c r="M60" i="66"/>
  <c r="J60" i="66"/>
  <c r="W59" i="66"/>
  <c r="V59" i="66"/>
  <c r="S59" i="66"/>
  <c r="P59" i="66"/>
  <c r="M59" i="66"/>
  <c r="J59" i="66"/>
  <c r="W58" i="66"/>
  <c r="V58" i="66"/>
  <c r="S58" i="66"/>
  <c r="P58" i="66"/>
  <c r="M58" i="66"/>
  <c r="J58" i="66"/>
  <c r="W57" i="66"/>
  <c r="V57" i="66"/>
  <c r="S57" i="66"/>
  <c r="P57" i="66"/>
  <c r="M57" i="66"/>
  <c r="J57" i="66"/>
  <c r="W56" i="66"/>
  <c r="V56" i="66"/>
  <c r="S56" i="66"/>
  <c r="P56" i="66"/>
  <c r="M56" i="66"/>
  <c r="J56" i="66"/>
  <c r="W55" i="66"/>
  <c r="V55" i="66"/>
  <c r="S55" i="66"/>
  <c r="P55" i="66"/>
  <c r="M55" i="66"/>
  <c r="J55" i="66"/>
  <c r="W54" i="66"/>
  <c r="V54" i="66"/>
  <c r="S54" i="66"/>
  <c r="P54" i="66"/>
  <c r="M54" i="66"/>
  <c r="J54" i="66"/>
  <c r="W53" i="66"/>
  <c r="V53" i="66"/>
  <c r="S53" i="66"/>
  <c r="P53" i="66"/>
  <c r="M53" i="66"/>
  <c r="J53" i="66"/>
  <c r="W52" i="66"/>
  <c r="V52" i="66"/>
  <c r="S52" i="66"/>
  <c r="P52" i="66"/>
  <c r="M52" i="66"/>
  <c r="J52" i="66"/>
  <c r="W51" i="66"/>
  <c r="V51" i="66"/>
  <c r="S51" i="66"/>
  <c r="P51" i="66"/>
  <c r="M51" i="66"/>
  <c r="J51" i="66"/>
  <c r="W50" i="66"/>
  <c r="V50" i="66"/>
  <c r="S50" i="66"/>
  <c r="P50" i="66"/>
  <c r="M50" i="66"/>
  <c r="J50" i="66"/>
  <c r="W49" i="66"/>
  <c r="V49" i="66"/>
  <c r="S49" i="66"/>
  <c r="P49" i="66"/>
  <c r="M49" i="66"/>
  <c r="J49" i="66"/>
  <c r="W48" i="66"/>
  <c r="V48" i="66"/>
  <c r="S48" i="66"/>
  <c r="P48" i="66"/>
  <c r="M48" i="66"/>
  <c r="J48" i="66"/>
  <c r="W47" i="66"/>
  <c r="V47" i="66"/>
  <c r="S47" i="66"/>
  <c r="P47" i="66"/>
  <c r="M47" i="66"/>
  <c r="J47" i="66"/>
  <c r="W46" i="66"/>
  <c r="V46" i="66"/>
  <c r="S46" i="66"/>
  <c r="P46" i="66"/>
  <c r="M46" i="66"/>
  <c r="J46" i="66"/>
  <c r="W45" i="66"/>
  <c r="V45" i="66"/>
  <c r="S45" i="66"/>
  <c r="P45" i="66"/>
  <c r="M45" i="66"/>
  <c r="J45" i="66"/>
  <c r="W44" i="66"/>
  <c r="V44" i="66"/>
  <c r="S44" i="66"/>
  <c r="P44" i="66"/>
  <c r="M44" i="66"/>
  <c r="J44" i="66"/>
  <c r="W43" i="66"/>
  <c r="V43" i="66"/>
  <c r="S43" i="66"/>
  <c r="P43" i="66"/>
  <c r="M43" i="66"/>
  <c r="J43" i="66"/>
  <c r="W42" i="66"/>
  <c r="V42" i="66"/>
  <c r="S42" i="66"/>
  <c r="P42" i="66"/>
  <c r="M42" i="66"/>
  <c r="J42" i="66"/>
  <c r="W41" i="66"/>
  <c r="V41" i="66"/>
  <c r="S41" i="66"/>
  <c r="P41" i="66"/>
  <c r="M41" i="66"/>
  <c r="J41" i="66"/>
  <c r="W40" i="66"/>
  <c r="V40" i="66"/>
  <c r="S40" i="66"/>
  <c r="P40" i="66"/>
  <c r="M40" i="66"/>
  <c r="J40" i="66"/>
  <c r="W39" i="66"/>
  <c r="V39" i="66"/>
  <c r="S39" i="66"/>
  <c r="P39" i="66"/>
  <c r="M39" i="66"/>
  <c r="J39" i="66"/>
  <c r="W38" i="66"/>
  <c r="V38" i="66"/>
  <c r="S38" i="66"/>
  <c r="P38" i="66"/>
  <c r="M38" i="66"/>
  <c r="J38" i="66"/>
  <c r="W37" i="66"/>
  <c r="V37" i="66"/>
  <c r="S37" i="66"/>
  <c r="P37" i="66"/>
  <c r="M37" i="66"/>
  <c r="J37" i="66"/>
  <c r="W36" i="66"/>
  <c r="V36" i="66"/>
  <c r="S36" i="66"/>
  <c r="P36" i="66"/>
  <c r="M36" i="66"/>
  <c r="J36" i="66"/>
  <c r="W35" i="66"/>
  <c r="V35" i="66"/>
  <c r="S35" i="66"/>
  <c r="P35" i="66"/>
  <c r="M35" i="66"/>
  <c r="J35" i="66"/>
  <c r="W34" i="66"/>
  <c r="V34" i="66"/>
  <c r="S34" i="66"/>
  <c r="P34" i="66"/>
  <c r="M34" i="66"/>
  <c r="J34" i="66"/>
  <c r="W33" i="66"/>
  <c r="V33" i="66"/>
  <c r="S33" i="66"/>
  <c r="P33" i="66"/>
  <c r="M33" i="66"/>
  <c r="J33" i="66"/>
  <c r="W32" i="66"/>
  <c r="V32" i="66"/>
  <c r="S32" i="66"/>
  <c r="P32" i="66"/>
  <c r="M32" i="66"/>
  <c r="J32" i="66"/>
  <c r="W31" i="66"/>
  <c r="V31" i="66"/>
  <c r="S31" i="66"/>
  <c r="P31" i="66"/>
  <c r="M31" i="66"/>
  <c r="J31" i="66"/>
  <c r="W30" i="66"/>
  <c r="V30" i="66"/>
  <c r="S30" i="66"/>
  <c r="P30" i="66"/>
  <c r="M30" i="66"/>
  <c r="J30" i="66"/>
  <c r="W29" i="66"/>
  <c r="V29" i="66"/>
  <c r="S29" i="66"/>
  <c r="P29" i="66"/>
  <c r="M29" i="66"/>
  <c r="J29" i="66"/>
  <c r="W28" i="66"/>
  <c r="V28" i="66"/>
  <c r="S28" i="66"/>
  <c r="P28" i="66"/>
  <c r="M28" i="66"/>
  <c r="J28" i="66"/>
  <c r="W27" i="66"/>
  <c r="V27" i="66"/>
  <c r="S27" i="66"/>
  <c r="P27" i="66"/>
  <c r="M27" i="66"/>
  <c r="J27" i="66"/>
  <c r="W26" i="66"/>
  <c r="V26" i="66"/>
  <c r="S26" i="66"/>
  <c r="P26" i="66"/>
  <c r="M26" i="66"/>
  <c r="J26" i="66"/>
  <c r="W25" i="66"/>
  <c r="V25" i="66"/>
  <c r="S25" i="66"/>
  <c r="P25" i="66"/>
  <c r="M25" i="66"/>
  <c r="J25" i="66"/>
  <c r="W24" i="66"/>
  <c r="V24" i="66"/>
  <c r="S24" i="66"/>
  <c r="P24" i="66"/>
  <c r="M24" i="66"/>
  <c r="J24" i="66"/>
  <c r="W15" i="66"/>
  <c r="V15" i="66"/>
  <c r="S15" i="66"/>
  <c r="P15" i="66"/>
  <c r="M15" i="66"/>
  <c r="J15" i="66"/>
  <c r="W19" i="66"/>
  <c r="V19" i="66"/>
  <c r="S19" i="66"/>
  <c r="P19" i="66"/>
  <c r="M19" i="66"/>
  <c r="J19" i="66"/>
  <c r="W17" i="66"/>
  <c r="V17" i="66"/>
  <c r="S17" i="66"/>
  <c r="P17" i="66"/>
  <c r="M17" i="66"/>
  <c r="J17" i="66"/>
  <c r="W22" i="66"/>
  <c r="V22" i="66"/>
  <c r="S22" i="66"/>
  <c r="P22" i="66"/>
  <c r="M22" i="66"/>
  <c r="J22" i="66"/>
  <c r="W21" i="66"/>
  <c r="V21" i="66"/>
  <c r="S21" i="66"/>
  <c r="P21" i="66"/>
  <c r="M21" i="66"/>
  <c r="J21" i="66"/>
  <c r="W18" i="66"/>
  <c r="V18" i="66"/>
  <c r="S18" i="66"/>
  <c r="P18" i="66"/>
  <c r="M18" i="66"/>
  <c r="J18" i="66"/>
  <c r="W16" i="66"/>
  <c r="V16" i="66"/>
  <c r="S16" i="66"/>
  <c r="P16" i="66"/>
  <c r="M16" i="66"/>
  <c r="J16" i="66"/>
  <c r="W14" i="66"/>
  <c r="V14" i="66"/>
  <c r="S14" i="66"/>
  <c r="P14" i="66"/>
  <c r="M14" i="66"/>
  <c r="J14" i="66"/>
  <c r="W20" i="66"/>
  <c r="V20" i="66"/>
  <c r="S20" i="66"/>
  <c r="P20" i="66"/>
  <c r="M20" i="66"/>
  <c r="J20" i="66"/>
  <c r="W23" i="66"/>
  <c r="V23" i="66"/>
  <c r="S23" i="66"/>
  <c r="P23" i="66"/>
  <c r="M23" i="66"/>
  <c r="J23" i="66"/>
  <c r="W11" i="66"/>
  <c r="V11" i="66"/>
  <c r="W73" i="65"/>
  <c r="V73" i="65"/>
  <c r="S73" i="65"/>
  <c r="P73" i="65"/>
  <c r="M73" i="65"/>
  <c r="J73" i="65"/>
  <c r="W72" i="65"/>
  <c r="V72" i="65"/>
  <c r="S72" i="65"/>
  <c r="P72" i="65"/>
  <c r="M72" i="65"/>
  <c r="J72" i="65"/>
  <c r="W71" i="65"/>
  <c r="V71" i="65"/>
  <c r="S71" i="65"/>
  <c r="P71" i="65"/>
  <c r="M71" i="65"/>
  <c r="J71" i="65"/>
  <c r="W70" i="65"/>
  <c r="V70" i="65"/>
  <c r="S70" i="65"/>
  <c r="P70" i="65"/>
  <c r="M70" i="65"/>
  <c r="J70" i="65"/>
  <c r="W69" i="65"/>
  <c r="V69" i="65"/>
  <c r="S69" i="65"/>
  <c r="P69" i="65"/>
  <c r="M69" i="65"/>
  <c r="J69" i="65"/>
  <c r="W68" i="65"/>
  <c r="V68" i="65"/>
  <c r="S68" i="65"/>
  <c r="P68" i="65"/>
  <c r="M68" i="65"/>
  <c r="J68" i="65"/>
  <c r="W67" i="65"/>
  <c r="V67" i="65"/>
  <c r="S67" i="65"/>
  <c r="P67" i="65"/>
  <c r="M67" i="65"/>
  <c r="J67" i="65"/>
  <c r="W66" i="65"/>
  <c r="V66" i="65"/>
  <c r="S66" i="65"/>
  <c r="P66" i="65"/>
  <c r="M66" i="65"/>
  <c r="J66" i="65"/>
  <c r="W65" i="65"/>
  <c r="V65" i="65"/>
  <c r="S65" i="65"/>
  <c r="P65" i="65"/>
  <c r="M65" i="65"/>
  <c r="J65" i="65"/>
  <c r="W64" i="65"/>
  <c r="V64" i="65"/>
  <c r="S64" i="65"/>
  <c r="P64" i="65"/>
  <c r="M64" i="65"/>
  <c r="J64" i="65"/>
  <c r="W63" i="65"/>
  <c r="V63" i="65"/>
  <c r="S63" i="65"/>
  <c r="P63" i="65"/>
  <c r="M63" i="65"/>
  <c r="J63" i="65"/>
  <c r="W62" i="65"/>
  <c r="V62" i="65"/>
  <c r="S62" i="65"/>
  <c r="P62" i="65"/>
  <c r="M62" i="65"/>
  <c r="J62" i="65"/>
  <c r="W58" i="65"/>
  <c r="V58" i="65"/>
  <c r="S58" i="65"/>
  <c r="P58" i="65"/>
  <c r="M58" i="65"/>
  <c r="J58" i="65"/>
  <c r="W26" i="65"/>
  <c r="V26" i="65"/>
  <c r="S26" i="65"/>
  <c r="P26" i="65"/>
  <c r="M26" i="65"/>
  <c r="J26" i="65"/>
  <c r="W59" i="65"/>
  <c r="V59" i="65"/>
  <c r="S59" i="65"/>
  <c r="P59" i="65"/>
  <c r="M59" i="65"/>
  <c r="J59" i="65"/>
  <c r="W29" i="65"/>
  <c r="V29" i="65"/>
  <c r="S29" i="65"/>
  <c r="P29" i="65"/>
  <c r="M29" i="65"/>
  <c r="J29" i="65"/>
  <c r="W47" i="65"/>
  <c r="V47" i="65"/>
  <c r="S47" i="65"/>
  <c r="P47" i="65"/>
  <c r="M47" i="65"/>
  <c r="J47" i="65"/>
  <c r="W35" i="65"/>
  <c r="V35" i="65"/>
  <c r="S35" i="65"/>
  <c r="P35" i="65"/>
  <c r="M35" i="65"/>
  <c r="J35" i="65"/>
  <c r="W57" i="65"/>
  <c r="V57" i="65"/>
  <c r="S57" i="65"/>
  <c r="P57" i="65"/>
  <c r="M57" i="65"/>
  <c r="J57" i="65"/>
  <c r="W37" i="65"/>
  <c r="V37" i="65"/>
  <c r="S37" i="65"/>
  <c r="P37" i="65"/>
  <c r="M37" i="65"/>
  <c r="J37" i="65"/>
  <c r="W31" i="65"/>
  <c r="V31" i="65"/>
  <c r="S31" i="65"/>
  <c r="P31" i="65"/>
  <c r="M31" i="65"/>
  <c r="J31" i="65"/>
  <c r="W45" i="65"/>
  <c r="V45" i="65"/>
  <c r="S45" i="65"/>
  <c r="P45" i="65"/>
  <c r="M45" i="65"/>
  <c r="J45" i="65"/>
  <c r="W56" i="65"/>
  <c r="V56" i="65"/>
  <c r="S56" i="65"/>
  <c r="P56" i="65"/>
  <c r="M56" i="65"/>
  <c r="J56" i="65"/>
  <c r="W16" i="65"/>
  <c r="V16" i="65"/>
  <c r="S16" i="65"/>
  <c r="P16" i="65"/>
  <c r="M16" i="65"/>
  <c r="J16" i="65"/>
  <c r="W61" i="65"/>
  <c r="V61" i="65"/>
  <c r="S61" i="65"/>
  <c r="P61" i="65"/>
  <c r="M61" i="65"/>
  <c r="J61" i="65"/>
  <c r="W21" i="65"/>
  <c r="V21" i="65"/>
  <c r="S21" i="65"/>
  <c r="P21" i="65"/>
  <c r="M21" i="65"/>
  <c r="J21" i="65"/>
  <c r="W49" i="65"/>
  <c r="V49" i="65"/>
  <c r="S49" i="65"/>
  <c r="P49" i="65"/>
  <c r="M49" i="65"/>
  <c r="J49" i="65"/>
  <c r="W20" i="65"/>
  <c r="V20" i="65"/>
  <c r="S20" i="65"/>
  <c r="P20" i="65"/>
  <c r="M20" i="65"/>
  <c r="J20" i="65"/>
  <c r="W48" i="65"/>
  <c r="V48" i="65"/>
  <c r="S48" i="65"/>
  <c r="P48" i="65"/>
  <c r="M48" i="65"/>
  <c r="J48" i="65"/>
  <c r="W33" i="65"/>
  <c r="V33" i="65"/>
  <c r="S33" i="65"/>
  <c r="P33" i="65"/>
  <c r="M33" i="65"/>
  <c r="J33" i="65"/>
  <c r="W14" i="65"/>
  <c r="V14" i="65"/>
  <c r="S14" i="65"/>
  <c r="P14" i="65"/>
  <c r="M14" i="65"/>
  <c r="J14" i="65"/>
  <c r="W17" i="65"/>
  <c r="V17" i="65"/>
  <c r="S17" i="65"/>
  <c r="P17" i="65"/>
  <c r="M17" i="65"/>
  <c r="J17" i="65"/>
  <c r="W50" i="65"/>
  <c r="V50" i="65"/>
  <c r="S50" i="65"/>
  <c r="P50" i="65"/>
  <c r="M50" i="65"/>
  <c r="J50" i="65"/>
  <c r="W60" i="65"/>
  <c r="V60" i="65"/>
  <c r="S60" i="65"/>
  <c r="P60" i="65"/>
  <c r="M60" i="65"/>
  <c r="J60" i="65"/>
  <c r="W28" i="65"/>
  <c r="V28" i="65"/>
  <c r="S28" i="65"/>
  <c r="P28" i="65"/>
  <c r="M28" i="65"/>
  <c r="J28" i="65"/>
  <c r="W44" i="65"/>
  <c r="V44" i="65"/>
  <c r="S44" i="65"/>
  <c r="P44" i="65"/>
  <c r="M44" i="65"/>
  <c r="J44" i="65"/>
  <c r="W25" i="65"/>
  <c r="V25" i="65"/>
  <c r="S25" i="65"/>
  <c r="P25" i="65"/>
  <c r="M25" i="65"/>
  <c r="J25" i="65"/>
  <c r="W39" i="65"/>
  <c r="V39" i="65"/>
  <c r="S39" i="65"/>
  <c r="P39" i="65"/>
  <c r="M39" i="65"/>
  <c r="J39" i="65"/>
  <c r="W15" i="65"/>
  <c r="V15" i="65"/>
  <c r="S15" i="65"/>
  <c r="P15" i="65"/>
  <c r="M15" i="65"/>
  <c r="J15" i="65"/>
  <c r="W52" i="65"/>
  <c r="V52" i="65"/>
  <c r="S52" i="65"/>
  <c r="P52" i="65"/>
  <c r="M52" i="65"/>
  <c r="J52" i="65"/>
  <c r="W22" i="65"/>
  <c r="V22" i="65"/>
  <c r="S22" i="65"/>
  <c r="P22" i="65"/>
  <c r="M22" i="65"/>
  <c r="J22" i="65"/>
  <c r="W34" i="65"/>
  <c r="V34" i="65"/>
  <c r="S34" i="65"/>
  <c r="P34" i="65"/>
  <c r="M34" i="65"/>
  <c r="J34" i="65"/>
  <c r="W46" i="65"/>
  <c r="V46" i="65"/>
  <c r="S46" i="65"/>
  <c r="P46" i="65"/>
  <c r="M46" i="65"/>
  <c r="J46" i="65"/>
  <c r="W55" i="65"/>
  <c r="V55" i="65"/>
  <c r="S55" i="65"/>
  <c r="P55" i="65"/>
  <c r="M55" i="65"/>
  <c r="J55" i="65"/>
  <c r="W36" i="65"/>
  <c r="V36" i="65"/>
  <c r="S36" i="65"/>
  <c r="P36" i="65"/>
  <c r="M36" i="65"/>
  <c r="J36" i="65"/>
  <c r="W23" i="65"/>
  <c r="V23" i="65"/>
  <c r="S23" i="65"/>
  <c r="P23" i="65"/>
  <c r="M23" i="65"/>
  <c r="J23" i="65"/>
  <c r="W19" i="65"/>
  <c r="V19" i="65"/>
  <c r="S19" i="65"/>
  <c r="P19" i="65"/>
  <c r="M19" i="65"/>
  <c r="J19" i="65"/>
  <c r="W40" i="65"/>
  <c r="V40" i="65"/>
  <c r="S40" i="65"/>
  <c r="P40" i="65"/>
  <c r="M40" i="65"/>
  <c r="J40" i="65"/>
  <c r="W54" i="65"/>
  <c r="V54" i="65"/>
  <c r="S54" i="65"/>
  <c r="P54" i="65"/>
  <c r="M54" i="65"/>
  <c r="J54" i="65"/>
  <c r="W27" i="65"/>
  <c r="V27" i="65"/>
  <c r="S27" i="65"/>
  <c r="P27" i="65"/>
  <c r="M27" i="65"/>
  <c r="J27" i="65"/>
  <c r="W38" i="65"/>
  <c r="V38" i="65"/>
  <c r="S38" i="65"/>
  <c r="P38" i="65"/>
  <c r="M38" i="65"/>
  <c r="J38" i="65"/>
  <c r="W18" i="65"/>
  <c r="V18" i="65"/>
  <c r="S18" i="65"/>
  <c r="P18" i="65"/>
  <c r="M18" i="65"/>
  <c r="J18" i="65"/>
  <c r="W30" i="65"/>
  <c r="V30" i="65"/>
  <c r="S30" i="65"/>
  <c r="P30" i="65"/>
  <c r="M30" i="65"/>
  <c r="J30" i="65"/>
  <c r="W43" i="65"/>
  <c r="V43" i="65"/>
  <c r="S43" i="65"/>
  <c r="P43" i="65"/>
  <c r="M43" i="65"/>
  <c r="J43" i="65"/>
  <c r="W24" i="65"/>
  <c r="V24" i="65"/>
  <c r="S24" i="65"/>
  <c r="P24" i="65"/>
  <c r="M24" i="65"/>
  <c r="J24" i="65"/>
  <c r="W41" i="65"/>
  <c r="V41" i="65"/>
  <c r="S41" i="65"/>
  <c r="P41" i="65"/>
  <c r="M41" i="65"/>
  <c r="J41" i="65"/>
  <c r="W42" i="65"/>
  <c r="V42" i="65"/>
  <c r="S42" i="65"/>
  <c r="P42" i="65"/>
  <c r="M42" i="65"/>
  <c r="J42" i="65"/>
  <c r="W51" i="65"/>
  <c r="V51" i="65"/>
  <c r="S51" i="65"/>
  <c r="P51" i="65"/>
  <c r="M51" i="65"/>
  <c r="J51" i="65"/>
  <c r="W53" i="65"/>
  <c r="V53" i="65"/>
  <c r="S53" i="65"/>
  <c r="P53" i="65"/>
  <c r="M53" i="65"/>
  <c r="J53" i="65"/>
  <c r="W32" i="65"/>
  <c r="V32" i="65"/>
  <c r="S32" i="65"/>
  <c r="P32" i="65"/>
  <c r="M32" i="65"/>
  <c r="J32" i="65"/>
  <c r="W11" i="65"/>
  <c r="V11" i="65"/>
  <c r="W73" i="64"/>
  <c r="V73" i="64"/>
  <c r="S73" i="64"/>
  <c r="P73" i="64"/>
  <c r="M73" i="64"/>
  <c r="J73" i="64"/>
  <c r="W72" i="64"/>
  <c r="V72" i="64"/>
  <c r="S72" i="64"/>
  <c r="P72" i="64"/>
  <c r="M72" i="64"/>
  <c r="J72" i="64"/>
  <c r="W71" i="64"/>
  <c r="V71" i="64"/>
  <c r="S71" i="64"/>
  <c r="P71" i="64"/>
  <c r="M71" i="64"/>
  <c r="J71" i="64"/>
  <c r="W70" i="64"/>
  <c r="V70" i="64"/>
  <c r="S70" i="64"/>
  <c r="P70" i="64"/>
  <c r="M70" i="64"/>
  <c r="J70" i="64"/>
  <c r="W69" i="64"/>
  <c r="V69" i="64"/>
  <c r="S69" i="64"/>
  <c r="P69" i="64"/>
  <c r="M69" i="64"/>
  <c r="J69" i="64"/>
  <c r="W68" i="64"/>
  <c r="V68" i="64"/>
  <c r="S68" i="64"/>
  <c r="P68" i="64"/>
  <c r="M68" i="64"/>
  <c r="J68" i="64"/>
  <c r="W67" i="64"/>
  <c r="V67" i="64"/>
  <c r="S67" i="64"/>
  <c r="P67" i="64"/>
  <c r="M67" i="64"/>
  <c r="J67" i="64"/>
  <c r="W66" i="64"/>
  <c r="V66" i="64"/>
  <c r="S66" i="64"/>
  <c r="P66" i="64"/>
  <c r="M66" i="64"/>
  <c r="J66" i="64"/>
  <c r="W65" i="64"/>
  <c r="V65" i="64"/>
  <c r="S65" i="64"/>
  <c r="P65" i="64"/>
  <c r="M65" i="64"/>
  <c r="J65" i="64"/>
  <c r="W64" i="64"/>
  <c r="V64" i="64"/>
  <c r="S64" i="64"/>
  <c r="P64" i="64"/>
  <c r="M64" i="64"/>
  <c r="J64" i="64"/>
  <c r="W63" i="64"/>
  <c r="V63" i="64"/>
  <c r="S63" i="64"/>
  <c r="P63" i="64"/>
  <c r="M63" i="64"/>
  <c r="J63" i="64"/>
  <c r="W62" i="64"/>
  <c r="V62" i="64"/>
  <c r="S62" i="64"/>
  <c r="P62" i="64"/>
  <c r="M62" i="64"/>
  <c r="J62" i="64"/>
  <c r="W61" i="64"/>
  <c r="V61" i="64"/>
  <c r="S61" i="64"/>
  <c r="P61" i="64"/>
  <c r="M61" i="64"/>
  <c r="J61" i="64"/>
  <c r="W60" i="64"/>
  <c r="V60" i="64"/>
  <c r="S60" i="64"/>
  <c r="P60" i="64"/>
  <c r="M60" i="64"/>
  <c r="J60" i="64"/>
  <c r="W59" i="64"/>
  <c r="V59" i="64"/>
  <c r="S59" i="64"/>
  <c r="P59" i="64"/>
  <c r="M59" i="64"/>
  <c r="J59" i="64"/>
  <c r="W58" i="64"/>
  <c r="V58" i="64"/>
  <c r="S58" i="64"/>
  <c r="P58" i="64"/>
  <c r="M58" i="64"/>
  <c r="J58" i="64"/>
  <c r="W57" i="64"/>
  <c r="V57" i="64"/>
  <c r="S57" i="64"/>
  <c r="P57" i="64"/>
  <c r="M57" i="64"/>
  <c r="J57" i="64"/>
  <c r="W56" i="64"/>
  <c r="V56" i="64"/>
  <c r="S56" i="64"/>
  <c r="P56" i="64"/>
  <c r="M56" i="64"/>
  <c r="J56" i="64"/>
  <c r="W55" i="64"/>
  <c r="V55" i="64"/>
  <c r="S55" i="64"/>
  <c r="P55" i="64"/>
  <c r="M55" i="64"/>
  <c r="J55" i="64"/>
  <c r="W54" i="64"/>
  <c r="V54" i="64"/>
  <c r="S54" i="64"/>
  <c r="P54" i="64"/>
  <c r="M54" i="64"/>
  <c r="J54" i="64"/>
  <c r="W53" i="64"/>
  <c r="V53" i="64"/>
  <c r="S53" i="64"/>
  <c r="P53" i="64"/>
  <c r="M53" i="64"/>
  <c r="J53" i="64"/>
  <c r="W52" i="64"/>
  <c r="V52" i="64"/>
  <c r="S52" i="64"/>
  <c r="P52" i="64"/>
  <c r="M52" i="64"/>
  <c r="J52" i="64"/>
  <c r="W51" i="64"/>
  <c r="V51" i="64"/>
  <c r="S51" i="64"/>
  <c r="P51" i="64"/>
  <c r="M51" i="64"/>
  <c r="J51" i="64"/>
  <c r="W50" i="64"/>
  <c r="V50" i="64"/>
  <c r="S50" i="64"/>
  <c r="P50" i="64"/>
  <c r="M50" i="64"/>
  <c r="J50" i="64"/>
  <c r="W49" i="64"/>
  <c r="V49" i="64"/>
  <c r="S49" i="64"/>
  <c r="P49" i="64"/>
  <c r="M49" i="64"/>
  <c r="J49" i="64"/>
  <c r="W48" i="64"/>
  <c r="V48" i="64"/>
  <c r="S48" i="64"/>
  <c r="P48" i="64"/>
  <c r="M48" i="64"/>
  <c r="J48" i="64"/>
  <c r="W47" i="64"/>
  <c r="V47" i="64"/>
  <c r="S47" i="64"/>
  <c r="P47" i="64"/>
  <c r="M47" i="64"/>
  <c r="J47" i="64"/>
  <c r="W46" i="64"/>
  <c r="V46" i="64"/>
  <c r="S46" i="64"/>
  <c r="P46" i="64"/>
  <c r="M46" i="64"/>
  <c r="J46" i="64"/>
  <c r="W45" i="64"/>
  <c r="V45" i="64"/>
  <c r="S45" i="64"/>
  <c r="P45" i="64"/>
  <c r="M45" i="64"/>
  <c r="J45" i="64"/>
  <c r="W44" i="64"/>
  <c r="V44" i="64"/>
  <c r="S44" i="64"/>
  <c r="P44" i="64"/>
  <c r="M44" i="64"/>
  <c r="J44" i="64"/>
  <c r="W43" i="64"/>
  <c r="V43" i="64"/>
  <c r="S43" i="64"/>
  <c r="P43" i="64"/>
  <c r="M43" i="64"/>
  <c r="J43" i="64"/>
  <c r="W42" i="64"/>
  <c r="V42" i="64"/>
  <c r="S42" i="64"/>
  <c r="P42" i="64"/>
  <c r="M42" i="64"/>
  <c r="J42" i="64"/>
  <c r="W41" i="64"/>
  <c r="V41" i="64"/>
  <c r="S41" i="64"/>
  <c r="P41" i="64"/>
  <c r="M41" i="64"/>
  <c r="J41" i="64"/>
  <c r="W40" i="64"/>
  <c r="V40" i="64"/>
  <c r="S40" i="64"/>
  <c r="P40" i="64"/>
  <c r="M40" i="64"/>
  <c r="J40" i="64"/>
  <c r="W39" i="64"/>
  <c r="V39" i="64"/>
  <c r="S39" i="64"/>
  <c r="P39" i="64"/>
  <c r="M39" i="64"/>
  <c r="J39" i="64"/>
  <c r="W38" i="64"/>
  <c r="V38" i="64"/>
  <c r="S38" i="64"/>
  <c r="P38" i="64"/>
  <c r="M38" i="64"/>
  <c r="J38" i="64"/>
  <c r="W37" i="64"/>
  <c r="V37" i="64"/>
  <c r="S37" i="64"/>
  <c r="P37" i="64"/>
  <c r="M37" i="64"/>
  <c r="J37" i="64"/>
  <c r="W36" i="64"/>
  <c r="V36" i="64"/>
  <c r="S36" i="64"/>
  <c r="P36" i="64"/>
  <c r="M36" i="64"/>
  <c r="J36" i="64"/>
  <c r="W35" i="64"/>
  <c r="V35" i="64"/>
  <c r="S35" i="64"/>
  <c r="P35" i="64"/>
  <c r="M35" i="64"/>
  <c r="J35" i="64"/>
  <c r="W34" i="64"/>
  <c r="V34" i="64"/>
  <c r="S34" i="64"/>
  <c r="P34" i="64"/>
  <c r="M34" i="64"/>
  <c r="J34" i="64"/>
  <c r="W33" i="64"/>
  <c r="V33" i="64"/>
  <c r="S33" i="64"/>
  <c r="P33" i="64"/>
  <c r="M33" i="64"/>
  <c r="J33" i="64"/>
  <c r="W32" i="64"/>
  <c r="V32" i="64"/>
  <c r="S32" i="64"/>
  <c r="P32" i="64"/>
  <c r="M32" i="64"/>
  <c r="J32" i="64"/>
  <c r="W31" i="64"/>
  <c r="V31" i="64"/>
  <c r="S31" i="64"/>
  <c r="P31" i="64"/>
  <c r="M31" i="64"/>
  <c r="J31" i="64"/>
  <c r="W30" i="64"/>
  <c r="V30" i="64"/>
  <c r="S30" i="64"/>
  <c r="P30" i="64"/>
  <c r="M30" i="64"/>
  <c r="J30" i="64"/>
  <c r="W29" i="64"/>
  <c r="V29" i="64"/>
  <c r="S29" i="64"/>
  <c r="P29" i="64"/>
  <c r="M29" i="64"/>
  <c r="J29" i="64"/>
  <c r="W28" i="64"/>
  <c r="V28" i="64"/>
  <c r="S28" i="64"/>
  <c r="P28" i="64"/>
  <c r="M28" i="64"/>
  <c r="J28" i="64"/>
  <c r="W27" i="64"/>
  <c r="V27" i="64"/>
  <c r="S27" i="64"/>
  <c r="P27" i="64"/>
  <c r="M27" i="64"/>
  <c r="J27" i="64"/>
  <c r="W26" i="64"/>
  <c r="V26" i="64"/>
  <c r="S26" i="64"/>
  <c r="P26" i="64"/>
  <c r="M26" i="64"/>
  <c r="J26" i="64"/>
  <c r="W25" i="64"/>
  <c r="V25" i="64"/>
  <c r="S25" i="64"/>
  <c r="P25" i="64"/>
  <c r="M25" i="64"/>
  <c r="J25" i="64"/>
  <c r="W24" i="64"/>
  <c r="V24" i="64"/>
  <c r="S24" i="64"/>
  <c r="P24" i="64"/>
  <c r="M24" i="64"/>
  <c r="J24" i="64"/>
  <c r="W14" i="64"/>
  <c r="V14" i="64"/>
  <c r="S14" i="64"/>
  <c r="P14" i="64"/>
  <c r="M14" i="64"/>
  <c r="J14" i="64"/>
  <c r="W21" i="64"/>
  <c r="V21" i="64"/>
  <c r="S21" i="64"/>
  <c r="P21" i="64"/>
  <c r="M21" i="64"/>
  <c r="J21" i="64"/>
  <c r="W16" i="64"/>
  <c r="V16" i="64"/>
  <c r="S16" i="64"/>
  <c r="P16" i="64"/>
  <c r="M16" i="64"/>
  <c r="J16" i="64"/>
  <c r="W17" i="64"/>
  <c r="V17" i="64"/>
  <c r="S17" i="64"/>
  <c r="P17" i="64"/>
  <c r="M17" i="64"/>
  <c r="J17" i="64"/>
  <c r="W23" i="64"/>
  <c r="V23" i="64"/>
  <c r="S23" i="64"/>
  <c r="P23" i="64"/>
  <c r="M23" i="64"/>
  <c r="J23" i="64"/>
  <c r="W22" i="64"/>
  <c r="V22" i="64"/>
  <c r="S22" i="64"/>
  <c r="P22" i="64"/>
  <c r="M22" i="64"/>
  <c r="J22" i="64"/>
  <c r="W15" i="64"/>
  <c r="V15" i="64"/>
  <c r="S15" i="64"/>
  <c r="P15" i="64"/>
  <c r="M15" i="64"/>
  <c r="J15" i="64"/>
  <c r="W19" i="64"/>
  <c r="V19" i="64"/>
  <c r="S19" i="64"/>
  <c r="P19" i="64"/>
  <c r="M19" i="64"/>
  <c r="J19" i="64"/>
  <c r="W18" i="64"/>
  <c r="V18" i="64"/>
  <c r="S18" i="64"/>
  <c r="P18" i="64"/>
  <c r="M18" i="64"/>
  <c r="J18" i="64"/>
  <c r="W20" i="64"/>
  <c r="V20" i="64"/>
  <c r="S20" i="64"/>
  <c r="P20" i="64"/>
  <c r="M20" i="64"/>
  <c r="J20" i="64"/>
  <c r="W11" i="64"/>
  <c r="V11" i="64"/>
  <c r="X11" i="63"/>
  <c r="A4" i="77" l="1"/>
  <c r="A4" i="87"/>
  <c r="A4" i="76"/>
  <c r="A4" i="86"/>
  <c r="A4" i="73"/>
  <c r="A4" i="83"/>
  <c r="A54" i="59"/>
  <c r="B54" i="59"/>
  <c r="C54" i="59"/>
  <c r="E54" i="59"/>
  <c r="G54" i="59"/>
  <c r="A55" i="59"/>
  <c r="B55" i="59"/>
  <c r="C55" i="59"/>
  <c r="E55" i="59"/>
  <c r="G55" i="59"/>
  <c r="A56" i="59"/>
  <c r="B56" i="59"/>
  <c r="C56" i="59"/>
  <c r="E56" i="59"/>
  <c r="G56" i="59"/>
  <c r="A57" i="59"/>
  <c r="B57" i="59"/>
  <c r="C57" i="59"/>
  <c r="E57" i="59"/>
  <c r="G57" i="59"/>
  <c r="A58" i="59"/>
  <c r="B58" i="59"/>
  <c r="C58" i="59"/>
  <c r="E58" i="59"/>
  <c r="G58" i="59"/>
  <c r="A59" i="59"/>
  <c r="B59" i="59"/>
  <c r="C59" i="59"/>
  <c r="E59" i="59"/>
  <c r="F59" i="59"/>
  <c r="G59" i="59"/>
  <c r="A60" i="59"/>
  <c r="B60" i="59"/>
  <c r="C60" i="59"/>
  <c r="E60" i="59"/>
  <c r="G60" i="59"/>
  <c r="A61" i="59"/>
  <c r="B61" i="59"/>
  <c r="C61" i="59"/>
  <c r="E61" i="59"/>
  <c r="G61" i="59"/>
  <c r="A62" i="59"/>
  <c r="B62" i="59"/>
  <c r="C62" i="59"/>
  <c r="E62" i="59"/>
  <c r="G62" i="59"/>
  <c r="A63" i="59"/>
  <c r="B63" i="59"/>
  <c r="C63" i="59"/>
  <c r="E63" i="59"/>
  <c r="G63" i="59"/>
  <c r="A64" i="59"/>
  <c r="B64" i="59"/>
  <c r="C64" i="59"/>
  <c r="E64" i="59"/>
  <c r="G64" i="59"/>
  <c r="A65" i="59"/>
  <c r="B65" i="59"/>
  <c r="C65" i="59"/>
  <c r="E65" i="59"/>
  <c r="G65" i="59"/>
  <c r="A66" i="59"/>
  <c r="B66" i="59"/>
  <c r="C66" i="59"/>
  <c r="E66" i="59"/>
  <c r="G66" i="59"/>
  <c r="A67" i="59"/>
  <c r="B67" i="59"/>
  <c r="C67" i="59"/>
  <c r="E67" i="59"/>
  <c r="G67" i="59"/>
  <c r="A68" i="59"/>
  <c r="B68" i="59"/>
  <c r="C68" i="59"/>
  <c r="E68" i="59"/>
  <c r="G68" i="59"/>
  <c r="A69" i="59"/>
  <c r="B69" i="59"/>
  <c r="C69" i="59"/>
  <c r="E69" i="59"/>
  <c r="G69" i="59"/>
  <c r="A70" i="59"/>
  <c r="B70" i="59"/>
  <c r="C70" i="59"/>
  <c r="E70" i="59"/>
  <c r="G70" i="59"/>
  <c r="A71" i="59"/>
  <c r="B71" i="59"/>
  <c r="C71" i="59"/>
  <c r="E71" i="59"/>
  <c r="G71" i="59"/>
  <c r="A72" i="59"/>
  <c r="B72" i="59"/>
  <c r="C72" i="59"/>
  <c r="E72" i="59"/>
  <c r="G72" i="59"/>
  <c r="A73" i="59"/>
  <c r="B73" i="59"/>
  <c r="C73" i="59"/>
  <c r="E73" i="59"/>
  <c r="G73" i="59"/>
  <c r="F9" i="59"/>
  <c r="F10" i="59"/>
  <c r="D10" i="59"/>
  <c r="D9" i="59"/>
  <c r="B8" i="59"/>
  <c r="B6" i="70" s="1"/>
  <c r="W73" i="57"/>
  <c r="V73" i="57"/>
  <c r="S73" i="57"/>
  <c r="P73" i="57"/>
  <c r="M73" i="57"/>
  <c r="J73" i="57"/>
  <c r="F73" i="59"/>
  <c r="D73" i="59"/>
  <c r="W72" i="57"/>
  <c r="V72" i="57"/>
  <c r="S72" i="57"/>
  <c r="P72" i="57"/>
  <c r="M72" i="57"/>
  <c r="J72" i="57"/>
  <c r="F72" i="59"/>
  <c r="D72" i="59"/>
  <c r="W71" i="57"/>
  <c r="V71" i="57"/>
  <c r="S71" i="57"/>
  <c r="P71" i="57"/>
  <c r="M71" i="57"/>
  <c r="J71" i="57"/>
  <c r="F71" i="59"/>
  <c r="D71" i="59"/>
  <c r="W70" i="57"/>
  <c r="V70" i="57"/>
  <c r="S70" i="57"/>
  <c r="P70" i="57"/>
  <c r="M70" i="57"/>
  <c r="J70" i="57"/>
  <c r="F70" i="59"/>
  <c r="D70" i="59"/>
  <c r="W69" i="57"/>
  <c r="V69" i="57"/>
  <c r="S69" i="57"/>
  <c r="P69" i="57"/>
  <c r="M69" i="57"/>
  <c r="J69" i="57"/>
  <c r="F69" i="59"/>
  <c r="D69" i="59"/>
  <c r="W68" i="57"/>
  <c r="V68" i="57"/>
  <c r="S68" i="57"/>
  <c r="P68" i="57"/>
  <c r="M68" i="57"/>
  <c r="J68" i="57"/>
  <c r="F68" i="59"/>
  <c r="D68" i="59"/>
  <c r="W67" i="57"/>
  <c r="V67" i="57"/>
  <c r="S67" i="57"/>
  <c r="P67" i="57"/>
  <c r="M67" i="57"/>
  <c r="J67" i="57"/>
  <c r="F67" i="59"/>
  <c r="D67" i="59"/>
  <c r="W66" i="57"/>
  <c r="V66" i="57"/>
  <c r="S66" i="57"/>
  <c r="P66" i="57"/>
  <c r="M66" i="57"/>
  <c r="J66" i="57"/>
  <c r="F66" i="59"/>
  <c r="D66" i="59"/>
  <c r="W65" i="57"/>
  <c r="V65" i="57"/>
  <c r="S65" i="57"/>
  <c r="P65" i="57"/>
  <c r="M65" i="57"/>
  <c r="J65" i="57"/>
  <c r="F65" i="59"/>
  <c r="D65" i="59"/>
  <c r="W64" i="57"/>
  <c r="V64" i="57"/>
  <c r="S64" i="57"/>
  <c r="P64" i="57"/>
  <c r="M64" i="57"/>
  <c r="J64" i="57"/>
  <c r="F64" i="59"/>
  <c r="D64" i="59"/>
  <c r="W63" i="57"/>
  <c r="V63" i="57"/>
  <c r="S63" i="57"/>
  <c r="P63" i="57"/>
  <c r="M63" i="57"/>
  <c r="J63" i="57"/>
  <c r="F63" i="59"/>
  <c r="D63" i="59"/>
  <c r="W62" i="57"/>
  <c r="V62" i="57"/>
  <c r="S62" i="57"/>
  <c r="P62" i="57"/>
  <c r="M62" i="57"/>
  <c r="J62" i="57"/>
  <c r="F62" i="59"/>
  <c r="D62" i="59"/>
  <c r="W61" i="57"/>
  <c r="V61" i="57"/>
  <c r="S61" i="57"/>
  <c r="P61" i="57"/>
  <c r="M61" i="57"/>
  <c r="J61" i="57"/>
  <c r="F61" i="59"/>
  <c r="D61" i="59"/>
  <c r="W60" i="57"/>
  <c r="V60" i="57"/>
  <c r="S60" i="57"/>
  <c r="P60" i="57"/>
  <c r="M60" i="57"/>
  <c r="J60" i="57"/>
  <c r="F60" i="59"/>
  <c r="D60" i="59"/>
  <c r="W59" i="57"/>
  <c r="V59" i="57"/>
  <c r="S59" i="57"/>
  <c r="P59" i="57"/>
  <c r="M59" i="57"/>
  <c r="J59" i="57"/>
  <c r="D59" i="59"/>
  <c r="W58" i="57"/>
  <c r="V58" i="57"/>
  <c r="S58" i="57"/>
  <c r="P58" i="57"/>
  <c r="M58" i="57"/>
  <c r="J58" i="57"/>
  <c r="F58" i="59"/>
  <c r="D58" i="59"/>
  <c r="W57" i="57"/>
  <c r="V57" i="57"/>
  <c r="S57" i="57"/>
  <c r="P57" i="57"/>
  <c r="M57" i="57"/>
  <c r="J57" i="57"/>
  <c r="F57" i="59"/>
  <c r="D57" i="59"/>
  <c r="W56" i="57"/>
  <c r="V56" i="57"/>
  <c r="S56" i="57"/>
  <c r="P56" i="57"/>
  <c r="M56" i="57"/>
  <c r="J56" i="57"/>
  <c r="F56" i="59"/>
  <c r="D56" i="59"/>
  <c r="W55" i="57"/>
  <c r="V55" i="57"/>
  <c r="S55" i="57"/>
  <c r="P55" i="57"/>
  <c r="M55" i="57"/>
  <c r="J55" i="57"/>
  <c r="F55" i="59"/>
  <c r="D55" i="59"/>
  <c r="W54" i="57"/>
  <c r="V54" i="57"/>
  <c r="S54" i="57"/>
  <c r="P54" i="57"/>
  <c r="M54" i="57"/>
  <c r="J54" i="57"/>
  <c r="F54" i="59"/>
  <c r="D54" i="59"/>
  <c r="W52" i="57"/>
  <c r="V52" i="57"/>
  <c r="S52" i="57"/>
  <c r="P52" i="57"/>
  <c r="M52" i="57"/>
  <c r="J52" i="57"/>
  <c r="W51" i="57"/>
  <c r="V51" i="57"/>
  <c r="S51" i="57"/>
  <c r="P51" i="57"/>
  <c r="M51" i="57"/>
  <c r="J51" i="57"/>
  <c r="W50" i="57"/>
  <c r="V50" i="57"/>
  <c r="S50" i="57"/>
  <c r="P50" i="57"/>
  <c r="M50" i="57"/>
  <c r="J50" i="57"/>
  <c r="W45" i="57"/>
  <c r="V45" i="57"/>
  <c r="S45" i="57"/>
  <c r="P45" i="57"/>
  <c r="M45" i="57"/>
  <c r="J45" i="57"/>
  <c r="W44" i="57"/>
  <c r="V44" i="57"/>
  <c r="S44" i="57"/>
  <c r="P44" i="57"/>
  <c r="M44" i="57"/>
  <c r="J44" i="57"/>
  <c r="W43" i="57"/>
  <c r="V43" i="57"/>
  <c r="S43" i="57"/>
  <c r="P43" i="57"/>
  <c r="M43" i="57"/>
  <c r="J43" i="57"/>
  <c r="W42" i="57"/>
  <c r="V42" i="57"/>
  <c r="S42" i="57"/>
  <c r="P42" i="57"/>
  <c r="M42" i="57"/>
  <c r="J42" i="57"/>
  <c r="W41" i="57"/>
  <c r="V41" i="57"/>
  <c r="S41" i="57"/>
  <c r="P41" i="57"/>
  <c r="M41" i="57"/>
  <c r="J41" i="57"/>
  <c r="W40" i="57"/>
  <c r="V40" i="57"/>
  <c r="S40" i="57"/>
  <c r="P40" i="57"/>
  <c r="M40" i="57"/>
  <c r="J40" i="57"/>
  <c r="W39" i="57"/>
  <c r="V39" i="57"/>
  <c r="S39" i="57"/>
  <c r="P39" i="57"/>
  <c r="M39" i="57"/>
  <c r="J39" i="57"/>
  <c r="W16" i="57"/>
  <c r="V16" i="57"/>
  <c r="S16" i="57"/>
  <c r="P16" i="57"/>
  <c r="M16" i="57"/>
  <c r="J16" i="57"/>
  <c r="W35" i="57"/>
  <c r="V35" i="57"/>
  <c r="S35" i="57"/>
  <c r="P35" i="57"/>
  <c r="M35" i="57"/>
  <c r="J35" i="57"/>
  <c r="W38" i="57"/>
  <c r="V38" i="57"/>
  <c r="S38" i="57"/>
  <c r="P38" i="57"/>
  <c r="M38" i="57"/>
  <c r="J38" i="57"/>
  <c r="W18" i="57"/>
  <c r="V18" i="57"/>
  <c r="S18" i="57"/>
  <c r="P18" i="57"/>
  <c r="M18" i="57"/>
  <c r="J18" i="57"/>
  <c r="W23" i="57"/>
  <c r="V23" i="57"/>
  <c r="S23" i="57"/>
  <c r="P23" i="57"/>
  <c r="M23" i="57"/>
  <c r="J23" i="57"/>
  <c r="W20" i="57"/>
  <c r="V20" i="57"/>
  <c r="S20" i="57"/>
  <c r="P20" i="57"/>
  <c r="M20" i="57"/>
  <c r="J20" i="57"/>
  <c r="W34" i="57"/>
  <c r="V34" i="57"/>
  <c r="S34" i="57"/>
  <c r="P34" i="57"/>
  <c r="M34" i="57"/>
  <c r="J34" i="57"/>
  <c r="W24" i="57"/>
  <c r="V24" i="57"/>
  <c r="S24" i="57"/>
  <c r="P24" i="57"/>
  <c r="M24" i="57"/>
  <c r="J24" i="57"/>
  <c r="W31" i="57"/>
  <c r="V31" i="57"/>
  <c r="S31" i="57"/>
  <c r="P31" i="57"/>
  <c r="M31" i="57"/>
  <c r="J31" i="57"/>
  <c r="W25" i="57"/>
  <c r="V25" i="57"/>
  <c r="S25" i="57"/>
  <c r="P25" i="57"/>
  <c r="M25" i="57"/>
  <c r="J25" i="57"/>
  <c r="W28" i="57"/>
  <c r="V28" i="57"/>
  <c r="S28" i="57"/>
  <c r="P28" i="57"/>
  <c r="M28" i="57"/>
  <c r="J28" i="57"/>
  <c r="W29" i="57"/>
  <c r="V29" i="57"/>
  <c r="S29" i="57"/>
  <c r="P29" i="57"/>
  <c r="M29" i="57"/>
  <c r="J29" i="57"/>
  <c r="W27" i="57"/>
  <c r="V27" i="57"/>
  <c r="S27" i="57"/>
  <c r="P27" i="57"/>
  <c r="M27" i="57"/>
  <c r="J27" i="57"/>
  <c r="W33" i="57"/>
  <c r="V33" i="57"/>
  <c r="S33" i="57"/>
  <c r="P33" i="57"/>
  <c r="M33" i="57"/>
  <c r="J33" i="57"/>
  <c r="W22" i="57"/>
  <c r="V22" i="57"/>
  <c r="S22" i="57"/>
  <c r="P22" i="57"/>
  <c r="M22" i="57"/>
  <c r="J22" i="57"/>
  <c r="W36" i="57"/>
  <c r="V36" i="57"/>
  <c r="S36" i="57"/>
  <c r="P36" i="57"/>
  <c r="M36" i="57"/>
  <c r="J36" i="57"/>
  <c r="W17" i="57"/>
  <c r="V17" i="57"/>
  <c r="S17" i="57"/>
  <c r="P17" i="57"/>
  <c r="M17" i="57"/>
  <c r="J17" i="57"/>
  <c r="W15" i="57"/>
  <c r="V15" i="57"/>
  <c r="S15" i="57"/>
  <c r="P15" i="57"/>
  <c r="M15" i="57"/>
  <c r="J15" i="57"/>
  <c r="W21" i="57"/>
  <c r="V21" i="57"/>
  <c r="S21" i="57"/>
  <c r="P21" i="57"/>
  <c r="M21" i="57"/>
  <c r="J21" i="57"/>
  <c r="W26" i="57"/>
  <c r="V26" i="57"/>
  <c r="S26" i="57"/>
  <c r="P26" i="57"/>
  <c r="M26" i="57"/>
  <c r="J26" i="57"/>
  <c r="W30" i="57"/>
  <c r="V30" i="57"/>
  <c r="S30" i="57"/>
  <c r="P30" i="57"/>
  <c r="M30" i="57"/>
  <c r="J30" i="57"/>
  <c r="W19" i="57"/>
  <c r="V19" i="57"/>
  <c r="S19" i="57"/>
  <c r="P19" i="57"/>
  <c r="M19" i="57"/>
  <c r="J19" i="57"/>
  <c r="W53" i="57"/>
  <c r="V53" i="57"/>
  <c r="S53" i="57"/>
  <c r="P53" i="57"/>
  <c r="M53" i="57"/>
  <c r="J53" i="57"/>
  <c r="W32" i="57"/>
  <c r="V32" i="57"/>
  <c r="S32" i="57"/>
  <c r="P32" i="57"/>
  <c r="M32" i="57"/>
  <c r="J32" i="57"/>
  <c r="W37" i="57"/>
  <c r="V37" i="57"/>
  <c r="S37" i="57"/>
  <c r="P37" i="57"/>
  <c r="M37" i="57"/>
  <c r="J37" i="57"/>
  <c r="W14" i="57"/>
  <c r="V14" i="57"/>
  <c r="S14" i="57"/>
  <c r="P14" i="57"/>
  <c r="M14" i="57"/>
  <c r="J14" i="57"/>
  <c r="D8" i="59"/>
  <c r="D6" i="70" s="1"/>
  <c r="C7" i="59"/>
  <c r="A4" i="70" l="1"/>
  <c r="A4" i="80"/>
  <c r="D14" i="31"/>
  <c r="A66" i="56"/>
  <c r="B66" i="56"/>
  <c r="C66" i="56"/>
  <c r="E66" i="56"/>
  <c r="G66" i="56"/>
  <c r="A67" i="56"/>
  <c r="B67" i="56"/>
  <c r="C67" i="56"/>
  <c r="E67" i="56"/>
  <c r="G67" i="56"/>
  <c r="A68" i="56"/>
  <c r="B68" i="56"/>
  <c r="C68" i="56"/>
  <c r="E68" i="56"/>
  <c r="G68" i="56"/>
  <c r="A69" i="56"/>
  <c r="B69" i="56"/>
  <c r="C69" i="56"/>
  <c r="E69" i="56"/>
  <c r="G69" i="56"/>
  <c r="A70" i="56"/>
  <c r="B70" i="56"/>
  <c r="C70" i="56"/>
  <c r="E70" i="56"/>
  <c r="G70" i="56"/>
  <c r="A71" i="56"/>
  <c r="B71" i="56"/>
  <c r="C71" i="56"/>
  <c r="E71" i="56"/>
  <c r="G71" i="56"/>
  <c r="A72" i="56"/>
  <c r="B72" i="56"/>
  <c r="C72" i="56"/>
  <c r="E72" i="56"/>
  <c r="G72" i="56"/>
  <c r="A73" i="56"/>
  <c r="B73" i="56"/>
  <c r="C73" i="56"/>
  <c r="E73" i="56"/>
  <c r="G73" i="56"/>
  <c r="B14" i="56"/>
  <c r="A14" i="56"/>
  <c r="F10" i="56"/>
  <c r="F9" i="56"/>
  <c r="D10" i="56"/>
  <c r="D9" i="56"/>
  <c r="B8" i="56"/>
  <c r="A54" i="55"/>
  <c r="B54" i="55"/>
  <c r="C54" i="55"/>
  <c r="E54" i="55"/>
  <c r="G54" i="55"/>
  <c r="A55" i="55"/>
  <c r="B55" i="55"/>
  <c r="C55" i="55"/>
  <c r="E55" i="55"/>
  <c r="G55" i="55"/>
  <c r="A56" i="55"/>
  <c r="B56" i="55"/>
  <c r="C56" i="55"/>
  <c r="E56" i="55"/>
  <c r="G56" i="55"/>
  <c r="A57" i="55"/>
  <c r="B57" i="55"/>
  <c r="C57" i="55"/>
  <c r="E57" i="55"/>
  <c r="G57" i="55"/>
  <c r="A58" i="55"/>
  <c r="B58" i="55"/>
  <c r="C58" i="55"/>
  <c r="E58" i="55"/>
  <c r="G58" i="55"/>
  <c r="A59" i="55"/>
  <c r="B59" i="55"/>
  <c r="C59" i="55"/>
  <c r="E59" i="55"/>
  <c r="G59" i="55"/>
  <c r="A60" i="55"/>
  <c r="B60" i="55"/>
  <c r="C60" i="55"/>
  <c r="E60" i="55"/>
  <c r="G60" i="55"/>
  <c r="A61" i="55"/>
  <c r="B61" i="55"/>
  <c r="C61" i="55"/>
  <c r="E61" i="55"/>
  <c r="G61" i="55"/>
  <c r="A62" i="55"/>
  <c r="B62" i="55"/>
  <c r="C62" i="55"/>
  <c r="E62" i="55"/>
  <c r="G62" i="55"/>
  <c r="A63" i="55"/>
  <c r="B63" i="55"/>
  <c r="C63" i="55"/>
  <c r="E63" i="55"/>
  <c r="G63" i="55"/>
  <c r="A64" i="55"/>
  <c r="B64" i="55"/>
  <c r="C64" i="55"/>
  <c r="E64" i="55"/>
  <c r="G64" i="55"/>
  <c r="A65" i="55"/>
  <c r="B65" i="55"/>
  <c r="C65" i="55"/>
  <c r="E65" i="55"/>
  <c r="G65" i="55"/>
  <c r="A66" i="55"/>
  <c r="B66" i="55"/>
  <c r="C66" i="55"/>
  <c r="E66" i="55"/>
  <c r="G66" i="55"/>
  <c r="A67" i="55"/>
  <c r="B67" i="55"/>
  <c r="C67" i="55"/>
  <c r="E67" i="55"/>
  <c r="G67" i="55"/>
  <c r="A68" i="55"/>
  <c r="B68" i="55"/>
  <c r="C68" i="55"/>
  <c r="E68" i="55"/>
  <c r="G68" i="55"/>
  <c r="A69" i="55"/>
  <c r="B69" i="55"/>
  <c r="C69" i="55"/>
  <c r="E69" i="55"/>
  <c r="G69" i="55"/>
  <c r="A70" i="55"/>
  <c r="B70" i="55"/>
  <c r="C70" i="55"/>
  <c r="E70" i="55"/>
  <c r="G70" i="55"/>
  <c r="A71" i="55"/>
  <c r="B71" i="55"/>
  <c r="C71" i="55"/>
  <c r="E71" i="55"/>
  <c r="G71" i="55"/>
  <c r="A72" i="55"/>
  <c r="B72" i="55"/>
  <c r="C72" i="55"/>
  <c r="E72" i="55"/>
  <c r="G72" i="55"/>
  <c r="A73" i="55"/>
  <c r="B73" i="55"/>
  <c r="C73" i="55"/>
  <c r="E73" i="55"/>
  <c r="G73" i="55"/>
  <c r="G14" i="55"/>
  <c r="E14" i="55"/>
  <c r="C14" i="55"/>
  <c r="B14" i="55"/>
  <c r="A14" i="55"/>
  <c r="F9" i="55"/>
  <c r="F10" i="55"/>
  <c r="D10" i="55"/>
  <c r="D9" i="55"/>
  <c r="B8" i="55"/>
  <c r="W73" i="54"/>
  <c r="V73" i="54"/>
  <c r="S73" i="54"/>
  <c r="P73" i="54"/>
  <c r="M73" i="54"/>
  <c r="J73" i="54"/>
  <c r="F73" i="56"/>
  <c r="D73" i="56"/>
  <c r="W72" i="54"/>
  <c r="V72" i="54"/>
  <c r="S72" i="54"/>
  <c r="P72" i="54"/>
  <c r="M72" i="54"/>
  <c r="J72" i="54"/>
  <c r="F72" i="56"/>
  <c r="D72" i="56"/>
  <c r="W71" i="54"/>
  <c r="V71" i="54"/>
  <c r="S71" i="54"/>
  <c r="P71" i="54"/>
  <c r="M71" i="54"/>
  <c r="J71" i="54"/>
  <c r="F71" i="56"/>
  <c r="D71" i="56"/>
  <c r="W70" i="54"/>
  <c r="V70" i="54"/>
  <c r="S70" i="54"/>
  <c r="P70" i="54"/>
  <c r="M70" i="54"/>
  <c r="J70" i="54"/>
  <c r="F70" i="56"/>
  <c r="D70" i="56"/>
  <c r="W69" i="54"/>
  <c r="V69" i="54"/>
  <c r="S69" i="54"/>
  <c r="P69" i="54"/>
  <c r="M69" i="54"/>
  <c r="J69" i="54"/>
  <c r="F69" i="56"/>
  <c r="D69" i="56"/>
  <c r="W68" i="54"/>
  <c r="V68" i="54"/>
  <c r="S68" i="54"/>
  <c r="P68" i="54"/>
  <c r="M68" i="54"/>
  <c r="J68" i="54"/>
  <c r="F68" i="56"/>
  <c r="D68" i="56"/>
  <c r="W67" i="54"/>
  <c r="V67" i="54"/>
  <c r="S67" i="54"/>
  <c r="P67" i="54"/>
  <c r="M67" i="54"/>
  <c r="J67" i="54"/>
  <c r="F67" i="56"/>
  <c r="D67" i="56"/>
  <c r="W66" i="54"/>
  <c r="V66" i="54"/>
  <c r="S66" i="54"/>
  <c r="P66" i="54"/>
  <c r="M66" i="54"/>
  <c r="J66" i="54"/>
  <c r="F66" i="56"/>
  <c r="D66" i="56"/>
  <c r="W65" i="54"/>
  <c r="V65" i="54"/>
  <c r="S65" i="54"/>
  <c r="P65" i="54"/>
  <c r="M65" i="54"/>
  <c r="J65" i="54"/>
  <c r="W64" i="54"/>
  <c r="V64" i="54"/>
  <c r="S64" i="54"/>
  <c r="P64" i="54"/>
  <c r="M64" i="54"/>
  <c r="J64" i="54"/>
  <c r="W63" i="54"/>
  <c r="V63" i="54"/>
  <c r="S63" i="54"/>
  <c r="P63" i="54"/>
  <c r="M63" i="54"/>
  <c r="J63" i="54"/>
  <c r="W62" i="54"/>
  <c r="V62" i="54"/>
  <c r="S62" i="54"/>
  <c r="P62" i="54"/>
  <c r="M62" i="54"/>
  <c r="J62" i="54"/>
  <c r="W61" i="54"/>
  <c r="V61" i="54"/>
  <c r="S61" i="54"/>
  <c r="P61" i="54"/>
  <c r="M61" i="54"/>
  <c r="J61" i="54"/>
  <c r="W60" i="54"/>
  <c r="V60" i="54"/>
  <c r="S60" i="54"/>
  <c r="P60" i="54"/>
  <c r="M60" i="54"/>
  <c r="J60" i="54"/>
  <c r="W59" i="54"/>
  <c r="V59" i="54"/>
  <c r="S59" i="54"/>
  <c r="P59" i="54"/>
  <c r="M59" i="54"/>
  <c r="J59" i="54"/>
  <c r="W58" i="54"/>
  <c r="V58" i="54"/>
  <c r="S58" i="54"/>
  <c r="P58" i="54"/>
  <c r="M58" i="54"/>
  <c r="J58" i="54"/>
  <c r="W57" i="54"/>
  <c r="V57" i="54"/>
  <c r="S57" i="54"/>
  <c r="P57" i="54"/>
  <c r="M57" i="54"/>
  <c r="J57" i="54"/>
  <c r="W56" i="54"/>
  <c r="V56" i="54"/>
  <c r="S56" i="54"/>
  <c r="P56" i="54"/>
  <c r="M56" i="54"/>
  <c r="J56" i="54"/>
  <c r="W55" i="54"/>
  <c r="V55" i="54"/>
  <c r="S55" i="54"/>
  <c r="P55" i="54"/>
  <c r="M55" i="54"/>
  <c r="J55" i="54"/>
  <c r="W54" i="54"/>
  <c r="V54" i="54"/>
  <c r="S54" i="54"/>
  <c r="P54" i="54"/>
  <c r="M54" i="54"/>
  <c r="J54" i="54"/>
  <c r="W53" i="54"/>
  <c r="V53" i="54"/>
  <c r="S53" i="54"/>
  <c r="P53" i="54"/>
  <c r="M53" i="54"/>
  <c r="J53" i="54"/>
  <c r="W52" i="54"/>
  <c r="V52" i="54"/>
  <c r="S52" i="54"/>
  <c r="P52" i="54"/>
  <c r="M52" i="54"/>
  <c r="J52" i="54"/>
  <c r="W51" i="54"/>
  <c r="V51" i="54"/>
  <c r="S51" i="54"/>
  <c r="P51" i="54"/>
  <c r="M51" i="54"/>
  <c r="J51" i="54"/>
  <c r="W50" i="54"/>
  <c r="V50" i="54"/>
  <c r="S50" i="54"/>
  <c r="P50" i="54"/>
  <c r="M50" i="54"/>
  <c r="J50" i="54"/>
  <c r="W49" i="54"/>
  <c r="V49" i="54"/>
  <c r="S49" i="54"/>
  <c r="P49" i="54"/>
  <c r="M49" i="54"/>
  <c r="J49" i="54"/>
  <c r="W48" i="54"/>
  <c r="V48" i="54"/>
  <c r="S48" i="54"/>
  <c r="P48" i="54"/>
  <c r="M48" i="54"/>
  <c r="J48" i="54"/>
  <c r="W47" i="54"/>
  <c r="V47" i="54"/>
  <c r="S47" i="54"/>
  <c r="P47" i="54"/>
  <c r="M47" i="54"/>
  <c r="J47" i="54"/>
  <c r="W46" i="54"/>
  <c r="V46" i="54"/>
  <c r="S46" i="54"/>
  <c r="P46" i="54"/>
  <c r="M46" i="54"/>
  <c r="J46" i="54"/>
  <c r="W45" i="54"/>
  <c r="V45" i="54"/>
  <c r="S45" i="54"/>
  <c r="P45" i="54"/>
  <c r="M45" i="54"/>
  <c r="J45" i="54"/>
  <c r="W44" i="54"/>
  <c r="V44" i="54"/>
  <c r="S44" i="54"/>
  <c r="P44" i="54"/>
  <c r="M44" i="54"/>
  <c r="J44" i="54"/>
  <c r="W43" i="54"/>
  <c r="V43" i="54"/>
  <c r="S43" i="54"/>
  <c r="P43" i="54"/>
  <c r="M43" i="54"/>
  <c r="J43" i="54"/>
  <c r="W42" i="54"/>
  <c r="V42" i="54"/>
  <c r="S42" i="54"/>
  <c r="P42" i="54"/>
  <c r="M42" i="54"/>
  <c r="J42" i="54"/>
  <c r="W18" i="54"/>
  <c r="V18" i="54"/>
  <c r="S18" i="54"/>
  <c r="P18" i="54"/>
  <c r="M18" i="54"/>
  <c r="J18" i="54"/>
  <c r="W19" i="54"/>
  <c r="V19" i="54"/>
  <c r="S19" i="54"/>
  <c r="P19" i="54"/>
  <c r="M19" i="54"/>
  <c r="J19" i="54"/>
  <c r="W40" i="54"/>
  <c r="V40" i="54"/>
  <c r="S40" i="54"/>
  <c r="P40" i="54"/>
  <c r="M40" i="54"/>
  <c r="J40" i="54"/>
  <c r="W16" i="54"/>
  <c r="V16" i="54"/>
  <c r="S16" i="54"/>
  <c r="P16" i="54"/>
  <c r="M16" i="54"/>
  <c r="J16" i="54"/>
  <c r="W36" i="54"/>
  <c r="V36" i="54"/>
  <c r="S36" i="54"/>
  <c r="P36" i="54"/>
  <c r="M36" i="54"/>
  <c r="J36" i="54"/>
  <c r="W23" i="54"/>
  <c r="V23" i="54"/>
  <c r="S23" i="54"/>
  <c r="P23" i="54"/>
  <c r="M23" i="54"/>
  <c r="J23" i="54"/>
  <c r="W14" i="54"/>
  <c r="V14" i="54"/>
  <c r="S14" i="54"/>
  <c r="P14" i="54"/>
  <c r="M14" i="54"/>
  <c r="J14" i="54"/>
  <c r="W35" i="54"/>
  <c r="V35" i="54"/>
  <c r="S35" i="54"/>
  <c r="P35" i="54"/>
  <c r="M35" i="54"/>
  <c r="J35" i="54"/>
  <c r="W21" i="54"/>
  <c r="V21" i="54"/>
  <c r="S21" i="54"/>
  <c r="P21" i="54"/>
  <c r="M21" i="54"/>
  <c r="J21" i="54"/>
  <c r="W17" i="54"/>
  <c r="V17" i="54"/>
  <c r="S17" i="54"/>
  <c r="P17" i="54"/>
  <c r="M17" i="54"/>
  <c r="J17" i="54"/>
  <c r="W28" i="54"/>
  <c r="V28" i="54"/>
  <c r="S28" i="54"/>
  <c r="P28" i="54"/>
  <c r="M28" i="54"/>
  <c r="J28" i="54"/>
  <c r="W15" i="54"/>
  <c r="V15" i="54"/>
  <c r="S15" i="54"/>
  <c r="P15" i="54"/>
  <c r="M15" i="54"/>
  <c r="J15" i="54"/>
  <c r="W39" i="54"/>
  <c r="V39" i="54"/>
  <c r="S39" i="54"/>
  <c r="P39" i="54"/>
  <c r="M39" i="54"/>
  <c r="J39" i="54"/>
  <c r="W30" i="54"/>
  <c r="V30" i="54"/>
  <c r="S30" i="54"/>
  <c r="P30" i="54"/>
  <c r="M30" i="54"/>
  <c r="J30" i="54"/>
  <c r="W38" i="54"/>
  <c r="V38" i="54"/>
  <c r="S38" i="54"/>
  <c r="P38" i="54"/>
  <c r="M38" i="54"/>
  <c r="J38" i="54"/>
  <c r="W26" i="54"/>
  <c r="V26" i="54"/>
  <c r="S26" i="54"/>
  <c r="P26" i="54"/>
  <c r="M26" i="54"/>
  <c r="J26" i="54"/>
  <c r="W34" i="54"/>
  <c r="V34" i="54"/>
  <c r="S34" i="54"/>
  <c r="P34" i="54"/>
  <c r="M34" i="54"/>
  <c r="J34" i="54"/>
  <c r="W41" i="54"/>
  <c r="V41" i="54"/>
  <c r="S41" i="54"/>
  <c r="P41" i="54"/>
  <c r="M41" i="54"/>
  <c r="J41" i="54"/>
  <c r="W22" i="54"/>
  <c r="V22" i="54"/>
  <c r="S22" i="54"/>
  <c r="P22" i="54"/>
  <c r="M22" i="54"/>
  <c r="J22" i="54"/>
  <c r="W29" i="54"/>
  <c r="V29" i="54"/>
  <c r="S29" i="54"/>
  <c r="P29" i="54"/>
  <c r="M29" i="54"/>
  <c r="J29" i="54"/>
  <c r="W20" i="54"/>
  <c r="V20" i="54"/>
  <c r="S20" i="54"/>
  <c r="P20" i="54"/>
  <c r="M20" i="54"/>
  <c r="J20" i="54"/>
  <c r="W37" i="54"/>
  <c r="V37" i="54"/>
  <c r="S37" i="54"/>
  <c r="P37" i="54"/>
  <c r="M37" i="54"/>
  <c r="J37" i="54"/>
  <c r="W27" i="54"/>
  <c r="V27" i="54"/>
  <c r="S27" i="54"/>
  <c r="P27" i="54"/>
  <c r="M27" i="54"/>
  <c r="J27" i="54"/>
  <c r="W32" i="54"/>
  <c r="V32" i="54"/>
  <c r="S32" i="54"/>
  <c r="P32" i="54"/>
  <c r="M32" i="54"/>
  <c r="J32" i="54"/>
  <c r="W25" i="54"/>
  <c r="V25" i="54"/>
  <c r="S25" i="54"/>
  <c r="P25" i="54"/>
  <c r="M25" i="54"/>
  <c r="J25" i="54"/>
  <c r="W24" i="54"/>
  <c r="V24" i="54"/>
  <c r="S24" i="54"/>
  <c r="P24" i="54"/>
  <c r="M24" i="54"/>
  <c r="J24" i="54"/>
  <c r="W31" i="54"/>
  <c r="V31" i="54"/>
  <c r="S31" i="54"/>
  <c r="P31" i="54"/>
  <c r="M31" i="54"/>
  <c r="J31" i="54"/>
  <c r="W33" i="54"/>
  <c r="V33" i="54"/>
  <c r="S33" i="54"/>
  <c r="P33" i="54"/>
  <c r="M33" i="54"/>
  <c r="J33" i="54"/>
  <c r="W11" i="54"/>
  <c r="V11" i="54"/>
  <c r="D8" i="56"/>
  <c r="D6" i="74" s="1"/>
  <c r="C7" i="56"/>
  <c r="W73" i="53"/>
  <c r="V73" i="53"/>
  <c r="S73" i="53"/>
  <c r="P73" i="53"/>
  <c r="M73" i="53"/>
  <c r="J73" i="53"/>
  <c r="F73" i="55"/>
  <c r="D73" i="55"/>
  <c r="W72" i="53"/>
  <c r="V72" i="53"/>
  <c r="S72" i="53"/>
  <c r="P72" i="53"/>
  <c r="M72" i="53"/>
  <c r="J72" i="53"/>
  <c r="F72" i="55"/>
  <c r="D72" i="55"/>
  <c r="W71" i="53"/>
  <c r="V71" i="53"/>
  <c r="S71" i="53"/>
  <c r="P71" i="53"/>
  <c r="M71" i="53"/>
  <c r="J71" i="53"/>
  <c r="F71" i="55"/>
  <c r="D71" i="55"/>
  <c r="W70" i="53"/>
  <c r="V70" i="53"/>
  <c r="S70" i="53"/>
  <c r="P70" i="53"/>
  <c r="M70" i="53"/>
  <c r="J70" i="53"/>
  <c r="F70" i="55"/>
  <c r="D70" i="55"/>
  <c r="W69" i="53"/>
  <c r="V69" i="53"/>
  <c r="S69" i="53"/>
  <c r="P69" i="53"/>
  <c r="M69" i="53"/>
  <c r="J69" i="53"/>
  <c r="F69" i="55"/>
  <c r="D69" i="55"/>
  <c r="W68" i="53"/>
  <c r="V68" i="53"/>
  <c r="S68" i="53"/>
  <c r="P68" i="53"/>
  <c r="M68" i="53"/>
  <c r="J68" i="53"/>
  <c r="F68" i="55"/>
  <c r="D68" i="55"/>
  <c r="W67" i="53"/>
  <c r="V67" i="53"/>
  <c r="S67" i="53"/>
  <c r="P67" i="53"/>
  <c r="M67" i="53"/>
  <c r="J67" i="53"/>
  <c r="F67" i="55"/>
  <c r="D67" i="55"/>
  <c r="W66" i="53"/>
  <c r="V66" i="53"/>
  <c r="S66" i="53"/>
  <c r="P66" i="53"/>
  <c r="M66" i="53"/>
  <c r="J66" i="53"/>
  <c r="F66" i="55"/>
  <c r="D66" i="55"/>
  <c r="W65" i="53"/>
  <c r="V65" i="53"/>
  <c r="S65" i="53"/>
  <c r="P65" i="53"/>
  <c r="M65" i="53"/>
  <c r="J65" i="53"/>
  <c r="F65" i="55"/>
  <c r="D65" i="55"/>
  <c r="W64" i="53"/>
  <c r="V64" i="53"/>
  <c r="S64" i="53"/>
  <c r="P64" i="53"/>
  <c r="M64" i="53"/>
  <c r="J64" i="53"/>
  <c r="F64" i="55"/>
  <c r="D64" i="55"/>
  <c r="W63" i="53"/>
  <c r="V63" i="53"/>
  <c r="S63" i="53"/>
  <c r="P63" i="53"/>
  <c r="M63" i="53"/>
  <c r="J63" i="53"/>
  <c r="F63" i="55"/>
  <c r="D63" i="55"/>
  <c r="W62" i="53"/>
  <c r="V62" i="53"/>
  <c r="S62" i="53"/>
  <c r="P62" i="53"/>
  <c r="M62" i="53"/>
  <c r="J62" i="53"/>
  <c r="F62" i="55"/>
  <c r="D62" i="55"/>
  <c r="W61" i="53"/>
  <c r="V61" i="53"/>
  <c r="S61" i="53"/>
  <c r="P61" i="53"/>
  <c r="M61" i="53"/>
  <c r="J61" i="53"/>
  <c r="F61" i="55"/>
  <c r="D61" i="55"/>
  <c r="W60" i="53"/>
  <c r="V60" i="53"/>
  <c r="S60" i="53"/>
  <c r="P60" i="53"/>
  <c r="M60" i="53"/>
  <c r="J60" i="53"/>
  <c r="F60" i="55"/>
  <c r="D60" i="55"/>
  <c r="W59" i="53"/>
  <c r="V59" i="53"/>
  <c r="S59" i="53"/>
  <c r="P59" i="53"/>
  <c r="M59" i="53"/>
  <c r="J59" i="53"/>
  <c r="F59" i="55"/>
  <c r="D59" i="55"/>
  <c r="W58" i="53"/>
  <c r="V58" i="53"/>
  <c r="S58" i="53"/>
  <c r="P58" i="53"/>
  <c r="M58" i="53"/>
  <c r="J58" i="53"/>
  <c r="F58" i="55"/>
  <c r="D58" i="55"/>
  <c r="W57" i="53"/>
  <c r="V57" i="53"/>
  <c r="S57" i="53"/>
  <c r="P57" i="53"/>
  <c r="M57" i="53"/>
  <c r="J57" i="53"/>
  <c r="F57" i="55"/>
  <c r="D57" i="55"/>
  <c r="W56" i="53"/>
  <c r="V56" i="53"/>
  <c r="S56" i="53"/>
  <c r="P56" i="53"/>
  <c r="M56" i="53"/>
  <c r="J56" i="53"/>
  <c r="F56" i="55"/>
  <c r="D56" i="55"/>
  <c r="W55" i="53"/>
  <c r="V55" i="53"/>
  <c r="S55" i="53"/>
  <c r="P55" i="53"/>
  <c r="M55" i="53"/>
  <c r="J55" i="53"/>
  <c r="F55" i="55"/>
  <c r="D55" i="55"/>
  <c r="W54" i="53"/>
  <c r="V54" i="53"/>
  <c r="S54" i="53"/>
  <c r="P54" i="53"/>
  <c r="M54" i="53"/>
  <c r="J54" i="53"/>
  <c r="F54" i="55"/>
  <c r="D54" i="55"/>
  <c r="W53" i="53"/>
  <c r="V53" i="53"/>
  <c r="S53" i="53"/>
  <c r="P53" i="53"/>
  <c r="M53" i="53"/>
  <c r="J53" i="53"/>
  <c r="W52" i="53"/>
  <c r="V52" i="53"/>
  <c r="S52" i="53"/>
  <c r="P52" i="53"/>
  <c r="M52" i="53"/>
  <c r="J52" i="53"/>
  <c r="W51" i="53"/>
  <c r="V51" i="53"/>
  <c r="S51" i="53"/>
  <c r="P51" i="53"/>
  <c r="M51" i="53"/>
  <c r="J51" i="53"/>
  <c r="W50" i="53"/>
  <c r="V50" i="53"/>
  <c r="S50" i="53"/>
  <c r="P50" i="53"/>
  <c r="M50" i="53"/>
  <c r="J50" i="53"/>
  <c r="W49" i="53"/>
  <c r="V49" i="53"/>
  <c r="S49" i="53"/>
  <c r="P49" i="53"/>
  <c r="M49" i="53"/>
  <c r="J49" i="53"/>
  <c r="W48" i="53"/>
  <c r="V48" i="53"/>
  <c r="S48" i="53"/>
  <c r="P48" i="53"/>
  <c r="M48" i="53"/>
  <c r="J48" i="53"/>
  <c r="W47" i="53"/>
  <c r="V47" i="53"/>
  <c r="S47" i="53"/>
  <c r="P47" i="53"/>
  <c r="M47" i="53"/>
  <c r="J47" i="53"/>
  <c r="W46" i="53"/>
  <c r="V46" i="53"/>
  <c r="S46" i="53"/>
  <c r="P46" i="53"/>
  <c r="M46" i="53"/>
  <c r="J46" i="53"/>
  <c r="W45" i="53"/>
  <c r="V45" i="53"/>
  <c r="S45" i="53"/>
  <c r="P45" i="53"/>
  <c r="M45" i="53"/>
  <c r="J45" i="53"/>
  <c r="W44" i="53"/>
  <c r="V44" i="53"/>
  <c r="S44" i="53"/>
  <c r="P44" i="53"/>
  <c r="M44" i="53"/>
  <c r="J44" i="53"/>
  <c r="W43" i="53"/>
  <c r="V43" i="53"/>
  <c r="S43" i="53"/>
  <c r="P43" i="53"/>
  <c r="M43" i="53"/>
  <c r="J43" i="53"/>
  <c r="W42" i="53"/>
  <c r="V42" i="53"/>
  <c r="S42" i="53"/>
  <c r="P42" i="53"/>
  <c r="M42" i="53"/>
  <c r="J42" i="53"/>
  <c r="W41" i="53"/>
  <c r="V41" i="53"/>
  <c r="S41" i="53"/>
  <c r="P41" i="53"/>
  <c r="M41" i="53"/>
  <c r="J41" i="53"/>
  <c r="W40" i="53"/>
  <c r="V40" i="53"/>
  <c r="S40" i="53"/>
  <c r="P40" i="53"/>
  <c r="M40" i="53"/>
  <c r="J40" i="53"/>
  <c r="W39" i="53"/>
  <c r="V39" i="53"/>
  <c r="S39" i="53"/>
  <c r="P39" i="53"/>
  <c r="M39" i="53"/>
  <c r="J39" i="53"/>
  <c r="W20" i="53"/>
  <c r="V20" i="53"/>
  <c r="S20" i="53"/>
  <c r="P20" i="53"/>
  <c r="M20" i="53"/>
  <c r="J20" i="53"/>
  <c r="W30" i="53"/>
  <c r="V30" i="53"/>
  <c r="S30" i="53"/>
  <c r="P30" i="53"/>
  <c r="M30" i="53"/>
  <c r="J30" i="53"/>
  <c r="W36" i="53"/>
  <c r="V36" i="53"/>
  <c r="S36" i="53"/>
  <c r="P36" i="53"/>
  <c r="M36" i="53"/>
  <c r="J36" i="53"/>
  <c r="W27" i="53"/>
  <c r="V27" i="53"/>
  <c r="S27" i="53"/>
  <c r="P27" i="53"/>
  <c r="M27" i="53"/>
  <c r="J27" i="53"/>
  <c r="W37" i="53"/>
  <c r="V37" i="53"/>
  <c r="S37" i="53"/>
  <c r="P37" i="53"/>
  <c r="M37" i="53"/>
  <c r="J37" i="53"/>
  <c r="W32" i="53"/>
  <c r="V32" i="53"/>
  <c r="S32" i="53"/>
  <c r="P32" i="53"/>
  <c r="M32" i="53"/>
  <c r="J32" i="53"/>
  <c r="W35" i="53"/>
  <c r="V35" i="53"/>
  <c r="S35" i="53"/>
  <c r="P35" i="53"/>
  <c r="M35" i="53"/>
  <c r="J35" i="53"/>
  <c r="W14" i="53"/>
  <c r="V14" i="53"/>
  <c r="S14" i="53"/>
  <c r="P14" i="53"/>
  <c r="M14" i="53"/>
  <c r="J14" i="53"/>
  <c r="W25" i="53"/>
  <c r="V25" i="53"/>
  <c r="S25" i="53"/>
  <c r="P25" i="53"/>
  <c r="M25" i="53"/>
  <c r="J25" i="53"/>
  <c r="W17" i="53"/>
  <c r="V17" i="53"/>
  <c r="S17" i="53"/>
  <c r="P17" i="53"/>
  <c r="M17" i="53"/>
  <c r="J17" i="53"/>
  <c r="W28" i="53"/>
  <c r="V28" i="53"/>
  <c r="S28" i="53"/>
  <c r="P28" i="53"/>
  <c r="M28" i="53"/>
  <c r="J28" i="53"/>
  <c r="W24" i="53"/>
  <c r="V24" i="53"/>
  <c r="S24" i="53"/>
  <c r="P24" i="53"/>
  <c r="M24" i="53"/>
  <c r="J24" i="53"/>
  <c r="W22" i="53"/>
  <c r="V22" i="53"/>
  <c r="S22" i="53"/>
  <c r="P22" i="53"/>
  <c r="M22" i="53"/>
  <c r="J22" i="53"/>
  <c r="W29" i="53"/>
  <c r="V29" i="53"/>
  <c r="S29" i="53"/>
  <c r="P29" i="53"/>
  <c r="M29" i="53"/>
  <c r="J29" i="53"/>
  <c r="W16" i="53"/>
  <c r="V16" i="53"/>
  <c r="S16" i="53"/>
  <c r="P16" i="53"/>
  <c r="M16" i="53"/>
  <c r="J16" i="53"/>
  <c r="W26" i="53"/>
  <c r="V26" i="53"/>
  <c r="S26" i="53"/>
  <c r="P26" i="53"/>
  <c r="M26" i="53"/>
  <c r="J26" i="53"/>
  <c r="W33" i="53"/>
  <c r="V33" i="53"/>
  <c r="S33" i="53"/>
  <c r="P33" i="53"/>
  <c r="M33" i="53"/>
  <c r="J33" i="53"/>
  <c r="W21" i="53"/>
  <c r="V21" i="53"/>
  <c r="S21" i="53"/>
  <c r="P21" i="53"/>
  <c r="M21" i="53"/>
  <c r="J21" i="53"/>
  <c r="W31" i="53"/>
  <c r="V31" i="53"/>
  <c r="S31" i="53"/>
  <c r="P31" i="53"/>
  <c r="M31" i="53"/>
  <c r="J31" i="53"/>
  <c r="W23" i="53"/>
  <c r="V23" i="53"/>
  <c r="S23" i="53"/>
  <c r="P23" i="53"/>
  <c r="M23" i="53"/>
  <c r="J23" i="53"/>
  <c r="W34" i="53"/>
  <c r="V34" i="53"/>
  <c r="S34" i="53"/>
  <c r="P34" i="53"/>
  <c r="M34" i="53"/>
  <c r="J34" i="53"/>
  <c r="W15" i="53"/>
  <c r="V15" i="53"/>
  <c r="S15" i="53"/>
  <c r="P15" i="53"/>
  <c r="M15" i="53"/>
  <c r="J15" i="53"/>
  <c r="W38" i="53"/>
  <c r="V38" i="53"/>
  <c r="S38" i="53"/>
  <c r="P38" i="53"/>
  <c r="M38" i="53"/>
  <c r="J38" i="53"/>
  <c r="W18" i="53"/>
  <c r="V18" i="53"/>
  <c r="S18" i="53"/>
  <c r="P18" i="53"/>
  <c r="M18" i="53"/>
  <c r="J18" i="53"/>
  <c r="W19" i="53"/>
  <c r="V19" i="53"/>
  <c r="S19" i="53"/>
  <c r="P19" i="53"/>
  <c r="M19" i="53"/>
  <c r="J19" i="53"/>
  <c r="F14" i="55"/>
  <c r="D14" i="55"/>
  <c r="W11" i="53"/>
  <c r="V11" i="53"/>
  <c r="D8" i="55"/>
  <c r="D6" i="75" s="1"/>
  <c r="C7" i="55"/>
  <c r="W73" i="36"/>
  <c r="V73" i="36"/>
  <c r="W72" i="36"/>
  <c r="V72" i="36"/>
  <c r="W69" i="36"/>
  <c r="V69" i="36"/>
  <c r="W68" i="36"/>
  <c r="V68" i="36"/>
  <c r="W67" i="36"/>
  <c r="V67" i="36"/>
  <c r="W66" i="36"/>
  <c r="V66" i="36"/>
  <c r="W65" i="36"/>
  <c r="V65" i="36"/>
  <c r="W64" i="36"/>
  <c r="V64" i="36"/>
  <c r="W63" i="36"/>
  <c r="V63" i="36"/>
  <c r="W62" i="36"/>
  <c r="V62" i="36"/>
  <c r="W61" i="36"/>
  <c r="V61" i="36"/>
  <c r="W60" i="36"/>
  <c r="V60" i="36"/>
  <c r="W59" i="36"/>
  <c r="V59" i="36"/>
  <c r="W58" i="36"/>
  <c r="V58" i="36"/>
  <c r="W57" i="36"/>
  <c r="V57" i="36"/>
  <c r="W56" i="36"/>
  <c r="V56" i="36"/>
  <c r="W55" i="36"/>
  <c r="V55" i="36"/>
  <c r="W54" i="36"/>
  <c r="V54" i="36"/>
  <c r="W53" i="36"/>
  <c r="V53" i="36"/>
  <c r="W52" i="36"/>
  <c r="V52" i="36"/>
  <c r="W51" i="36"/>
  <c r="V51" i="36"/>
  <c r="W50" i="36"/>
  <c r="V50" i="36"/>
  <c r="W49" i="36"/>
  <c r="V49" i="36"/>
  <c r="W23" i="36"/>
  <c r="V23" i="36"/>
  <c r="W48" i="36"/>
  <c r="V48" i="36"/>
  <c r="W47" i="36"/>
  <c r="V47" i="36"/>
  <c r="W71" i="36"/>
  <c r="V71" i="36"/>
  <c r="W70" i="36"/>
  <c r="V70" i="36"/>
  <c r="W44" i="36"/>
  <c r="V44" i="36"/>
  <c r="W37" i="36"/>
  <c r="V37" i="36"/>
  <c r="W28" i="36"/>
  <c r="V28" i="36"/>
  <c r="W22" i="36"/>
  <c r="V22" i="36"/>
  <c r="W40" i="36"/>
  <c r="V40" i="36"/>
  <c r="W46" i="36"/>
  <c r="V46" i="36"/>
  <c r="W31" i="36"/>
  <c r="V31" i="36"/>
  <c r="W14" i="36"/>
  <c r="V14" i="36"/>
  <c r="W41" i="36"/>
  <c r="V41" i="36"/>
  <c r="W29" i="36"/>
  <c r="V29" i="36"/>
  <c r="W35" i="36"/>
  <c r="V35" i="36"/>
  <c r="W17" i="36"/>
  <c r="V17" i="36"/>
  <c r="W39" i="36"/>
  <c r="V39" i="36"/>
  <c r="W16" i="36"/>
  <c r="V16" i="36"/>
  <c r="W21" i="36"/>
  <c r="V21" i="36"/>
  <c r="W33" i="36"/>
  <c r="V33" i="36"/>
  <c r="W15" i="36"/>
  <c r="V15" i="36"/>
  <c r="W34" i="36"/>
  <c r="V34" i="36"/>
  <c r="W25" i="36"/>
  <c r="V25" i="36"/>
  <c r="W32" i="36"/>
  <c r="V32" i="36"/>
  <c r="W36" i="36"/>
  <c r="V36" i="36"/>
  <c r="W19" i="36"/>
  <c r="V19" i="36"/>
  <c r="W30" i="36"/>
  <c r="V30" i="36"/>
  <c r="W18" i="36"/>
  <c r="V18" i="36"/>
  <c r="W38" i="36"/>
  <c r="V38" i="36"/>
  <c r="W24" i="36"/>
  <c r="V24" i="36"/>
  <c r="W42" i="36"/>
  <c r="V42" i="36"/>
  <c r="W20" i="36"/>
  <c r="V20" i="36"/>
  <c r="W27" i="36"/>
  <c r="V27" i="36"/>
  <c r="W45" i="36"/>
  <c r="V45" i="36"/>
  <c r="W26" i="36"/>
  <c r="V26" i="36"/>
  <c r="W43" i="36"/>
  <c r="V43" i="36"/>
  <c r="W73" i="32"/>
  <c r="V73" i="32"/>
  <c r="W72" i="32"/>
  <c r="V72" i="32"/>
  <c r="W71" i="32"/>
  <c r="V71" i="32"/>
  <c r="W70" i="32"/>
  <c r="V70" i="32"/>
  <c r="W69" i="32"/>
  <c r="V69" i="32"/>
  <c r="W68" i="32"/>
  <c r="V68" i="32"/>
  <c r="W67" i="32"/>
  <c r="V67" i="32"/>
  <c r="W66" i="32"/>
  <c r="V66" i="32"/>
  <c r="W65" i="32"/>
  <c r="V65" i="32"/>
  <c r="W64" i="32"/>
  <c r="V64" i="32"/>
  <c r="W63" i="32"/>
  <c r="V63" i="32"/>
  <c r="W62" i="32"/>
  <c r="V62" i="32"/>
  <c r="W61" i="32"/>
  <c r="V61" i="32"/>
  <c r="W60" i="32"/>
  <c r="V60" i="32"/>
  <c r="W59" i="32"/>
  <c r="V59" i="32"/>
  <c r="W58" i="32"/>
  <c r="V58" i="32"/>
  <c r="W57" i="32"/>
  <c r="V57" i="32"/>
  <c r="W56" i="32"/>
  <c r="V56" i="32"/>
  <c r="W55" i="32"/>
  <c r="V55" i="32"/>
  <c r="W54" i="32"/>
  <c r="V54" i="32"/>
  <c r="W53" i="32"/>
  <c r="V53" i="32"/>
  <c r="W52" i="32"/>
  <c r="V52" i="32"/>
  <c r="W51" i="32"/>
  <c r="V51" i="32"/>
  <c r="W50" i="32"/>
  <c r="V50" i="32"/>
  <c r="W49" i="32"/>
  <c r="V49" i="32"/>
  <c r="W48" i="32"/>
  <c r="V48" i="32"/>
  <c r="W47" i="32"/>
  <c r="V47" i="32"/>
  <c r="W46" i="32"/>
  <c r="V46" i="32"/>
  <c r="W45" i="32"/>
  <c r="V45" i="32"/>
  <c r="W44" i="32"/>
  <c r="V44" i="32"/>
  <c r="W43" i="32"/>
  <c r="V43" i="32"/>
  <c r="W42" i="32"/>
  <c r="V42" i="32"/>
  <c r="W41" i="32"/>
  <c r="V41" i="32"/>
  <c r="W37" i="32"/>
  <c r="V37" i="32"/>
  <c r="W36" i="32"/>
  <c r="V36" i="32"/>
  <c r="W26" i="32"/>
  <c r="V26" i="32"/>
  <c r="W14" i="32"/>
  <c r="V14" i="32"/>
  <c r="W16" i="32"/>
  <c r="V16" i="32"/>
  <c r="W25" i="32"/>
  <c r="V25" i="32"/>
  <c r="W19" i="32"/>
  <c r="V19" i="32"/>
  <c r="W38" i="32"/>
  <c r="V38" i="32"/>
  <c r="W39" i="32"/>
  <c r="V39" i="32"/>
  <c r="W40" i="32"/>
  <c r="V40" i="32"/>
  <c r="W28" i="32"/>
  <c r="V28" i="32"/>
  <c r="W18" i="32"/>
  <c r="V18" i="32"/>
  <c r="W24" i="32"/>
  <c r="V24" i="32"/>
  <c r="W15" i="32"/>
  <c r="V15" i="32"/>
  <c r="W29" i="32"/>
  <c r="V29" i="32"/>
  <c r="W33" i="32"/>
  <c r="V33" i="32"/>
  <c r="W31" i="32"/>
  <c r="V31" i="32"/>
  <c r="W20" i="32"/>
  <c r="V20" i="32"/>
  <c r="W23" i="32"/>
  <c r="V23" i="32"/>
  <c r="W22" i="32"/>
  <c r="V22" i="32"/>
  <c r="W17" i="32"/>
  <c r="V17" i="32"/>
  <c r="W27" i="32"/>
  <c r="V27" i="32"/>
  <c r="W34" i="32"/>
  <c r="V34" i="32"/>
  <c r="W35" i="32"/>
  <c r="V35" i="32"/>
  <c r="W32" i="32"/>
  <c r="V32" i="32"/>
  <c r="W21" i="32"/>
  <c r="V21" i="32"/>
  <c r="W30" i="32"/>
  <c r="V30" i="32"/>
  <c r="W73" i="28"/>
  <c r="V73" i="28"/>
  <c r="W72" i="28"/>
  <c r="V72" i="28"/>
  <c r="W71" i="28"/>
  <c r="V71" i="28"/>
  <c r="W70" i="28"/>
  <c r="V70" i="28"/>
  <c r="W69" i="28"/>
  <c r="V69" i="28"/>
  <c r="W68" i="28"/>
  <c r="V68" i="28"/>
  <c r="W67" i="28"/>
  <c r="V67" i="28"/>
  <c r="W66" i="28"/>
  <c r="V66" i="28"/>
  <c r="W65" i="28"/>
  <c r="V65" i="28"/>
  <c r="W64" i="28"/>
  <c r="V64" i="28"/>
  <c r="W63" i="28"/>
  <c r="V63" i="28"/>
  <c r="W62" i="28"/>
  <c r="V62" i="28"/>
  <c r="W61" i="28"/>
  <c r="V61" i="28"/>
  <c r="W60" i="28"/>
  <c r="V60" i="28"/>
  <c r="W59" i="28"/>
  <c r="V59" i="28"/>
  <c r="W58" i="28"/>
  <c r="V58" i="28"/>
  <c r="W57" i="28"/>
  <c r="V57" i="28"/>
  <c r="W56" i="28"/>
  <c r="V56" i="28"/>
  <c r="W55" i="28"/>
  <c r="V55" i="28"/>
  <c r="W54" i="28"/>
  <c r="V54" i="28"/>
  <c r="W53" i="28"/>
  <c r="V53" i="28"/>
  <c r="W52" i="28"/>
  <c r="V52" i="28"/>
  <c r="W51" i="28"/>
  <c r="V51" i="28"/>
  <c r="W50" i="28"/>
  <c r="V50" i="28"/>
  <c r="W49" i="28"/>
  <c r="V49" i="28"/>
  <c r="W48" i="28"/>
  <c r="V48" i="28"/>
  <c r="W47" i="28"/>
  <c r="V47" i="28"/>
  <c r="W46" i="28"/>
  <c r="V46" i="28"/>
  <c r="W45" i="28"/>
  <c r="V45" i="28"/>
  <c r="W44" i="28"/>
  <c r="V44" i="28"/>
  <c r="W43" i="28"/>
  <c r="V43" i="28"/>
  <c r="W34" i="28"/>
  <c r="V34" i="28"/>
  <c r="W29" i="28"/>
  <c r="V29" i="28"/>
  <c r="W22" i="28"/>
  <c r="V22" i="28"/>
  <c r="W17" i="28"/>
  <c r="V17" i="28"/>
  <c r="W23" i="28"/>
  <c r="V23" i="28"/>
  <c r="W18" i="28"/>
  <c r="V18" i="28"/>
  <c r="W41" i="28"/>
  <c r="V41" i="28"/>
  <c r="W36" i="28"/>
  <c r="V36" i="28"/>
  <c r="W31" i="28"/>
  <c r="V31" i="28"/>
  <c r="W33" i="28"/>
  <c r="V33" i="28"/>
  <c r="W28" i="28"/>
  <c r="V28" i="28"/>
  <c r="W26" i="28"/>
  <c r="V26" i="28"/>
  <c r="W20" i="28"/>
  <c r="V20" i="28"/>
  <c r="W15" i="28"/>
  <c r="V15" i="28"/>
  <c r="W30" i="28"/>
  <c r="V30" i="28"/>
  <c r="W25" i="28"/>
  <c r="V25" i="28"/>
  <c r="W19" i="28"/>
  <c r="V19" i="28"/>
  <c r="W32" i="28"/>
  <c r="V32" i="28"/>
  <c r="W42" i="28"/>
  <c r="V42" i="28"/>
  <c r="W38" i="28"/>
  <c r="V38" i="28"/>
  <c r="W27" i="28"/>
  <c r="V27" i="28"/>
  <c r="W37" i="28"/>
  <c r="V37" i="28"/>
  <c r="W35" i="28"/>
  <c r="V35" i="28"/>
  <c r="W16" i="28"/>
  <c r="V16" i="28"/>
  <c r="W24" i="28"/>
  <c r="V24" i="28"/>
  <c r="W14" i="28"/>
  <c r="V14" i="28"/>
  <c r="W21" i="28"/>
  <c r="V21" i="28"/>
  <c r="W39" i="28"/>
  <c r="V39" i="28"/>
  <c r="W40" i="28"/>
  <c r="V40" i="28"/>
  <c r="F73" i="31"/>
  <c r="D73" i="31"/>
  <c r="F71" i="31"/>
  <c r="D71" i="31"/>
  <c r="F70" i="31"/>
  <c r="F69" i="31"/>
  <c r="F68" i="31"/>
  <c r="F67" i="31"/>
  <c r="D67" i="31"/>
  <c r="F66" i="31"/>
  <c r="D66" i="31"/>
  <c r="F65" i="31"/>
  <c r="F64" i="31"/>
  <c r="D64" i="31"/>
  <c r="F63" i="31"/>
  <c r="D63" i="31"/>
  <c r="F14" i="31"/>
  <c r="F73" i="44"/>
  <c r="D73" i="44"/>
  <c r="F73" i="27"/>
  <c r="D73" i="27"/>
  <c r="F72" i="27"/>
  <c r="D72" i="27"/>
  <c r="F71" i="27"/>
  <c r="D71" i="27"/>
  <c r="F70" i="27"/>
  <c r="D70" i="27"/>
  <c r="F69" i="27"/>
  <c r="D69" i="27"/>
  <c r="F68" i="27"/>
  <c r="F67" i="27"/>
  <c r="D67" i="27"/>
  <c r="D66" i="27"/>
  <c r="F64" i="27"/>
  <c r="D64" i="27"/>
  <c r="D63" i="27"/>
  <c r="F62" i="27"/>
  <c r="F61" i="27"/>
  <c r="D61" i="27"/>
  <c r="F60" i="27"/>
  <c r="D60" i="27"/>
  <c r="F59" i="27"/>
  <c r="D59" i="27"/>
  <c r="F58" i="27"/>
  <c r="F57" i="27"/>
  <c r="D57" i="27"/>
  <c r="F55" i="27"/>
  <c r="D55" i="27"/>
  <c r="F54" i="27"/>
  <c r="D54" i="27"/>
  <c r="F53" i="27"/>
  <c r="D53" i="27"/>
  <c r="F52" i="27"/>
  <c r="D52" i="27"/>
  <c r="F51" i="27"/>
  <c r="D51" i="27"/>
  <c r="D50" i="27"/>
  <c r="F49" i="27"/>
  <c r="A73" i="44"/>
  <c r="B73" i="44"/>
  <c r="C73" i="44"/>
  <c r="E73" i="44"/>
  <c r="G73" i="44"/>
  <c r="D8" i="21"/>
  <c r="D6" i="71" s="1"/>
  <c r="D8" i="31"/>
  <c r="D6" i="72" s="1"/>
  <c r="C7" i="31"/>
  <c r="J30" i="32"/>
  <c r="M30" i="32"/>
  <c r="P30" i="32"/>
  <c r="S30" i="32"/>
  <c r="J21" i="32"/>
  <c r="M21" i="32"/>
  <c r="P21" i="32"/>
  <c r="S21" i="32"/>
  <c r="J32" i="32"/>
  <c r="M32" i="32"/>
  <c r="P32" i="32"/>
  <c r="S32" i="32"/>
  <c r="J35" i="32"/>
  <c r="M35" i="32"/>
  <c r="P35" i="32"/>
  <c r="S35" i="32"/>
  <c r="J34" i="32"/>
  <c r="M34" i="32"/>
  <c r="P34" i="32"/>
  <c r="S34" i="32"/>
  <c r="J27" i="32"/>
  <c r="M27" i="32"/>
  <c r="P27" i="32"/>
  <c r="S27" i="32"/>
  <c r="J17" i="32"/>
  <c r="M17" i="32"/>
  <c r="P17" i="32"/>
  <c r="S17" i="32"/>
  <c r="J22" i="32"/>
  <c r="M22" i="32"/>
  <c r="P22" i="32"/>
  <c r="S22" i="32"/>
  <c r="J23" i="32"/>
  <c r="M23" i="32"/>
  <c r="P23" i="32"/>
  <c r="S23" i="32"/>
  <c r="J20" i="32"/>
  <c r="M20" i="32"/>
  <c r="P20" i="32"/>
  <c r="S20" i="32"/>
  <c r="J31" i="32"/>
  <c r="M31" i="32"/>
  <c r="P31" i="32"/>
  <c r="S31" i="32"/>
  <c r="J33" i="32"/>
  <c r="M33" i="32"/>
  <c r="P33" i="32"/>
  <c r="S33" i="32"/>
  <c r="J29" i="32"/>
  <c r="M29" i="32"/>
  <c r="P29" i="32"/>
  <c r="S29" i="32"/>
  <c r="J15" i="32"/>
  <c r="M15" i="32"/>
  <c r="P15" i="32"/>
  <c r="S15" i="32"/>
  <c r="J24" i="32"/>
  <c r="M24" i="32"/>
  <c r="P24" i="32"/>
  <c r="S24" i="32"/>
  <c r="J18" i="32"/>
  <c r="M18" i="32"/>
  <c r="P18" i="32"/>
  <c r="S18" i="32"/>
  <c r="J28" i="32"/>
  <c r="M28" i="32"/>
  <c r="P28" i="32"/>
  <c r="S28" i="32"/>
  <c r="J40" i="32"/>
  <c r="M40" i="32"/>
  <c r="P40" i="32"/>
  <c r="S40" i="32"/>
  <c r="J39" i="32"/>
  <c r="M39" i="32"/>
  <c r="P39" i="32"/>
  <c r="S39" i="32"/>
  <c r="J38" i="32"/>
  <c r="M38" i="32"/>
  <c r="P38" i="32"/>
  <c r="S38" i="32"/>
  <c r="J19" i="32"/>
  <c r="M19" i="32"/>
  <c r="P19" i="32"/>
  <c r="S19" i="32"/>
  <c r="J25" i="32"/>
  <c r="M25" i="32"/>
  <c r="P25" i="32"/>
  <c r="S25" i="32"/>
  <c r="J16" i="32"/>
  <c r="M16" i="32"/>
  <c r="P16" i="32"/>
  <c r="S16" i="32"/>
  <c r="J14" i="32"/>
  <c r="M14" i="32"/>
  <c r="P14" i="32"/>
  <c r="S14" i="32"/>
  <c r="J26" i="32"/>
  <c r="M26" i="32"/>
  <c r="P26" i="32"/>
  <c r="S26" i="32"/>
  <c r="J36" i="32"/>
  <c r="M36" i="32"/>
  <c r="P36" i="32"/>
  <c r="S36" i="32"/>
  <c r="J37" i="32"/>
  <c r="M37" i="32"/>
  <c r="P37" i="32"/>
  <c r="S37" i="32"/>
  <c r="J41" i="32"/>
  <c r="M41" i="32"/>
  <c r="P41" i="32"/>
  <c r="S41" i="32"/>
  <c r="J42" i="32"/>
  <c r="M42" i="32"/>
  <c r="P42" i="32"/>
  <c r="S42" i="32"/>
  <c r="J43" i="32"/>
  <c r="M43" i="32"/>
  <c r="P43" i="32"/>
  <c r="S43" i="32"/>
  <c r="J44" i="32"/>
  <c r="M44" i="32"/>
  <c r="P44" i="32"/>
  <c r="S44" i="32"/>
  <c r="J45" i="32"/>
  <c r="M45" i="32"/>
  <c r="P45" i="32"/>
  <c r="S45" i="32"/>
  <c r="J46" i="32"/>
  <c r="M46" i="32"/>
  <c r="P46" i="32"/>
  <c r="S46" i="32"/>
  <c r="J47" i="32"/>
  <c r="M47" i="32"/>
  <c r="P47" i="32"/>
  <c r="S47" i="32"/>
  <c r="J48" i="32"/>
  <c r="M48" i="32"/>
  <c r="P48" i="32"/>
  <c r="S48" i="32"/>
  <c r="J49" i="32"/>
  <c r="M49" i="32"/>
  <c r="P49" i="32"/>
  <c r="S49" i="32"/>
  <c r="J50" i="32"/>
  <c r="M50" i="32"/>
  <c r="P50" i="32"/>
  <c r="S50" i="32"/>
  <c r="J51" i="32"/>
  <c r="M51" i="32"/>
  <c r="P51" i="32"/>
  <c r="S51" i="32"/>
  <c r="J52" i="32"/>
  <c r="M52" i="32"/>
  <c r="P52" i="32"/>
  <c r="S52" i="32"/>
  <c r="J53" i="32"/>
  <c r="M53" i="32"/>
  <c r="P53" i="32"/>
  <c r="S53" i="32"/>
  <c r="J54" i="32"/>
  <c r="M54" i="32"/>
  <c r="P54" i="32"/>
  <c r="S54" i="32"/>
  <c r="J55" i="32"/>
  <c r="M55" i="32"/>
  <c r="P55" i="32"/>
  <c r="S55" i="32"/>
  <c r="J56" i="32"/>
  <c r="M56" i="32"/>
  <c r="P56" i="32"/>
  <c r="S56" i="32"/>
  <c r="J57" i="32"/>
  <c r="M57" i="32"/>
  <c r="P57" i="32"/>
  <c r="S57" i="32"/>
  <c r="J58" i="32"/>
  <c r="M58" i="32"/>
  <c r="P58" i="32"/>
  <c r="S58" i="32"/>
  <c r="J59" i="32"/>
  <c r="M59" i="32"/>
  <c r="P59" i="32"/>
  <c r="S59" i="32"/>
  <c r="J60" i="32"/>
  <c r="M60" i="32"/>
  <c r="P60" i="32"/>
  <c r="S60" i="32"/>
  <c r="J61" i="32"/>
  <c r="M61" i="32"/>
  <c r="P61" i="32"/>
  <c r="S61" i="32"/>
  <c r="J62" i="32"/>
  <c r="M62" i="32"/>
  <c r="P62" i="32"/>
  <c r="S62" i="32"/>
  <c r="J63" i="32"/>
  <c r="M63" i="32"/>
  <c r="P63" i="32"/>
  <c r="S63" i="32"/>
  <c r="J64" i="32"/>
  <c r="M64" i="32"/>
  <c r="P64" i="32"/>
  <c r="S64" i="32"/>
  <c r="J65" i="32"/>
  <c r="M65" i="32"/>
  <c r="P65" i="32"/>
  <c r="S65" i="32"/>
  <c r="J66" i="32"/>
  <c r="M66" i="32"/>
  <c r="P66" i="32"/>
  <c r="S66" i="32"/>
  <c r="J67" i="32"/>
  <c r="M67" i="32"/>
  <c r="P67" i="32"/>
  <c r="S67" i="32"/>
  <c r="J68" i="32"/>
  <c r="M68" i="32"/>
  <c r="P68" i="32"/>
  <c r="S68" i="32"/>
  <c r="J69" i="32"/>
  <c r="M69" i="32"/>
  <c r="P69" i="32"/>
  <c r="S69" i="32"/>
  <c r="J70" i="32"/>
  <c r="M70" i="32"/>
  <c r="P70" i="32"/>
  <c r="S70" i="32"/>
  <c r="J71" i="32"/>
  <c r="M71" i="32"/>
  <c r="P71" i="32"/>
  <c r="S71" i="32"/>
  <c r="J72" i="32"/>
  <c r="M72" i="32"/>
  <c r="P72" i="32"/>
  <c r="S72" i="32"/>
  <c r="J73" i="32"/>
  <c r="M73" i="32"/>
  <c r="P73" i="32"/>
  <c r="S73" i="32"/>
  <c r="C7" i="21"/>
  <c r="J43" i="36"/>
  <c r="M43" i="36"/>
  <c r="P43" i="36"/>
  <c r="S43" i="36"/>
  <c r="J26" i="36"/>
  <c r="M26" i="36"/>
  <c r="P26" i="36"/>
  <c r="S26" i="36"/>
  <c r="J45" i="36"/>
  <c r="M45" i="36"/>
  <c r="P45" i="36"/>
  <c r="S45" i="36"/>
  <c r="J27" i="36"/>
  <c r="M27" i="36"/>
  <c r="P27" i="36"/>
  <c r="S27" i="36"/>
  <c r="J20" i="36"/>
  <c r="M20" i="36"/>
  <c r="P20" i="36"/>
  <c r="S20" i="36"/>
  <c r="J42" i="36"/>
  <c r="M42" i="36"/>
  <c r="P42" i="36"/>
  <c r="S42" i="36"/>
  <c r="J24" i="36"/>
  <c r="M24" i="36"/>
  <c r="P24" i="36"/>
  <c r="S24" i="36"/>
  <c r="J38" i="36"/>
  <c r="M38" i="36"/>
  <c r="P38" i="36"/>
  <c r="S38" i="36"/>
  <c r="J18" i="36"/>
  <c r="M18" i="36"/>
  <c r="P18" i="36"/>
  <c r="S18" i="36"/>
  <c r="J30" i="36"/>
  <c r="M30" i="36"/>
  <c r="P30" i="36"/>
  <c r="S30" i="36"/>
  <c r="J19" i="36"/>
  <c r="M19" i="36"/>
  <c r="P19" i="36"/>
  <c r="S19" i="36"/>
  <c r="J36" i="36"/>
  <c r="M36" i="36"/>
  <c r="P36" i="36"/>
  <c r="S36" i="36"/>
  <c r="J32" i="36"/>
  <c r="M32" i="36"/>
  <c r="P32" i="36"/>
  <c r="S32" i="36"/>
  <c r="J25" i="36"/>
  <c r="M25" i="36"/>
  <c r="P25" i="36"/>
  <c r="S25" i="36"/>
  <c r="J34" i="36"/>
  <c r="M34" i="36"/>
  <c r="P34" i="36"/>
  <c r="S34" i="36"/>
  <c r="J15" i="36"/>
  <c r="M15" i="36"/>
  <c r="P15" i="36"/>
  <c r="S15" i="36"/>
  <c r="J33" i="36"/>
  <c r="M33" i="36"/>
  <c r="P33" i="36"/>
  <c r="S33" i="36"/>
  <c r="J21" i="36"/>
  <c r="M21" i="36"/>
  <c r="P21" i="36"/>
  <c r="S21" i="36"/>
  <c r="J16" i="36"/>
  <c r="M16" i="36"/>
  <c r="P16" i="36"/>
  <c r="S16" i="36"/>
  <c r="J39" i="36"/>
  <c r="M39" i="36"/>
  <c r="P39" i="36"/>
  <c r="S39" i="36"/>
  <c r="J17" i="36"/>
  <c r="M17" i="36"/>
  <c r="P17" i="36"/>
  <c r="S17" i="36"/>
  <c r="J35" i="36"/>
  <c r="M35" i="36"/>
  <c r="P35" i="36"/>
  <c r="S35" i="36"/>
  <c r="J29" i="36"/>
  <c r="M29" i="36"/>
  <c r="P29" i="36"/>
  <c r="S29" i="36"/>
  <c r="J41" i="36"/>
  <c r="M41" i="36"/>
  <c r="P41" i="36"/>
  <c r="S41" i="36"/>
  <c r="J14" i="36"/>
  <c r="M14" i="36"/>
  <c r="P14" i="36"/>
  <c r="S14" i="36"/>
  <c r="J31" i="36"/>
  <c r="M31" i="36"/>
  <c r="P31" i="36"/>
  <c r="S31" i="36"/>
  <c r="J46" i="36"/>
  <c r="M46" i="36"/>
  <c r="P46" i="36"/>
  <c r="S46" i="36"/>
  <c r="J40" i="36"/>
  <c r="M40" i="36"/>
  <c r="P40" i="36"/>
  <c r="S40" i="36"/>
  <c r="J22" i="36"/>
  <c r="M22" i="36"/>
  <c r="P22" i="36"/>
  <c r="S22" i="36"/>
  <c r="J28" i="36"/>
  <c r="M28" i="36"/>
  <c r="P28" i="36"/>
  <c r="S28" i="36"/>
  <c r="J37" i="36"/>
  <c r="M37" i="36"/>
  <c r="P37" i="36"/>
  <c r="S37" i="36"/>
  <c r="J44" i="36"/>
  <c r="M44" i="36"/>
  <c r="P44" i="36"/>
  <c r="S44" i="36"/>
  <c r="J70" i="36"/>
  <c r="M70" i="36"/>
  <c r="P70" i="36"/>
  <c r="S70" i="36"/>
  <c r="J71" i="36"/>
  <c r="M71" i="36"/>
  <c r="P71" i="36"/>
  <c r="S71" i="36"/>
  <c r="J47" i="36"/>
  <c r="M47" i="36"/>
  <c r="P47" i="36"/>
  <c r="S47" i="36"/>
  <c r="J48" i="36"/>
  <c r="M48" i="36"/>
  <c r="P48" i="36"/>
  <c r="S48" i="36"/>
  <c r="J23" i="36"/>
  <c r="M23" i="36"/>
  <c r="P23" i="36"/>
  <c r="S23" i="36"/>
  <c r="J49" i="36"/>
  <c r="M49" i="36"/>
  <c r="P49" i="36"/>
  <c r="S49" i="36"/>
  <c r="J50" i="36"/>
  <c r="M50" i="36"/>
  <c r="P50" i="36"/>
  <c r="S50" i="36"/>
  <c r="J51" i="36"/>
  <c r="M51" i="36"/>
  <c r="P51" i="36"/>
  <c r="S51" i="36"/>
  <c r="J52" i="36"/>
  <c r="M52" i="36"/>
  <c r="P52" i="36"/>
  <c r="S52" i="36"/>
  <c r="J53" i="36"/>
  <c r="M53" i="36"/>
  <c r="P53" i="36"/>
  <c r="S53" i="36"/>
  <c r="J54" i="36"/>
  <c r="M54" i="36"/>
  <c r="P54" i="36"/>
  <c r="S54" i="36"/>
  <c r="J55" i="36"/>
  <c r="M55" i="36"/>
  <c r="P55" i="36"/>
  <c r="S55" i="36"/>
  <c r="J56" i="36"/>
  <c r="M56" i="36"/>
  <c r="P56" i="36"/>
  <c r="S56" i="36"/>
  <c r="J57" i="36"/>
  <c r="M57" i="36"/>
  <c r="P57" i="36"/>
  <c r="S57" i="36"/>
  <c r="J58" i="36"/>
  <c r="M58" i="36"/>
  <c r="P58" i="36"/>
  <c r="S58" i="36"/>
  <c r="J59" i="36"/>
  <c r="M59" i="36"/>
  <c r="P59" i="36"/>
  <c r="S59" i="36"/>
  <c r="J60" i="36"/>
  <c r="M60" i="36"/>
  <c r="P60" i="36"/>
  <c r="S60" i="36"/>
  <c r="J61" i="36"/>
  <c r="M61" i="36"/>
  <c r="P61" i="36"/>
  <c r="S61" i="36"/>
  <c r="J62" i="36"/>
  <c r="M62" i="36"/>
  <c r="P62" i="36"/>
  <c r="S62" i="36"/>
  <c r="J63" i="36"/>
  <c r="M63" i="36"/>
  <c r="P63" i="36"/>
  <c r="S63" i="36"/>
  <c r="J64" i="36"/>
  <c r="M64" i="36"/>
  <c r="P64" i="36"/>
  <c r="S64" i="36"/>
  <c r="J65" i="36"/>
  <c r="M65" i="36"/>
  <c r="P65" i="36"/>
  <c r="S65" i="36"/>
  <c r="J66" i="36"/>
  <c r="M66" i="36"/>
  <c r="P66" i="36"/>
  <c r="S66" i="36"/>
  <c r="J67" i="36"/>
  <c r="M67" i="36"/>
  <c r="P67" i="36"/>
  <c r="S67" i="36"/>
  <c r="J68" i="36"/>
  <c r="M68" i="36"/>
  <c r="P68" i="36"/>
  <c r="S68" i="36"/>
  <c r="J69" i="36"/>
  <c r="M69" i="36"/>
  <c r="P69" i="36"/>
  <c r="S69" i="36"/>
  <c r="J72" i="36"/>
  <c r="M72" i="36"/>
  <c r="P72" i="36"/>
  <c r="S72" i="36"/>
  <c r="J73" i="36"/>
  <c r="M73" i="36"/>
  <c r="P73" i="36"/>
  <c r="S73" i="36"/>
  <c r="C7" i="27"/>
  <c r="J40" i="28"/>
  <c r="M40" i="28"/>
  <c r="P40" i="28"/>
  <c r="S40" i="28"/>
  <c r="J39" i="28"/>
  <c r="M39" i="28"/>
  <c r="P39" i="28"/>
  <c r="S39" i="28"/>
  <c r="J21" i="28"/>
  <c r="M21" i="28"/>
  <c r="P21" i="28"/>
  <c r="S21" i="28"/>
  <c r="J14" i="28"/>
  <c r="M14" i="28"/>
  <c r="P14" i="28"/>
  <c r="S14" i="28"/>
  <c r="J24" i="28"/>
  <c r="M24" i="28"/>
  <c r="P24" i="28"/>
  <c r="S24" i="28"/>
  <c r="J16" i="28"/>
  <c r="M16" i="28"/>
  <c r="P16" i="28"/>
  <c r="S16" i="28"/>
  <c r="J35" i="28"/>
  <c r="M35" i="28"/>
  <c r="P35" i="28"/>
  <c r="S35" i="28"/>
  <c r="J37" i="28"/>
  <c r="M37" i="28"/>
  <c r="P37" i="28"/>
  <c r="S37" i="28"/>
  <c r="J27" i="28"/>
  <c r="M27" i="28"/>
  <c r="P27" i="28"/>
  <c r="S27" i="28"/>
  <c r="J38" i="28"/>
  <c r="M38" i="28"/>
  <c r="P38" i="28"/>
  <c r="S38" i="28"/>
  <c r="J42" i="28"/>
  <c r="M42" i="28"/>
  <c r="P42" i="28"/>
  <c r="S42" i="28"/>
  <c r="J32" i="28"/>
  <c r="M32" i="28"/>
  <c r="P32" i="28"/>
  <c r="S32" i="28"/>
  <c r="J19" i="28"/>
  <c r="M19" i="28"/>
  <c r="P19" i="28"/>
  <c r="S19" i="28"/>
  <c r="J25" i="28"/>
  <c r="M25" i="28"/>
  <c r="P25" i="28"/>
  <c r="S25" i="28"/>
  <c r="J30" i="28"/>
  <c r="M30" i="28"/>
  <c r="P30" i="28"/>
  <c r="S30" i="28"/>
  <c r="J15" i="28"/>
  <c r="M15" i="28"/>
  <c r="P15" i="28"/>
  <c r="S15" i="28"/>
  <c r="J20" i="28"/>
  <c r="M20" i="28"/>
  <c r="P20" i="28"/>
  <c r="S20" i="28"/>
  <c r="J26" i="28"/>
  <c r="M26" i="28"/>
  <c r="P26" i="28"/>
  <c r="S26" i="28"/>
  <c r="J28" i="28"/>
  <c r="M28" i="28"/>
  <c r="P28" i="28"/>
  <c r="S28" i="28"/>
  <c r="J33" i="28"/>
  <c r="M33" i="28"/>
  <c r="P33" i="28"/>
  <c r="S33" i="28"/>
  <c r="J31" i="28"/>
  <c r="M31" i="28"/>
  <c r="P31" i="28"/>
  <c r="S31" i="28"/>
  <c r="J36" i="28"/>
  <c r="M36" i="28"/>
  <c r="P36" i="28"/>
  <c r="S36" i="28"/>
  <c r="J41" i="28"/>
  <c r="M41" i="28"/>
  <c r="P41" i="28"/>
  <c r="S41" i="28"/>
  <c r="J18" i="28"/>
  <c r="M18" i="28"/>
  <c r="P18" i="28"/>
  <c r="S18" i="28"/>
  <c r="J23" i="28"/>
  <c r="M23" i="28"/>
  <c r="P23" i="28"/>
  <c r="S23" i="28"/>
  <c r="J17" i="28"/>
  <c r="M17" i="28"/>
  <c r="P17" i="28"/>
  <c r="S17" i="28"/>
  <c r="J22" i="28"/>
  <c r="M22" i="28"/>
  <c r="P22" i="28"/>
  <c r="S22" i="28"/>
  <c r="J29" i="28"/>
  <c r="M29" i="28"/>
  <c r="P29" i="28"/>
  <c r="S29" i="28"/>
  <c r="J34" i="28"/>
  <c r="M34" i="28"/>
  <c r="P34" i="28"/>
  <c r="S34" i="28"/>
  <c r="J43" i="28"/>
  <c r="M43" i="28"/>
  <c r="P43" i="28"/>
  <c r="S43" i="28"/>
  <c r="J44" i="28"/>
  <c r="M44" i="28"/>
  <c r="P44" i="28"/>
  <c r="S44" i="28"/>
  <c r="J45" i="28"/>
  <c r="M45" i="28"/>
  <c r="P45" i="28"/>
  <c r="S45" i="28"/>
  <c r="J46" i="28"/>
  <c r="M46" i="28"/>
  <c r="P46" i="28"/>
  <c r="S46" i="28"/>
  <c r="J47" i="28"/>
  <c r="M47" i="28"/>
  <c r="P47" i="28"/>
  <c r="S47" i="28"/>
  <c r="J48" i="28"/>
  <c r="M48" i="28"/>
  <c r="P48" i="28"/>
  <c r="S48" i="28"/>
  <c r="J49" i="28"/>
  <c r="M49" i="28"/>
  <c r="P49" i="28"/>
  <c r="S49" i="28"/>
  <c r="J50" i="28"/>
  <c r="M50" i="28"/>
  <c r="P50" i="28"/>
  <c r="S50" i="28"/>
  <c r="J51" i="28"/>
  <c r="M51" i="28"/>
  <c r="P51" i="28"/>
  <c r="S51" i="28"/>
  <c r="J52" i="28"/>
  <c r="M52" i="28"/>
  <c r="P52" i="28"/>
  <c r="S52" i="28"/>
  <c r="J53" i="28"/>
  <c r="M53" i="28"/>
  <c r="P53" i="28"/>
  <c r="S53" i="28"/>
  <c r="J54" i="28"/>
  <c r="M54" i="28"/>
  <c r="P54" i="28"/>
  <c r="S54" i="28"/>
  <c r="J55" i="28"/>
  <c r="M55" i="28"/>
  <c r="P55" i="28"/>
  <c r="S55" i="28"/>
  <c r="J56" i="28"/>
  <c r="M56" i="28"/>
  <c r="P56" i="28"/>
  <c r="S56" i="28"/>
  <c r="J57" i="28"/>
  <c r="M57" i="28"/>
  <c r="P57" i="28"/>
  <c r="S57" i="28"/>
  <c r="J58" i="28"/>
  <c r="M58" i="28"/>
  <c r="P58" i="28"/>
  <c r="S58" i="28"/>
  <c r="J59" i="28"/>
  <c r="M59" i="28"/>
  <c r="P59" i="28"/>
  <c r="S59" i="28"/>
  <c r="J60" i="28"/>
  <c r="M60" i="28"/>
  <c r="P60" i="28"/>
  <c r="S60" i="28"/>
  <c r="J61" i="28"/>
  <c r="M61" i="28"/>
  <c r="P61" i="28"/>
  <c r="S61" i="28"/>
  <c r="J62" i="28"/>
  <c r="M62" i="28"/>
  <c r="P62" i="28"/>
  <c r="S62" i="28"/>
  <c r="J63" i="28"/>
  <c r="M63" i="28"/>
  <c r="P63" i="28"/>
  <c r="S63" i="28"/>
  <c r="J64" i="28"/>
  <c r="M64" i="28"/>
  <c r="P64" i="28"/>
  <c r="S64" i="28"/>
  <c r="J65" i="28"/>
  <c r="M65" i="28"/>
  <c r="P65" i="28"/>
  <c r="S65" i="28"/>
  <c r="J66" i="28"/>
  <c r="M66" i="28"/>
  <c r="P66" i="28"/>
  <c r="S66" i="28"/>
  <c r="J67" i="28"/>
  <c r="M67" i="28"/>
  <c r="P67" i="28"/>
  <c r="S67" i="28"/>
  <c r="J68" i="28"/>
  <c r="M68" i="28"/>
  <c r="P68" i="28"/>
  <c r="S68" i="28"/>
  <c r="J69" i="28"/>
  <c r="M69" i="28"/>
  <c r="P69" i="28"/>
  <c r="S69" i="28"/>
  <c r="J70" i="28"/>
  <c r="M70" i="28"/>
  <c r="P70" i="28"/>
  <c r="S70" i="28"/>
  <c r="J71" i="28"/>
  <c r="M71" i="28"/>
  <c r="P71" i="28"/>
  <c r="S71" i="28"/>
  <c r="J72" i="28"/>
  <c r="M72" i="28"/>
  <c r="P72" i="28"/>
  <c r="S72" i="28"/>
  <c r="J73" i="28"/>
  <c r="M73" i="28"/>
  <c r="P73" i="28"/>
  <c r="S73" i="28"/>
  <c r="B8" i="31"/>
  <c r="B6" i="72" s="1"/>
  <c r="D9" i="31"/>
  <c r="F9" i="31"/>
  <c r="D10" i="31"/>
  <c r="F10" i="31"/>
  <c r="A14" i="31"/>
  <c r="B14" i="31"/>
  <c r="C14" i="31"/>
  <c r="E14" i="31"/>
  <c r="G14" i="31"/>
  <c r="A63" i="31"/>
  <c r="B63" i="31"/>
  <c r="C63" i="31"/>
  <c r="E63" i="31"/>
  <c r="G63" i="31"/>
  <c r="A64" i="31"/>
  <c r="B64" i="31"/>
  <c r="C64" i="31"/>
  <c r="E64" i="31"/>
  <c r="G64" i="31"/>
  <c r="A65" i="31"/>
  <c r="B65" i="31"/>
  <c r="C65" i="31"/>
  <c r="D65" i="31"/>
  <c r="E65" i="31"/>
  <c r="G65" i="31"/>
  <c r="A66" i="31"/>
  <c r="B66" i="31"/>
  <c r="C66" i="31"/>
  <c r="E66" i="31"/>
  <c r="G66" i="31"/>
  <c r="A67" i="31"/>
  <c r="B67" i="31"/>
  <c r="C67" i="31"/>
  <c r="E67" i="31"/>
  <c r="G67" i="31"/>
  <c r="A68" i="31"/>
  <c r="B68" i="31"/>
  <c r="C68" i="31"/>
  <c r="D68" i="31"/>
  <c r="E68" i="31"/>
  <c r="G68" i="31"/>
  <c r="A69" i="31"/>
  <c r="B69" i="31"/>
  <c r="C69" i="31"/>
  <c r="D69" i="31"/>
  <c r="E69" i="31"/>
  <c r="G69" i="31"/>
  <c r="A70" i="31"/>
  <c r="B70" i="31"/>
  <c r="C70" i="31"/>
  <c r="D70" i="31"/>
  <c r="E70" i="31"/>
  <c r="G70" i="31"/>
  <c r="A71" i="31"/>
  <c r="B71" i="31"/>
  <c r="C71" i="31"/>
  <c r="E71" i="31"/>
  <c r="G71" i="31"/>
  <c r="A72" i="31"/>
  <c r="B72" i="31"/>
  <c r="C72" i="31"/>
  <c r="D72" i="31"/>
  <c r="E72" i="31"/>
  <c r="F72" i="31"/>
  <c r="G72" i="31"/>
  <c r="A73" i="31"/>
  <c r="B73" i="31"/>
  <c r="C73" i="31"/>
  <c r="E73" i="31"/>
  <c r="G73" i="31"/>
  <c r="B8" i="21"/>
  <c r="B6" i="71" s="1"/>
  <c r="D9" i="21"/>
  <c r="F9" i="21"/>
  <c r="D10" i="21"/>
  <c r="F10" i="21"/>
  <c r="B8" i="27"/>
  <c r="B6" i="69" s="1"/>
  <c r="D9" i="27"/>
  <c r="F9" i="27"/>
  <c r="D10" i="27"/>
  <c r="F10" i="27"/>
  <c r="A49" i="27"/>
  <c r="B49" i="27"/>
  <c r="C49" i="27"/>
  <c r="D49" i="27"/>
  <c r="E49" i="27"/>
  <c r="G49" i="27"/>
  <c r="A50" i="27"/>
  <c r="B50" i="27"/>
  <c r="C50" i="27"/>
  <c r="E50" i="27"/>
  <c r="F50" i="27"/>
  <c r="G50" i="27"/>
  <c r="A51" i="27"/>
  <c r="B51" i="27"/>
  <c r="C51" i="27"/>
  <c r="E51" i="27"/>
  <c r="G51" i="27"/>
  <c r="A52" i="27"/>
  <c r="B52" i="27"/>
  <c r="C52" i="27"/>
  <c r="E52" i="27"/>
  <c r="G52" i="27"/>
  <c r="A53" i="27"/>
  <c r="B53" i="27"/>
  <c r="C53" i="27"/>
  <c r="E53" i="27"/>
  <c r="G53" i="27"/>
  <c r="A54" i="27"/>
  <c r="B54" i="27"/>
  <c r="C54" i="27"/>
  <c r="E54" i="27"/>
  <c r="G54" i="27"/>
  <c r="A55" i="27"/>
  <c r="B55" i="27"/>
  <c r="C55" i="27"/>
  <c r="E55" i="27"/>
  <c r="G55" i="27"/>
  <c r="A56" i="27"/>
  <c r="B56" i="27"/>
  <c r="C56" i="27"/>
  <c r="D56" i="27"/>
  <c r="E56" i="27"/>
  <c r="F56" i="27"/>
  <c r="G56" i="27"/>
  <c r="A57" i="27"/>
  <c r="B57" i="27"/>
  <c r="C57" i="27"/>
  <c r="E57" i="27"/>
  <c r="G57" i="27"/>
  <c r="A58" i="27"/>
  <c r="B58" i="27"/>
  <c r="C58" i="27"/>
  <c r="D58" i="27"/>
  <c r="E58" i="27"/>
  <c r="G58" i="27"/>
  <c r="A59" i="27"/>
  <c r="B59" i="27"/>
  <c r="C59" i="27"/>
  <c r="E59" i="27"/>
  <c r="G59" i="27"/>
  <c r="A60" i="27"/>
  <c r="B60" i="27"/>
  <c r="C60" i="27"/>
  <c r="E60" i="27"/>
  <c r="G60" i="27"/>
  <c r="A61" i="27"/>
  <c r="B61" i="27"/>
  <c r="C61" i="27"/>
  <c r="E61" i="27"/>
  <c r="G61" i="27"/>
  <c r="A62" i="27"/>
  <c r="B62" i="27"/>
  <c r="C62" i="27"/>
  <c r="D62" i="27"/>
  <c r="E62" i="27"/>
  <c r="G62" i="27"/>
  <c r="A63" i="27"/>
  <c r="B63" i="27"/>
  <c r="C63" i="27"/>
  <c r="E63" i="27"/>
  <c r="F63" i="27"/>
  <c r="G63" i="27"/>
  <c r="A64" i="27"/>
  <c r="B64" i="27"/>
  <c r="C64" i="27"/>
  <c r="E64" i="27"/>
  <c r="G64" i="27"/>
  <c r="A65" i="27"/>
  <c r="B65" i="27"/>
  <c r="C65" i="27"/>
  <c r="D65" i="27"/>
  <c r="E65" i="27"/>
  <c r="F65" i="27"/>
  <c r="G65" i="27"/>
  <c r="A66" i="27"/>
  <c r="B66" i="27"/>
  <c r="C66" i="27"/>
  <c r="E66" i="27"/>
  <c r="F66" i="27"/>
  <c r="G66" i="27"/>
  <c r="A67" i="27"/>
  <c r="B67" i="27"/>
  <c r="C67" i="27"/>
  <c r="E67" i="27"/>
  <c r="G67" i="27"/>
  <c r="A68" i="27"/>
  <c r="B68" i="27"/>
  <c r="C68" i="27"/>
  <c r="D68" i="27"/>
  <c r="E68" i="27"/>
  <c r="G68" i="27"/>
  <c r="A69" i="27"/>
  <c r="B69" i="27"/>
  <c r="C69" i="27"/>
  <c r="E69" i="27"/>
  <c r="G69" i="27"/>
  <c r="A70" i="27"/>
  <c r="B70" i="27"/>
  <c r="C70" i="27"/>
  <c r="E70" i="27"/>
  <c r="G70" i="27"/>
  <c r="A71" i="27"/>
  <c r="B71" i="27"/>
  <c r="C71" i="27"/>
  <c r="E71" i="27"/>
  <c r="G71" i="27"/>
  <c r="A72" i="27"/>
  <c r="B72" i="27"/>
  <c r="C72" i="27"/>
  <c r="E72" i="27"/>
  <c r="G72" i="27"/>
  <c r="A73" i="27"/>
  <c r="B73" i="27"/>
  <c r="C73" i="27"/>
  <c r="E73" i="27"/>
  <c r="G73" i="27"/>
  <c r="B6" i="75" l="1"/>
  <c r="B6" i="85"/>
  <c r="A4" i="75"/>
  <c r="A4" i="85"/>
  <c r="B6" i="74"/>
  <c r="B6" i="84"/>
  <c r="A4" i="74"/>
  <c r="A4" i="84"/>
  <c r="A4" i="72"/>
  <c r="A4" i="82"/>
  <c r="A4" i="71"/>
  <c r="A4" i="81"/>
  <c r="A4" i="69"/>
  <c r="A4" i="79"/>
  <c r="D8" i="27"/>
  <c r="D6" i="69" s="1"/>
</calcChain>
</file>

<file path=xl/sharedStrings.xml><?xml version="1.0" encoding="utf-8"?>
<sst xmlns="http://schemas.openxmlformats.org/spreadsheetml/2006/main" count="5583" uniqueCount="1529">
  <si>
    <t>会員番号</t>
  </si>
  <si>
    <t>大会登録No.</t>
  </si>
  <si>
    <t>開催日：</t>
  </si>
  <si>
    <t>主任審判員署名：</t>
  </si>
  <si>
    <t>大会名：</t>
  </si>
  <si>
    <t>公式発表時刻：</t>
  </si>
  <si>
    <t>第</t>
  </si>
  <si>
    <t>競技</t>
  </si>
  <si>
    <t>競技名：</t>
  </si>
  <si>
    <t>グレード：</t>
  </si>
  <si>
    <t>分速：</t>
  </si>
  <si>
    <t>認定競技No.</t>
  </si>
  <si>
    <t>カテゴリー：</t>
  </si>
  <si>
    <t>適用規程：</t>
  </si>
  <si>
    <t>基準</t>
  </si>
  <si>
    <t>全長</t>
  </si>
  <si>
    <t>規定タイム</t>
  </si>
  <si>
    <t>制限
タイム</t>
  </si>
  <si>
    <t>決勝競技の場合
予選種目の認定
競技No.</t>
  </si>
  <si>
    <t>競技場タイプ：</t>
  </si>
  <si>
    <t>アウトドア</t>
  </si>
  <si>
    <t>ジャンプオフ：</t>
  </si>
  <si>
    <t>　全長</t>
  </si>
  <si>
    <t>ジャンプオフ</t>
  </si>
  <si>
    <t>順位</t>
  </si>
  <si>
    <t>出番</t>
  </si>
  <si>
    <t>選手名</t>
  </si>
  <si>
    <t>馬匹名</t>
  </si>
  <si>
    <t>登録番号</t>
  </si>
  <si>
    <t>所　　　属</t>
  </si>
  <si>
    <t>走行
タイム</t>
  </si>
  <si>
    <t>加算秒</t>
  </si>
  <si>
    <t>所要
タイム</t>
  </si>
  <si>
    <t>タイム
減点</t>
  </si>
  <si>
    <t>障害
減点</t>
  </si>
  <si>
    <t>総減点</t>
  </si>
  <si>
    <t>障害減点／
落下加算秒</t>
  </si>
  <si>
    <t>総減点／
総タイム</t>
  </si>
  <si>
    <t>備考</t>
  </si>
  <si>
    <t>-</t>
    <phoneticPr fontId="6" type="Hiragana"/>
  </si>
  <si>
    <t>UpLoad|UnProtect</t>
    <phoneticPr fontId="11"/>
  </si>
  <si>
    <t>第</t>
    <rPh sb="0" eb="1">
      <t>ダイ</t>
    </rPh>
    <phoneticPr fontId="6"/>
  </si>
  <si>
    <t>競技　　　　　競技名：</t>
    <rPh sb="0" eb="2">
      <t>キョウギ</t>
    </rPh>
    <phoneticPr fontId="6"/>
  </si>
  <si>
    <t>決勝競技の場合
予選種目の認定競技No.</t>
    <phoneticPr fontId="6"/>
  </si>
  <si>
    <t>競技場：第１競技場</t>
    <rPh sb="0" eb="3">
      <t>キョウギジョウ</t>
    </rPh>
    <rPh sb="4" eb="5">
      <t>ダイ</t>
    </rPh>
    <rPh sb="6" eb="9">
      <t>キョウギジョウ</t>
    </rPh>
    <phoneticPr fontId="6"/>
  </si>
  <si>
    <t>OP</t>
    <phoneticPr fontId="11"/>
  </si>
  <si>
    <t>出番</t>
    <rPh sb="0" eb="2">
      <t>デバン</t>
    </rPh>
    <phoneticPr fontId="11"/>
  </si>
  <si>
    <t>選　　　手</t>
    <rPh sb="0" eb="1">
      <t>セン</t>
    </rPh>
    <rPh sb="4" eb="5">
      <t>テ</t>
    </rPh>
    <phoneticPr fontId="11"/>
  </si>
  <si>
    <t>馬　　　匹</t>
    <rPh sb="0" eb="1">
      <t>バ</t>
    </rPh>
    <rPh sb="4" eb="5">
      <t>ヒキ</t>
    </rPh>
    <phoneticPr fontId="11"/>
  </si>
  <si>
    <t>所　　　属</t>
    <phoneticPr fontId="11"/>
  </si>
  <si>
    <t>選手</t>
    <rPh sb="0" eb="2">
      <t>センシュ</t>
    </rPh>
    <phoneticPr fontId="11"/>
  </si>
  <si>
    <t>馬匹</t>
    <rPh sb="0" eb="2">
      <t>バヒツ</t>
    </rPh>
    <phoneticPr fontId="11"/>
  </si>
  <si>
    <t>氏名</t>
    <rPh sb="0" eb="1">
      <t>シ</t>
    </rPh>
    <rPh sb="1" eb="2">
      <t>メイ</t>
    </rPh>
    <phoneticPr fontId="11"/>
  </si>
  <si>
    <t>会員番号</t>
    <phoneticPr fontId="11"/>
  </si>
  <si>
    <t>馬匹名</t>
    <phoneticPr fontId="11"/>
  </si>
  <si>
    <t>登録番号</t>
    <rPh sb="0" eb="2">
      <t>トウロク</t>
    </rPh>
    <phoneticPr fontId="11"/>
  </si>
  <si>
    <t>資格</t>
    <rPh sb="0" eb="2">
      <t>シカク</t>
    </rPh>
    <phoneticPr fontId="11"/>
  </si>
  <si>
    <t>グレード</t>
    <phoneticPr fontId="11"/>
  </si>
  <si>
    <t>-</t>
    <phoneticPr fontId="6"/>
  </si>
  <si>
    <t>ウェポンオブチョイス</t>
  </si>
  <si>
    <t>サムライブルー</t>
  </si>
  <si>
    <t>セルシオーレ</t>
  </si>
  <si>
    <t>ミスファルコン</t>
  </si>
  <si>
    <t>コウエイスマイル</t>
  </si>
  <si>
    <t>アーサーキング</t>
  </si>
  <si>
    <t>鈴木　飛鳥</t>
    <rPh sb="0" eb="5">
      <t>すずき　あすか</t>
    </rPh>
    <phoneticPr fontId="6" type="Hiragana"/>
  </si>
  <si>
    <t>リバーサイド乗馬クラブ</t>
    <rPh sb="6" eb="8">
      <t>じょうば</t>
    </rPh>
    <phoneticPr fontId="6" type="Hiragana"/>
  </si>
  <si>
    <t>オスカー</t>
  </si>
  <si>
    <t>シュシュ</t>
  </si>
  <si>
    <t>クラウディウス</t>
  </si>
  <si>
    <t>ハーベスト</t>
  </si>
  <si>
    <t>シュペール</t>
  </si>
  <si>
    <t>北勢ライディングファーム</t>
    <rPh sb="0" eb="2">
      <t>ほくせい</t>
    </rPh>
    <phoneticPr fontId="6" type="Hiragana"/>
  </si>
  <si>
    <t>中村　勇</t>
    <rPh sb="0" eb="4">
      <t>なかむら　いさむ</t>
    </rPh>
    <phoneticPr fontId="6" type="Hiragana"/>
  </si>
  <si>
    <t>中村　洋子</t>
    <rPh sb="0" eb="5">
      <t>なかむら　ようこ</t>
    </rPh>
    <phoneticPr fontId="6" type="Hiragana"/>
  </si>
  <si>
    <t>キング　オブ　パイレーツ</t>
  </si>
  <si>
    <t>Ms・シャーロット</t>
  </si>
  <si>
    <t>ファナウステーブル</t>
    <phoneticPr fontId="6" type="Hiragana"/>
  </si>
  <si>
    <t>ジョープロテクター</t>
  </si>
  <si>
    <t>リオン</t>
  </si>
  <si>
    <t>ミスロビン</t>
  </si>
  <si>
    <t>西塚　建二</t>
    <rPh sb="0" eb="5">
      <t>にしづか　けんじ</t>
    </rPh>
    <phoneticPr fontId="6" type="Hiragana"/>
  </si>
  <si>
    <t>田代　彩華</t>
    <rPh sb="0" eb="5">
      <t>たしろ　あやか</t>
    </rPh>
    <phoneticPr fontId="6" type="Hiragana"/>
  </si>
  <si>
    <t>西塚　丈二</t>
    <rPh sb="0" eb="5">
      <t>にしづか　じょうじ</t>
    </rPh>
    <phoneticPr fontId="6" type="Hiragana"/>
  </si>
  <si>
    <t>西塚　洸二</t>
    <rPh sb="0" eb="5">
      <t>にしづか　こうじ</t>
    </rPh>
    <phoneticPr fontId="6" type="Hiragana"/>
  </si>
  <si>
    <t>高橋　信代</t>
    <rPh sb="0" eb="5">
      <t>たかはし　のぶよ</t>
    </rPh>
    <phoneticPr fontId="6" type="Hiragana"/>
  </si>
  <si>
    <t>ホースファームエルミオーレ三河高原</t>
    <rPh sb="13" eb="15">
      <t>みかわ</t>
    </rPh>
    <rPh sb="15" eb="17">
      <t>こうげん</t>
    </rPh>
    <phoneticPr fontId="6" type="Hiragana"/>
  </si>
  <si>
    <t>布川　緑</t>
    <rPh sb="0" eb="4">
      <t>ぬのかわ　みどり</t>
    </rPh>
    <phoneticPr fontId="6" type="Hiragana"/>
  </si>
  <si>
    <t>上田　和昇</t>
    <rPh sb="0" eb="5">
      <t>うえだ　かずのり</t>
    </rPh>
    <phoneticPr fontId="6" type="Hiragana"/>
  </si>
  <si>
    <t>紙本　萌々</t>
    <rPh sb="0" eb="5">
      <t>かみもと　もも</t>
    </rPh>
    <phoneticPr fontId="6" type="Hiragana"/>
  </si>
  <si>
    <t>石川　隼</t>
    <rPh sb="0" eb="4">
      <t>いしかわ　はやと</t>
    </rPh>
    <phoneticPr fontId="6" type="Hiragana"/>
  </si>
  <si>
    <t>吉川　正人</t>
    <rPh sb="0" eb="5">
      <t>よしかわ　まさと</t>
    </rPh>
    <phoneticPr fontId="6" type="Hiragana"/>
  </si>
  <si>
    <t>ホースファームエルミオーレ豊田</t>
    <rPh sb="13" eb="15">
      <t>とよた</t>
    </rPh>
    <phoneticPr fontId="6" type="Hiragana"/>
  </si>
  <si>
    <t>清水　茜</t>
    <rPh sb="0" eb="4">
      <t>しみず　あかね</t>
    </rPh>
    <phoneticPr fontId="6" type="Hiragana"/>
  </si>
  <si>
    <t>上田　和昇</t>
    <rPh sb="0" eb="5">
      <t>うえた　かずのり</t>
    </rPh>
    <phoneticPr fontId="6" type="Hiragana"/>
  </si>
  <si>
    <t>岡田　華穂</t>
    <rPh sb="0" eb="5">
      <t>おかだ　かほ</t>
    </rPh>
    <phoneticPr fontId="6" type="Hiragana"/>
  </si>
  <si>
    <t>落合　希美</t>
    <rPh sb="0" eb="2">
      <t>おちあい</t>
    </rPh>
    <rPh sb="3" eb="4">
      <t>のぞ</t>
    </rPh>
    <rPh sb="4" eb="5">
      <t>み</t>
    </rPh>
    <phoneticPr fontId="6" type="Hiragana"/>
  </si>
  <si>
    <t>小林　けい子</t>
    <rPh sb="0" eb="2">
      <t>こばやし</t>
    </rPh>
    <rPh sb="5" eb="6">
      <t>こ</t>
    </rPh>
    <phoneticPr fontId="6" type="Hiragana"/>
  </si>
  <si>
    <t>佐藤　賢希</t>
    <rPh sb="0" eb="5">
      <t>さとう　けんき</t>
    </rPh>
    <phoneticPr fontId="6" type="Hiragana"/>
  </si>
  <si>
    <t>明松寺馬事公苑</t>
    <rPh sb="0" eb="1">
      <t>みょう</t>
    </rPh>
    <rPh sb="1" eb="2">
      <t>しょう</t>
    </rPh>
    <rPh sb="2" eb="3">
      <t>じ</t>
    </rPh>
    <rPh sb="3" eb="5">
      <t>ばじ</t>
    </rPh>
    <rPh sb="5" eb="7">
      <t>こうえん</t>
    </rPh>
    <phoneticPr fontId="6" type="Hiragana"/>
  </si>
  <si>
    <t>佐藤　泰</t>
    <rPh sb="0" eb="4">
      <t>さとう　たえ</t>
    </rPh>
    <phoneticPr fontId="6" type="Hiragana"/>
  </si>
  <si>
    <t>佐々　紫苑</t>
    <rPh sb="0" eb="5">
      <t>さっさ　しおん</t>
    </rPh>
    <phoneticPr fontId="6" type="Hiragana"/>
  </si>
  <si>
    <t>内田　雄三</t>
    <rPh sb="0" eb="5">
      <t>うちだ　ゆうぞう</t>
    </rPh>
    <phoneticPr fontId="6" type="Hiragana"/>
  </si>
  <si>
    <t>VAQOO STABLE</t>
    <rPh sb="0" eb="12">
      <t>ばくー　すてーぶる</t>
    </rPh>
    <phoneticPr fontId="6" type="Hiragana"/>
  </si>
  <si>
    <t>伊東　佳菜子</t>
    <rPh sb="0" eb="6">
      <t>いとう　かなこ</t>
    </rPh>
    <phoneticPr fontId="6" type="Hiragana"/>
  </si>
  <si>
    <t>林　忠義</t>
    <rPh sb="0" eb="4">
      <t>はやし　ただよし</t>
    </rPh>
    <phoneticPr fontId="6" type="Hiragana"/>
  </si>
  <si>
    <t>北総乗馬クラブ</t>
    <rPh sb="0" eb="2">
      <t>ほくそう</t>
    </rPh>
    <rPh sb="2" eb="4">
      <t>じょうば</t>
    </rPh>
    <phoneticPr fontId="6" type="Hiragana"/>
  </si>
  <si>
    <t>平沢　康治</t>
    <rPh sb="0" eb="5">
      <t>ひらさわ　こうじ</t>
    </rPh>
    <phoneticPr fontId="6" type="Hiragana"/>
  </si>
  <si>
    <t>田中　宗樹</t>
    <rPh sb="0" eb="5">
      <t>たなか　むねき</t>
    </rPh>
    <phoneticPr fontId="6" type="Hiragana"/>
  </si>
  <si>
    <t>林　義昌</t>
    <rPh sb="0" eb="4">
      <t>はやし　よしまさ</t>
    </rPh>
    <phoneticPr fontId="6" type="Hiragana"/>
  </si>
  <si>
    <t>池田　耀子</t>
    <rPh sb="0" eb="5">
      <t>いけだ　ようこ</t>
    </rPh>
    <phoneticPr fontId="6" type="Hiragana"/>
  </si>
  <si>
    <t>田中　加代子</t>
    <rPh sb="0" eb="6">
      <t>たなか　かよこ</t>
    </rPh>
    <phoneticPr fontId="6" type="Hiragana"/>
  </si>
  <si>
    <t>大久保　渓</t>
    <rPh sb="0" eb="5">
      <t>おおくぼ　けい</t>
    </rPh>
    <phoneticPr fontId="6" type="Hiragana"/>
  </si>
  <si>
    <t>目黒　憲史</t>
    <rPh sb="0" eb="5">
      <t>めぐろ　のりふみ</t>
    </rPh>
    <phoneticPr fontId="6" type="Hiragana"/>
  </si>
  <si>
    <t>小牧　加矢太</t>
    <rPh sb="0" eb="6">
      <t>こまき　かやた</t>
    </rPh>
    <phoneticPr fontId="6" type="Hiragana"/>
  </si>
  <si>
    <t>加藤　諒大</t>
    <rPh sb="0" eb="5">
      <t>かとう　りょうた</t>
    </rPh>
    <phoneticPr fontId="6" type="Hiragana"/>
  </si>
  <si>
    <t>中島　康宏</t>
    <rPh sb="0" eb="5">
      <t>なかじま　やすひろ</t>
    </rPh>
    <phoneticPr fontId="6" type="Hiragana"/>
  </si>
  <si>
    <t>パロミノ・ポニークラブ</t>
    <phoneticPr fontId="6" type="Hiragana"/>
  </si>
  <si>
    <t>景山　朋昌</t>
    <rPh sb="0" eb="5">
      <t>かげやま　ともあき</t>
    </rPh>
    <phoneticPr fontId="6" type="Hiragana"/>
  </si>
  <si>
    <t>小楠　和奈</t>
    <rPh sb="0" eb="5">
      <t>おぐす　なな</t>
    </rPh>
    <phoneticPr fontId="6" type="Hiragana"/>
  </si>
  <si>
    <t>増田　聖真</t>
    <rPh sb="0" eb="2">
      <t>ますだ</t>
    </rPh>
    <rPh sb="3" eb="4">
      <t>しょう</t>
    </rPh>
    <rPh sb="4" eb="5">
      <t>ま</t>
    </rPh>
    <phoneticPr fontId="6" type="Hiragana"/>
  </si>
  <si>
    <t>山田　幹</t>
    <rPh sb="0" eb="2">
      <t>やまだ</t>
    </rPh>
    <rPh sb="3" eb="4">
      <t>もとき</t>
    </rPh>
    <phoneticPr fontId="6" type="Hiragana"/>
  </si>
  <si>
    <t>緋田　碧</t>
    <rPh sb="0" eb="4">
      <t>あけた　みどり</t>
    </rPh>
    <phoneticPr fontId="6" type="Hiragana"/>
  </si>
  <si>
    <t>タケナカファーム</t>
    <phoneticPr fontId="6" type="Hiragana"/>
  </si>
  <si>
    <t>秋葉　友勝</t>
    <rPh sb="0" eb="5">
      <t>あきば　ともかつ</t>
    </rPh>
    <phoneticPr fontId="6" type="Hiragana"/>
  </si>
  <si>
    <t>湯の町乗馬クラブ</t>
    <rPh sb="0" eb="1">
      <t>ゆ</t>
    </rPh>
    <rPh sb="2" eb="3">
      <t>まち</t>
    </rPh>
    <rPh sb="3" eb="5">
      <t>じょうば</t>
    </rPh>
    <phoneticPr fontId="6" type="Hiragana"/>
  </si>
  <si>
    <t>二位関　尭</t>
    <rPh sb="0" eb="5">
      <t>にいぜき　ゆたか</t>
    </rPh>
    <phoneticPr fontId="6" type="Hiragana"/>
  </si>
  <si>
    <t>渡邉　瀬奈</t>
    <rPh sb="0" eb="5">
      <t>わたなべ　せな</t>
    </rPh>
    <phoneticPr fontId="6" type="Hiragana"/>
  </si>
  <si>
    <t>秋葉　大地</t>
    <rPh sb="0" eb="5">
      <t>あきば　だいち</t>
    </rPh>
    <phoneticPr fontId="6" type="Hiragana"/>
  </si>
  <si>
    <t>安井　博一</t>
    <rPh sb="0" eb="5">
      <t>やすい　ひろかず</t>
    </rPh>
    <phoneticPr fontId="6" type="Hiragana"/>
  </si>
  <si>
    <t>HF Brand New Day</t>
    <rPh sb="0" eb="16">
      <t>ほーすふぁーむ　ぶらんにゅーでい</t>
    </rPh>
    <phoneticPr fontId="6" type="Hiragana"/>
  </si>
  <si>
    <t>服部　ちえ</t>
    <rPh sb="0" eb="5">
      <t>はっとり　ちえ</t>
    </rPh>
    <phoneticPr fontId="6" type="Hiragana"/>
  </si>
  <si>
    <t>ドレッサージュ・ステーブル・テルイ</t>
    <phoneticPr fontId="6" type="Hiragana"/>
  </si>
  <si>
    <t>江黒　徹</t>
    <rPh sb="0" eb="4">
      <t>えぐろ　とおる</t>
    </rPh>
    <phoneticPr fontId="6" type="Hiragana"/>
  </si>
  <si>
    <t>井澤　壮志</t>
    <rPh sb="0" eb="5">
      <t>いざわ　たけし</t>
    </rPh>
    <phoneticPr fontId="6" type="Hiragana"/>
  </si>
  <si>
    <t>ニューオリンピッククラブ宝馬乗馬学校</t>
    <rPh sb="12" eb="14">
      <t>ほうま</t>
    </rPh>
    <rPh sb="14" eb="16">
      <t>じょうば</t>
    </rPh>
    <rPh sb="16" eb="18">
      <t>がっこう</t>
    </rPh>
    <phoneticPr fontId="6" type="Hiragana"/>
  </si>
  <si>
    <t>佐藤　未侑</t>
    <rPh sb="0" eb="5">
      <t>さとう　みゆう</t>
    </rPh>
    <phoneticPr fontId="6" type="Hiragana"/>
  </si>
  <si>
    <t>田邊　峻己</t>
    <rPh sb="0" eb="5">
      <t>たなべ　しゅんき</t>
    </rPh>
    <phoneticPr fontId="6" type="Hiragana"/>
  </si>
  <si>
    <t>菅野　仁</t>
    <rPh sb="0" eb="4">
      <t>かんの　じん</t>
    </rPh>
    <phoneticPr fontId="6" type="Hiragana"/>
  </si>
  <si>
    <t>ホライゾンエクイン</t>
    <phoneticPr fontId="6" type="Hiragana"/>
  </si>
  <si>
    <t>須田　翼</t>
    <rPh sb="0" eb="4">
      <t>すだ　つばさ</t>
    </rPh>
    <phoneticPr fontId="6" type="Hiragana"/>
  </si>
  <si>
    <t>ヨシザワライディングファーム</t>
    <phoneticPr fontId="6" type="Hiragana"/>
  </si>
  <si>
    <t>直江　智子</t>
    <rPh sb="0" eb="5">
      <t>なおえ　ともこ</t>
    </rPh>
    <phoneticPr fontId="6" type="Hiragana"/>
  </si>
  <si>
    <t>吉澤　駿</t>
    <rPh sb="0" eb="4">
      <t>よしざわ　しゅん</t>
    </rPh>
    <phoneticPr fontId="6" type="Hiragana"/>
  </si>
  <si>
    <t>鹿戸　雄翔</t>
    <rPh sb="0" eb="5">
      <t>しかと　ゆうしょう</t>
    </rPh>
    <phoneticPr fontId="6" type="Hiragana"/>
  </si>
  <si>
    <t>野澤　友梨有</t>
    <rPh sb="0" eb="6">
      <t>のざわ　ゆりあ</t>
    </rPh>
    <phoneticPr fontId="6" type="Hiragana"/>
  </si>
  <si>
    <t>山田　翔大</t>
    <rPh sb="0" eb="2">
      <t>やまだ</t>
    </rPh>
    <rPh sb="3" eb="4">
      <t>しょう</t>
    </rPh>
    <rPh sb="4" eb="5">
      <t>た</t>
    </rPh>
    <phoneticPr fontId="6" type="Hiragana"/>
  </si>
  <si>
    <t>平林　小秋</t>
    <rPh sb="0" eb="5">
      <t>ひらばやし　ちあき</t>
    </rPh>
    <phoneticPr fontId="6" type="Hiragana"/>
  </si>
  <si>
    <t>STABLE HORSE POWER</t>
    <rPh sb="0" eb="18">
      <t>すてーぶる　ほーす　ぱわー</t>
    </rPh>
    <phoneticPr fontId="6" type="Hiragana"/>
  </si>
  <si>
    <t>松岡　瑶子</t>
    <rPh sb="0" eb="5">
      <t>まつおか　ようこ</t>
    </rPh>
    <phoneticPr fontId="6" type="Hiragana"/>
  </si>
  <si>
    <t>山口　千明</t>
    <rPh sb="0" eb="5">
      <t>やまぐち　ちあき</t>
    </rPh>
    <phoneticPr fontId="6" type="Hiragana"/>
  </si>
  <si>
    <t>根岸　菜都子</t>
    <rPh sb="0" eb="6">
      <t>ねぎし　なつこ</t>
    </rPh>
    <phoneticPr fontId="6" type="Hiragana"/>
  </si>
  <si>
    <t>吉野　真奈</t>
    <rPh sb="0" eb="5">
      <t>よしの　まな</t>
    </rPh>
    <phoneticPr fontId="6" type="Hiragana"/>
  </si>
  <si>
    <t>山田　なつみ</t>
    <rPh sb="0" eb="6">
      <t>やまだ　なつみ</t>
    </rPh>
    <phoneticPr fontId="6" type="Hiragana"/>
  </si>
  <si>
    <t>吉野　里奈子</t>
    <rPh sb="0" eb="2">
      <t>よしの</t>
    </rPh>
    <rPh sb="3" eb="4">
      <t>り</t>
    </rPh>
    <rPh sb="4" eb="5">
      <t>な</t>
    </rPh>
    <rPh sb="5" eb="6">
      <t>こ</t>
    </rPh>
    <phoneticPr fontId="6" type="Hiragana"/>
  </si>
  <si>
    <t>鈴木　嘉憲</t>
    <rPh sb="0" eb="5">
      <t>すずき　よしのり</t>
    </rPh>
    <phoneticPr fontId="6" type="Hiragana"/>
  </si>
  <si>
    <t>ベルステーブル</t>
    <phoneticPr fontId="6" type="Hiragana"/>
  </si>
  <si>
    <t>松永　佳子</t>
    <rPh sb="0" eb="5">
      <t>まつなが　よしこ</t>
    </rPh>
    <phoneticPr fontId="6" type="Hiragana"/>
  </si>
  <si>
    <t>山下　大輝</t>
    <rPh sb="0" eb="5">
      <t>やました　だいき</t>
    </rPh>
    <phoneticPr fontId="6" type="Hiragana"/>
  </si>
  <si>
    <t>吉村　英喜</t>
    <rPh sb="0" eb="5">
      <t>よしむら　ひでき</t>
    </rPh>
    <phoneticPr fontId="6" type="Hiragana"/>
  </si>
  <si>
    <t>福井県馬術連盟</t>
    <rPh sb="0" eb="2">
      <t>ふくい</t>
    </rPh>
    <rPh sb="2" eb="3">
      <t>けん</t>
    </rPh>
    <rPh sb="3" eb="5">
      <t>ばじゅつ</t>
    </rPh>
    <rPh sb="5" eb="7">
      <t>れんめい</t>
    </rPh>
    <phoneticPr fontId="6" type="Hiragana"/>
  </si>
  <si>
    <t>政兼　実佳</t>
    <rPh sb="0" eb="5">
      <t>まさかね　みか</t>
    </rPh>
    <phoneticPr fontId="6" type="Hiragana"/>
  </si>
  <si>
    <t>政兼　隆</t>
    <rPh sb="0" eb="4">
      <t>まさかね　たかし</t>
    </rPh>
    <phoneticPr fontId="6" type="Hiragana"/>
  </si>
  <si>
    <t>中込　樹</t>
    <rPh sb="0" eb="4">
      <t>なかごみ　みき</t>
    </rPh>
    <phoneticPr fontId="6" type="Hiragana"/>
  </si>
  <si>
    <t>西新居　愛乃</t>
    <rPh sb="0" eb="6">
      <t>にしあらい　ちかの</t>
    </rPh>
    <phoneticPr fontId="6" type="Hiragana"/>
  </si>
  <si>
    <t>上田　瑠威</t>
    <rPh sb="0" eb="5">
      <t>うえだ　るい</t>
    </rPh>
    <phoneticPr fontId="6" type="Hiragana"/>
  </si>
  <si>
    <t>大野　暢子</t>
    <rPh sb="0" eb="5">
      <t>おおの　のぶこ</t>
    </rPh>
    <phoneticPr fontId="6" type="Hiragana"/>
  </si>
  <si>
    <t>福井工業大学</t>
    <rPh sb="0" eb="2">
      <t>ふくい</t>
    </rPh>
    <rPh sb="2" eb="4">
      <t>こうぎょう</t>
    </rPh>
    <rPh sb="4" eb="6">
      <t>だいがく</t>
    </rPh>
    <phoneticPr fontId="6" type="Hiragana"/>
  </si>
  <si>
    <t>高橋　駿</t>
    <rPh sb="0" eb="4">
      <t>たかはし　しゅん</t>
    </rPh>
    <phoneticPr fontId="6" type="Hiragana"/>
  </si>
  <si>
    <t>中村　信清</t>
    <rPh sb="0" eb="5">
      <t>なかむら　のぶきよ</t>
    </rPh>
    <phoneticPr fontId="6" type="Hiragana"/>
  </si>
  <si>
    <t>広田　龍馬</t>
    <rPh sb="0" eb="5">
      <t>ひろた　りゅうま</t>
    </rPh>
    <phoneticPr fontId="6" type="Hiragana"/>
  </si>
  <si>
    <t>那須トレーニングファーム</t>
    <rPh sb="0" eb="2">
      <t>なす</t>
    </rPh>
    <phoneticPr fontId="6" type="Hiragana"/>
  </si>
  <si>
    <t>広田　思乃</t>
    <rPh sb="0" eb="5">
      <t>ひろた　しの</t>
    </rPh>
    <phoneticPr fontId="6" type="Hiragana"/>
  </si>
  <si>
    <t>本津　浩美</t>
    <rPh sb="0" eb="5">
      <t>ほんづ　ひろみ</t>
    </rPh>
    <phoneticPr fontId="6" type="Hiragana"/>
  </si>
  <si>
    <t>神津　深芳</t>
    <rPh sb="0" eb="5">
      <t>こうづ　みよし</t>
    </rPh>
    <phoneticPr fontId="6" type="Hiragana"/>
  </si>
  <si>
    <t>長谷川　晶子</t>
    <rPh sb="0" eb="6">
      <t>はせがわ　きららこ</t>
    </rPh>
    <phoneticPr fontId="6" type="Hiragana"/>
  </si>
  <si>
    <t>長谷川　晶大</t>
    <rPh sb="0" eb="6">
      <t>はせがわ　しょうた</t>
    </rPh>
    <phoneticPr fontId="6" type="Hiragana"/>
  </si>
  <si>
    <t>広田　大和</t>
    <rPh sb="0" eb="5">
      <t>ひろた　やまと</t>
    </rPh>
    <phoneticPr fontId="6" type="Hiragana"/>
  </si>
  <si>
    <t>廣瀬　孝</t>
    <rPh sb="0" eb="4">
      <t>ひろせ　たかし</t>
    </rPh>
    <phoneticPr fontId="6" type="Hiragana"/>
  </si>
  <si>
    <t>ホースパークギャラクシー</t>
    <phoneticPr fontId="6" type="Hiragana"/>
  </si>
  <si>
    <t>廣瀬　悠梨子</t>
    <rPh sb="0" eb="6">
      <t>ひろせ　ゆりこ</t>
    </rPh>
    <phoneticPr fontId="6" type="Hiragana"/>
  </si>
  <si>
    <t>宮嶋　大和</t>
    <rPh sb="0" eb="2">
      <t>みやじま</t>
    </rPh>
    <rPh sb="3" eb="5">
      <t>やまと</t>
    </rPh>
    <phoneticPr fontId="6" type="Hiragana"/>
  </si>
  <si>
    <t>細野　茂之</t>
    <rPh sb="0" eb="5">
      <t>ほその　しげゆき</t>
    </rPh>
    <phoneticPr fontId="6" type="Hiragana"/>
  </si>
  <si>
    <t>八王子乗馬倶楽部</t>
    <rPh sb="0" eb="3">
      <t>はちおうじ</t>
    </rPh>
    <rPh sb="3" eb="5">
      <t>じょうば</t>
    </rPh>
    <rPh sb="5" eb="8">
      <t>くらぶ</t>
    </rPh>
    <phoneticPr fontId="6" type="Hiragana"/>
  </si>
  <si>
    <t>斉藤　比佐郎</t>
    <rPh sb="0" eb="6">
      <t>さいとう　ひさお</t>
    </rPh>
    <phoneticPr fontId="6" type="Hiragana"/>
  </si>
  <si>
    <t>篠原　正紀</t>
    <rPh sb="0" eb="5">
      <t>しのはら　まさのり</t>
    </rPh>
    <phoneticPr fontId="6" type="Hiragana"/>
  </si>
  <si>
    <t>下平　和久</t>
    <rPh sb="0" eb="5">
      <t>しもだいら　かずひさ</t>
    </rPh>
    <phoneticPr fontId="6" type="Hiragana"/>
  </si>
  <si>
    <t>梅田　敬仁</t>
    <rPh sb="0" eb="5">
      <t>うめだ　たかひと</t>
    </rPh>
    <phoneticPr fontId="6" type="Hiragana"/>
  </si>
  <si>
    <t>宍戸　由利恵</t>
    <rPh sb="0" eb="6">
      <t>ししど　ゆりえ</t>
    </rPh>
    <phoneticPr fontId="6" type="Hiragana"/>
  </si>
  <si>
    <t>永井　めぐみ</t>
    <rPh sb="0" eb="6">
      <t>ながい　めぐみ</t>
    </rPh>
    <phoneticPr fontId="6" type="Hiragana"/>
  </si>
  <si>
    <t>瀬川　裕哉</t>
    <rPh sb="0" eb="5">
      <t>せがわ　ゆうや</t>
    </rPh>
    <phoneticPr fontId="6" type="Hiragana"/>
  </si>
  <si>
    <t>友江　俊宏</t>
    <rPh sb="0" eb="5">
      <t>ともえ　としひろ</t>
    </rPh>
    <phoneticPr fontId="6" type="Hiragana"/>
  </si>
  <si>
    <t>宇津木　陸</t>
    <rPh sb="0" eb="5">
      <t>うつぎ　りく</t>
    </rPh>
    <phoneticPr fontId="6" type="Hiragana"/>
  </si>
  <si>
    <t>橘田　尚彦</t>
    <rPh sb="0" eb="5">
      <t>きつた　なおひこ</t>
    </rPh>
    <phoneticPr fontId="6" type="Hiragana"/>
  </si>
  <si>
    <t>北條　伸子</t>
    <rPh sb="0" eb="5">
      <t>ほうじょう　のぶこ</t>
    </rPh>
    <phoneticPr fontId="6" type="Hiragana"/>
  </si>
  <si>
    <t>永井　なつみ</t>
    <rPh sb="0" eb="6">
      <t>ながい　なつみ</t>
    </rPh>
    <phoneticPr fontId="6" type="Hiragana"/>
  </si>
  <si>
    <t>山口　純平</t>
    <rPh sb="0" eb="2">
      <t>やまぐち</t>
    </rPh>
    <rPh sb="3" eb="5">
      <t>じゅんぺい</t>
    </rPh>
    <phoneticPr fontId="6" type="Hiragana"/>
  </si>
  <si>
    <t>東京農大厚木キャンパス</t>
    <rPh sb="0" eb="2">
      <t>とうきょう</t>
    </rPh>
    <rPh sb="2" eb="4">
      <t>のうだい</t>
    </rPh>
    <rPh sb="4" eb="6">
      <t>あつぎ</t>
    </rPh>
    <phoneticPr fontId="6" type="Hiragana"/>
  </si>
  <si>
    <t>中山　遥</t>
    <rPh sb="0" eb="2">
      <t>なかやま</t>
    </rPh>
    <rPh sb="3" eb="4">
      <t>はるか</t>
    </rPh>
    <phoneticPr fontId="6" type="Hiragana"/>
  </si>
  <si>
    <t>小菅　将太</t>
    <rPh sb="0" eb="2">
      <t>こすげ</t>
    </rPh>
    <rPh sb="3" eb="5">
      <t>しょうた</t>
    </rPh>
    <phoneticPr fontId="6" type="Hiragana"/>
  </si>
  <si>
    <t>宇賀田　侑吏</t>
    <rPh sb="0" eb="2">
      <t>うが</t>
    </rPh>
    <rPh sb="2" eb="3">
      <t>た</t>
    </rPh>
    <rPh sb="4" eb="5">
      <t>ゆう</t>
    </rPh>
    <rPh sb="5" eb="6">
      <t>り</t>
    </rPh>
    <phoneticPr fontId="6" type="Hiragana"/>
  </si>
  <si>
    <t>矢口　大夢</t>
    <rPh sb="0" eb="2">
      <t>やぐち</t>
    </rPh>
    <rPh sb="3" eb="5">
      <t>ひろむ</t>
    </rPh>
    <phoneticPr fontId="6" type="Hiragana"/>
  </si>
  <si>
    <t>増田　寛子</t>
    <rPh sb="0" eb="2">
      <t>ますだ</t>
    </rPh>
    <rPh sb="3" eb="5">
      <t>ひろこ</t>
    </rPh>
    <phoneticPr fontId="6" type="Hiragana"/>
  </si>
  <si>
    <t>杉崎　一美</t>
    <rPh sb="0" eb="5">
      <t>すぎさき　ひとみ</t>
    </rPh>
    <phoneticPr fontId="6" type="Hiragana"/>
  </si>
  <si>
    <t>小塩　涼子</t>
    <rPh sb="0" eb="5">
      <t>こしお　りょうこ</t>
    </rPh>
    <phoneticPr fontId="6" type="Hiragana"/>
  </si>
  <si>
    <t>ブラックボーイ</t>
  </si>
  <si>
    <t>レッツゴーアテネ</t>
  </si>
  <si>
    <t>バーベリーMV</t>
  </si>
  <si>
    <t>バックス・バローロ</t>
  </si>
  <si>
    <t>MR.ジーコ</t>
  </si>
  <si>
    <t>ヴェルザンディ</t>
  </si>
  <si>
    <t>アルビン</t>
  </si>
  <si>
    <t>ドレスアップ</t>
  </si>
  <si>
    <t>アンタレス</t>
  </si>
  <si>
    <t>ウルシーニL</t>
  </si>
  <si>
    <t>ウイングタイム</t>
  </si>
  <si>
    <t>アンクローズ</t>
  </si>
  <si>
    <t>シエロアスール・マナルカ</t>
  </si>
  <si>
    <t>Sチャップマン</t>
  </si>
  <si>
    <t>瑞龍</t>
  </si>
  <si>
    <t>黒姫</t>
  </si>
  <si>
    <t>峯月</t>
  </si>
  <si>
    <t>ワラビ</t>
  </si>
  <si>
    <t>スターファイターCR</t>
  </si>
  <si>
    <t>ヴァイオレッタ7</t>
  </si>
  <si>
    <t>クイナラ</t>
  </si>
  <si>
    <t>ゴントラン</t>
    <phoneticPr fontId="6" type="Hiragana"/>
  </si>
  <si>
    <t>ホワイトウィナーⅡ</t>
  </si>
  <si>
    <t>テレキシオ</t>
  </si>
  <si>
    <t>ヴォードヴィル</t>
  </si>
  <si>
    <t>ヴェスパS</t>
  </si>
  <si>
    <t>カターニャ</t>
  </si>
  <si>
    <t>ナヴラス</t>
  </si>
  <si>
    <t>ラムーア88</t>
  </si>
  <si>
    <t>ツェレーノ</t>
  </si>
  <si>
    <t>ラッキーバニラ</t>
  </si>
  <si>
    <t>エイブルブラッド</t>
  </si>
  <si>
    <t>ムーンリットレイク</t>
  </si>
  <si>
    <t>クラシック</t>
  </si>
  <si>
    <t>クゥエンティン</t>
  </si>
  <si>
    <t>アーバンレジェンド</t>
  </si>
  <si>
    <t>パティキュール</t>
  </si>
  <si>
    <t>ダルタニアン</t>
    <phoneticPr fontId="6" type="Hiragana"/>
  </si>
  <si>
    <t>チェスター</t>
    <phoneticPr fontId="6" type="Hiragana"/>
  </si>
  <si>
    <t>テムジン</t>
    <phoneticPr fontId="6" type="Hiragana"/>
  </si>
  <si>
    <t>アヴィオール</t>
  </si>
  <si>
    <t>ショコラティエ</t>
  </si>
  <si>
    <t>クイックスター</t>
  </si>
  <si>
    <t>キュートボーイ</t>
  </si>
  <si>
    <t>ヴァレンティーノメイル</t>
  </si>
  <si>
    <t>アラジン</t>
  </si>
  <si>
    <t>コパノスケ</t>
  </si>
  <si>
    <t>ハロードリー</t>
  </si>
  <si>
    <t>メイプルパピー</t>
  </si>
  <si>
    <t>タケル</t>
  </si>
  <si>
    <t>フリューゲルO</t>
  </si>
  <si>
    <t>センシュアリティ</t>
  </si>
  <si>
    <t>クゥイント</t>
  </si>
  <si>
    <t>カターロ</t>
  </si>
  <si>
    <t>コナン</t>
  </si>
  <si>
    <t>アイトーン</t>
  </si>
  <si>
    <t>アバディ</t>
  </si>
  <si>
    <t>フェラーリ</t>
  </si>
  <si>
    <t>スミエ</t>
  </si>
  <si>
    <t>セシル</t>
  </si>
  <si>
    <t>ルクソールⅢ</t>
  </si>
  <si>
    <t>ボンプー</t>
  </si>
  <si>
    <t>パランタBZ</t>
  </si>
  <si>
    <t>ドルチェM</t>
  </si>
  <si>
    <t>ショウナンマンゲツ</t>
    <phoneticPr fontId="6" type="Hiragana"/>
  </si>
  <si>
    <t>ユーディドイット</t>
  </si>
  <si>
    <t>シャルムールZ</t>
  </si>
  <si>
    <t>シュバイツアー</t>
  </si>
  <si>
    <t>ジャハンナ</t>
  </si>
  <si>
    <t>アザモア</t>
  </si>
  <si>
    <t>エイプリルズパラント</t>
  </si>
  <si>
    <t>マラドーナ</t>
  </si>
  <si>
    <t>ヤマト</t>
  </si>
  <si>
    <t>イオレク・バーニソン</t>
  </si>
  <si>
    <t>ライフ・イズ・ビューティフル</t>
  </si>
  <si>
    <t>ラ・ラピーヌ・クリスタル</t>
  </si>
  <si>
    <t>プランス・エトワール・クリスタル</t>
  </si>
  <si>
    <t>サンダーバード</t>
  </si>
  <si>
    <t>タルーベット</t>
  </si>
  <si>
    <t>フローリン</t>
  </si>
  <si>
    <t>カヴィア・ドゥ・ウィンシアZ</t>
  </si>
  <si>
    <t>LPギニウス</t>
    <phoneticPr fontId="6" type="Hiragana"/>
  </si>
  <si>
    <t>シックスペンス</t>
    <phoneticPr fontId="6" type="Hiragana"/>
  </si>
  <si>
    <t>クルセイダー</t>
  </si>
  <si>
    <t>アッパーエンド</t>
  </si>
  <si>
    <t>将軍Ⅰ</t>
  </si>
  <si>
    <t>ローマン</t>
  </si>
  <si>
    <t>ブルーキッド</t>
  </si>
  <si>
    <t>スカイH</t>
  </si>
  <si>
    <t>エタジュニ</t>
  </si>
  <si>
    <t>エリザベートレネット</t>
  </si>
  <si>
    <t>ヴァイスハイト</t>
  </si>
  <si>
    <t>ユーリ</t>
  </si>
  <si>
    <t>エコールージュZ</t>
  </si>
  <si>
    <t>ヨハンS</t>
  </si>
  <si>
    <t>ニュートリノ</t>
  </si>
  <si>
    <t>奏</t>
    <rPh sb="0" eb="1">
      <t>かなで</t>
    </rPh>
    <phoneticPr fontId="6" type="Hiragana"/>
  </si>
  <si>
    <t>ダンディハート</t>
  </si>
  <si>
    <t>マーチ</t>
    <phoneticPr fontId="6" type="Hiragana"/>
  </si>
  <si>
    <t>カリッシュ</t>
  </si>
  <si>
    <t>ナイトムーブス</t>
  </si>
  <si>
    <t>川口　雅美</t>
    <rPh sb="0" eb="5">
      <t>かわぐち　まさみ</t>
    </rPh>
    <phoneticPr fontId="6" type="Hiragana"/>
  </si>
  <si>
    <t>川口　大輔</t>
    <rPh sb="0" eb="5">
      <t>かわぐち　だいすけ</t>
    </rPh>
    <phoneticPr fontId="6" type="Hiragana"/>
  </si>
  <si>
    <t>田中　萌</t>
    <rPh sb="0" eb="4">
      <t>たなか　もえ</t>
    </rPh>
    <phoneticPr fontId="6" type="Hiragana"/>
  </si>
  <si>
    <t>早稲田大学馬術部</t>
    <rPh sb="0" eb="3">
      <t>わせだ</t>
    </rPh>
    <rPh sb="3" eb="5">
      <t>だいがく</t>
    </rPh>
    <rPh sb="5" eb="7">
      <t>ばじゅつ</t>
    </rPh>
    <rPh sb="7" eb="8">
      <t>ぶ</t>
    </rPh>
    <phoneticPr fontId="6" type="Hiragana"/>
  </si>
  <si>
    <t>小野寺　由紀子</t>
    <rPh sb="0" eb="7">
      <t>おのでら　ゆきこ</t>
    </rPh>
    <phoneticPr fontId="6" type="Hiragana"/>
  </si>
  <si>
    <t>TEAM KOYANAGI</t>
    <rPh sb="0" eb="13">
      <t>ちーむ　こやなぎ</t>
    </rPh>
    <phoneticPr fontId="6" type="Hiragana"/>
  </si>
  <si>
    <t>海宝　久敬</t>
    <rPh sb="0" eb="5">
      <t>かいほう　ひさたか</t>
    </rPh>
    <phoneticPr fontId="6" type="Hiragana"/>
  </si>
  <si>
    <t>ちばシティ乗馬クラブ</t>
    <rPh sb="5" eb="7">
      <t>じょうば</t>
    </rPh>
    <phoneticPr fontId="6" type="Hiragana"/>
  </si>
  <si>
    <t>神尾　宏</t>
    <rPh sb="0" eb="4">
      <t>かみお　ひろし</t>
    </rPh>
    <phoneticPr fontId="6" type="Hiragana"/>
  </si>
  <si>
    <t>金野　裕平</t>
    <rPh sb="0" eb="5">
      <t>こんの</t>
    </rPh>
    <phoneticPr fontId="6" type="Hiragana"/>
  </si>
  <si>
    <t>小野寺　安曇</t>
    <rPh sb="0" eb="3">
      <t>おのでら</t>
    </rPh>
    <rPh sb="4" eb="6">
      <t>あずみ</t>
    </rPh>
    <phoneticPr fontId="6" type="Hiragana"/>
  </si>
  <si>
    <t>ライディングクラブフジファーム</t>
    <phoneticPr fontId="6" type="Hiragana"/>
  </si>
  <si>
    <t>猪股　美和子</t>
    <rPh sb="0" eb="6">
      <t>いのまた　みわこ</t>
    </rPh>
    <phoneticPr fontId="6" type="Hiragana"/>
  </si>
  <si>
    <t>日下部　充</t>
    <rPh sb="0" eb="5">
      <t>くさかべ　みつる</t>
    </rPh>
    <phoneticPr fontId="6" type="Hiragana"/>
  </si>
  <si>
    <t>山野　百合花</t>
    <rPh sb="0" eb="6">
      <t>やまの　ゆりか</t>
    </rPh>
    <phoneticPr fontId="6" type="Hiragana"/>
  </si>
  <si>
    <t>タカラスピットファイア</t>
  </si>
  <si>
    <t>リトルコスモ</t>
    <phoneticPr fontId="6" type="Hiragana"/>
  </si>
  <si>
    <t>ティダアパアパ</t>
    <phoneticPr fontId="6" type="Hiragana"/>
  </si>
  <si>
    <t>クリスピー</t>
    <phoneticPr fontId="6" type="Hiragana"/>
  </si>
  <si>
    <t>エマヴェル・キルガラ</t>
    <phoneticPr fontId="6" type="Hiragana"/>
  </si>
  <si>
    <t>エマヴェル・ダリウス</t>
    <phoneticPr fontId="6" type="Hiragana"/>
  </si>
  <si>
    <t>エマヴェル・ランダム</t>
    <phoneticPr fontId="6" type="Hiragana"/>
  </si>
  <si>
    <t>エマヴェル・ダラス</t>
    <phoneticPr fontId="6" type="Hiragana"/>
  </si>
  <si>
    <t>リトルコスモ</t>
    <phoneticPr fontId="6" type="Hiragana"/>
  </si>
  <si>
    <t>ドレッサージュ・ステーブル・テルイ</t>
    <phoneticPr fontId="6" type="Hiragana"/>
  </si>
  <si>
    <t>ヨシザワライディングファーム</t>
    <phoneticPr fontId="6" type="Hiragana"/>
  </si>
  <si>
    <t>ティダアパアパ</t>
    <phoneticPr fontId="6" type="Hiragana"/>
  </si>
  <si>
    <t>ライディングクラブフジファーム</t>
    <phoneticPr fontId="6" type="Hiragana"/>
  </si>
  <si>
    <t>クリスピー</t>
    <phoneticPr fontId="6" type="Hiragana"/>
  </si>
  <si>
    <t>エマヴェル・キルガラ</t>
    <phoneticPr fontId="6" type="Hiragana"/>
  </si>
  <si>
    <t>エマヴェル・ダリウス</t>
    <phoneticPr fontId="6" type="Hiragana"/>
  </si>
  <si>
    <t>エマヴェル・ランダム</t>
    <phoneticPr fontId="6" type="Hiragana"/>
  </si>
  <si>
    <t>エマヴェル・ダラス</t>
    <phoneticPr fontId="6" type="Hiragana"/>
  </si>
  <si>
    <t>ゴントラン</t>
    <phoneticPr fontId="6" type="Hiragana"/>
  </si>
  <si>
    <t>パロミノ・ポニークラブ</t>
    <phoneticPr fontId="6" type="Hiragana"/>
  </si>
  <si>
    <t>ダルタニアン</t>
    <phoneticPr fontId="6" type="Hiragana"/>
  </si>
  <si>
    <t>チェスター</t>
    <phoneticPr fontId="6" type="Hiragana"/>
  </si>
  <si>
    <t>テムジン</t>
    <phoneticPr fontId="6" type="Hiragana"/>
  </si>
  <si>
    <t>ファナウステーブル</t>
    <phoneticPr fontId="6" type="Hiragana"/>
  </si>
  <si>
    <t>ベルステーブル</t>
    <phoneticPr fontId="6" type="Hiragana"/>
  </si>
  <si>
    <t>LPギニウス</t>
    <phoneticPr fontId="6" type="Hiragana"/>
  </si>
  <si>
    <t>ホースパークギャラクシー</t>
    <phoneticPr fontId="6" type="Hiragana"/>
  </si>
  <si>
    <t>シックスペンス</t>
    <phoneticPr fontId="6" type="Hiragana"/>
  </si>
  <si>
    <t>マーチ</t>
    <phoneticPr fontId="6" type="Hiragana"/>
  </si>
  <si>
    <t>ホライゾンエクイン</t>
    <phoneticPr fontId="6" type="Hiragana"/>
  </si>
  <si>
    <t>カシアス・ファータ</t>
  </si>
  <si>
    <t>ジュリアス・ファータ</t>
  </si>
  <si>
    <t>クリスピー</t>
  </si>
  <si>
    <t>ライアン</t>
  </si>
  <si>
    <t>規定タイム</t>
    <phoneticPr fontId="6" type="Hiragana"/>
  </si>
  <si>
    <t>P：</t>
  </si>
  <si>
    <t>審判名</t>
  </si>
  <si>
    <t>J1：</t>
  </si>
  <si>
    <t>J2：</t>
  </si>
  <si>
    <t>J3：</t>
  </si>
  <si>
    <t>水濠：</t>
  </si>
  <si>
    <t>ダイヤモンドブレス</t>
  </si>
  <si>
    <t>シェンテ</t>
  </si>
  <si>
    <t>ミッドナイト</t>
  </si>
  <si>
    <t>ロイヤルブラン</t>
  </si>
  <si>
    <t>アラモードZ</t>
  </si>
  <si>
    <t>カレット</t>
  </si>
  <si>
    <t>ケアフル</t>
  </si>
  <si>
    <t>スノーウィーリバーⅡ</t>
  </si>
  <si>
    <t>シエナ乗馬クラブ</t>
    <rPh sb="3" eb="5">
      <t>じょうば</t>
    </rPh>
    <phoneticPr fontId="6" type="Hiragana"/>
  </si>
  <si>
    <t>香月　尚子</t>
    <rPh sb="0" eb="5">
      <t>かつき　なおこ</t>
    </rPh>
    <phoneticPr fontId="6" type="Hiragana"/>
  </si>
  <si>
    <t>ウーノ</t>
  </si>
  <si>
    <t>杉谷乗馬クラブ</t>
    <rPh sb="0" eb="2">
      <t>すぎたに</t>
    </rPh>
    <rPh sb="2" eb="4">
      <t>じょうば</t>
    </rPh>
    <phoneticPr fontId="6" type="Hiragana"/>
  </si>
  <si>
    <t>村上　浩隆</t>
    <rPh sb="0" eb="5">
      <t>むらかみ　ひろたか</t>
    </rPh>
    <phoneticPr fontId="6" type="Hiragana"/>
  </si>
  <si>
    <t>カランダ</t>
  </si>
  <si>
    <t>ベンツ</t>
  </si>
  <si>
    <t>景山　朋昌</t>
    <rPh sb="0" eb="5">
      <t>かげやま　ともあき</t>
    </rPh>
    <phoneticPr fontId="6" type="Hiragana"/>
  </si>
  <si>
    <t>小楠　和奈</t>
    <rPh sb="0" eb="5">
      <t>おぐす　なな</t>
    </rPh>
    <phoneticPr fontId="6" type="Hiragana"/>
  </si>
  <si>
    <t>山下　大輝</t>
    <rPh sb="0" eb="5">
      <t>やました　だいき</t>
    </rPh>
    <phoneticPr fontId="6" type="Hiragana"/>
  </si>
  <si>
    <t>稲嵐</t>
    <rPh sb="0" eb="2">
      <t>とうらん</t>
    </rPh>
    <phoneticPr fontId="6" type="Hiragana"/>
  </si>
  <si>
    <t>稲帥</t>
    <rPh sb="0" eb="2">
      <t>とうすい</t>
    </rPh>
    <phoneticPr fontId="6" type="Hiragana"/>
  </si>
  <si>
    <t>早稲田大学馬術部</t>
    <rPh sb="0" eb="3">
      <t>わせだ</t>
    </rPh>
    <rPh sb="3" eb="5">
      <t>だいがく</t>
    </rPh>
    <rPh sb="5" eb="7">
      <t>ばじゅつ</t>
    </rPh>
    <rPh sb="7" eb="8">
      <t>ぶ</t>
    </rPh>
    <phoneticPr fontId="6" type="Hiragana"/>
  </si>
  <si>
    <t>石山　晴茄</t>
    <rPh sb="0" eb="5">
      <t>いしやま　はるか</t>
    </rPh>
    <phoneticPr fontId="6" type="Hiragana"/>
  </si>
  <si>
    <t>ゾビオン</t>
  </si>
  <si>
    <t>浅井　杏佳</t>
    <rPh sb="0" eb="5">
      <t>あさい　きょうか</t>
    </rPh>
    <phoneticPr fontId="6" type="Hiragana"/>
  </si>
  <si>
    <t>仙波　勇</t>
    <rPh sb="0" eb="4">
      <t>せんば　いさむ</t>
    </rPh>
    <phoneticPr fontId="6" type="Hiragana"/>
  </si>
  <si>
    <t>土田　静佳</t>
    <rPh sb="0" eb="5">
      <t>つちだ　しずか</t>
    </rPh>
    <phoneticPr fontId="6" type="Hiragana"/>
  </si>
  <si>
    <t>夏目　聖子</t>
    <rPh sb="0" eb="5">
      <t>なつめ　せいこ</t>
    </rPh>
    <phoneticPr fontId="6" type="Hiragana"/>
  </si>
  <si>
    <t>Cozy farm</t>
    <rPh sb="0" eb="9">
      <t>こーじー　ふぁーむ</t>
    </rPh>
    <phoneticPr fontId="6" type="Hiragana"/>
  </si>
  <si>
    <t>渡邉　智之</t>
    <rPh sb="0" eb="5">
      <t>わたなべ　ともゆき</t>
    </rPh>
    <phoneticPr fontId="6" type="Hiragana"/>
  </si>
  <si>
    <t>ハリーポッター・D</t>
  </si>
  <si>
    <t>衛藤　みのり</t>
    <rPh sb="0" eb="6">
      <t>えとう　みのり</t>
    </rPh>
    <phoneticPr fontId="6" type="Hiragana"/>
  </si>
  <si>
    <t>コジャック</t>
  </si>
  <si>
    <t>法政大学馬術部</t>
    <rPh sb="0" eb="2">
      <t>ほうせい</t>
    </rPh>
    <rPh sb="2" eb="4">
      <t>だいがく</t>
    </rPh>
    <rPh sb="4" eb="6">
      <t>ばじゅつ</t>
    </rPh>
    <rPh sb="6" eb="7">
      <t>ぶ</t>
    </rPh>
    <phoneticPr fontId="6" type="Hiragana"/>
  </si>
  <si>
    <t>大山　紗季</t>
    <rPh sb="0" eb="5">
      <t>おおやま　さき</t>
    </rPh>
    <phoneticPr fontId="6" type="Hiragana"/>
  </si>
  <si>
    <t>オリエント馬事センター</t>
    <rPh sb="5" eb="7">
      <t>ばじ</t>
    </rPh>
    <phoneticPr fontId="6" type="Hiragana"/>
  </si>
  <si>
    <t>奥山高原乗馬クラブ</t>
    <rPh sb="0" eb="2">
      <t>おくやま</t>
    </rPh>
    <rPh sb="2" eb="4">
      <t>こうげん</t>
    </rPh>
    <rPh sb="4" eb="6">
      <t>じょうば</t>
    </rPh>
    <phoneticPr fontId="6" type="Hiragana"/>
  </si>
  <si>
    <t>中村　勇</t>
    <rPh sb="0" eb="4">
      <t>なかむら　いさむ</t>
    </rPh>
    <phoneticPr fontId="6" type="Hiragana"/>
  </si>
  <si>
    <t>水野　開</t>
    <rPh sb="0" eb="4">
      <t>みずの　かい</t>
    </rPh>
    <phoneticPr fontId="6" type="Hiragana"/>
  </si>
  <si>
    <t>ココボンゴ</t>
  </si>
  <si>
    <t>中村　洋子</t>
    <rPh sb="0" eb="5">
      <t>なかむら　ようこ</t>
    </rPh>
    <phoneticPr fontId="6" type="Hiragana"/>
  </si>
  <si>
    <t>北勢ライディングファーム</t>
    <rPh sb="0" eb="2">
      <t>ほくせい</t>
    </rPh>
    <phoneticPr fontId="6" type="Hiragana"/>
  </si>
  <si>
    <t>杉本　隆雄</t>
    <rPh sb="0" eb="5">
      <t>すぎもと　たかお</t>
    </rPh>
    <phoneticPr fontId="6" type="Hiragana"/>
  </si>
  <si>
    <t>安藤　淳子</t>
    <rPh sb="0" eb="5">
      <t>あんどう　じゅんこ</t>
    </rPh>
    <phoneticPr fontId="6" type="Hiragana"/>
  </si>
  <si>
    <t>アイリッシュアラン乗馬学校</t>
    <rPh sb="9" eb="11">
      <t>じょうば</t>
    </rPh>
    <rPh sb="11" eb="13">
      <t>がっこう</t>
    </rPh>
    <phoneticPr fontId="6" type="Hiragana"/>
  </si>
  <si>
    <t>川端　俊哉</t>
    <rPh sb="0" eb="5">
      <t>かわばた　としや</t>
    </rPh>
    <phoneticPr fontId="6" type="Hiragana"/>
  </si>
  <si>
    <t>林　伸伍</t>
    <rPh sb="0" eb="4">
      <t>はやし　しんご</t>
    </rPh>
    <phoneticPr fontId="6" type="Hiragana"/>
  </si>
  <si>
    <t/>
  </si>
  <si>
    <t>樹山　崇</t>
    <rPh sb="0" eb="4">
      <t>きやま　たかし</t>
    </rPh>
    <phoneticPr fontId="6" type="Hiragana"/>
  </si>
  <si>
    <t>原　万由子</t>
    <rPh sb="0" eb="5">
      <t>はら　まゆこ</t>
    </rPh>
    <phoneticPr fontId="6" type="Hiragana"/>
  </si>
  <si>
    <t>山口　真奈</t>
    <rPh sb="0" eb="5">
      <t>やまぐち　まな</t>
    </rPh>
    <phoneticPr fontId="6" type="Hiragana"/>
  </si>
  <si>
    <t>岡本　雅海</t>
    <rPh sb="0" eb="5">
      <t>おかもと　まさみ</t>
    </rPh>
    <phoneticPr fontId="6" type="Hiragana"/>
  </si>
  <si>
    <t>岡本ライディングクラブJAPAN</t>
    <rPh sb="0" eb="2">
      <t>おかもと</t>
    </rPh>
    <phoneticPr fontId="6" type="Hiragana"/>
  </si>
  <si>
    <t>浜田　啓司</t>
    <rPh sb="0" eb="5">
      <t>はまだ　けいし</t>
    </rPh>
    <phoneticPr fontId="6" type="Hiragana"/>
  </si>
  <si>
    <t>村上　篤</t>
    <rPh sb="0" eb="4">
      <t>むらかみ　あつし</t>
    </rPh>
    <phoneticPr fontId="6" type="Hiragana"/>
  </si>
  <si>
    <t>座間近代乗馬クラブ</t>
    <rPh sb="0" eb="2">
      <t>ざま</t>
    </rPh>
    <rPh sb="2" eb="4">
      <t>きんだい</t>
    </rPh>
    <rPh sb="4" eb="6">
      <t>じょうば</t>
    </rPh>
    <phoneticPr fontId="6" type="Hiragana"/>
  </si>
  <si>
    <t>浅川　駿萬</t>
    <rPh sb="0" eb="5">
      <t>あさかわ　しゅんま</t>
    </rPh>
    <phoneticPr fontId="6" type="Hiragana"/>
  </si>
  <si>
    <t>静岡乗馬クラブ</t>
    <rPh sb="0" eb="2">
      <t>しずおか</t>
    </rPh>
    <rPh sb="2" eb="4">
      <t>じょうば</t>
    </rPh>
    <phoneticPr fontId="6" type="Hiragana"/>
  </si>
  <si>
    <t>浅川　晴央</t>
    <rPh sb="0" eb="5">
      <t>あさかわ　はるちか</t>
    </rPh>
    <phoneticPr fontId="6" type="Hiragana"/>
  </si>
  <si>
    <t>浅川　牧子</t>
    <rPh sb="0" eb="5">
      <t>あさかわ　まきこ</t>
    </rPh>
    <phoneticPr fontId="6" type="Hiragana"/>
  </si>
  <si>
    <t>中島　康宏</t>
    <rPh sb="0" eb="5">
      <t>なかじま　やすひろ</t>
    </rPh>
    <phoneticPr fontId="6" type="Hiragana"/>
  </si>
  <si>
    <t>仁田原　知毅</t>
    <rPh sb="0" eb="6">
      <t>にたはら　ともき</t>
    </rPh>
    <phoneticPr fontId="6" type="Hiragana"/>
  </si>
  <si>
    <t>山口　龍之</t>
    <rPh sb="0" eb="5">
      <t>やまぐち　たつゆき</t>
    </rPh>
    <phoneticPr fontId="6" type="Hiragana"/>
  </si>
  <si>
    <t>バリシュニコフ</t>
  </si>
  <si>
    <t>マヤノライジン</t>
  </si>
  <si>
    <t>ウルツァー</t>
  </si>
  <si>
    <t>ビーマイボーイ</t>
  </si>
  <si>
    <t>河内　美怜</t>
    <rPh sb="0" eb="5">
      <t>かわうち　みれい</t>
    </rPh>
    <phoneticPr fontId="6" type="Hiragana"/>
  </si>
  <si>
    <t>クランベリィミレアーズ</t>
  </si>
  <si>
    <t>佐藤　忠伸</t>
    <rPh sb="0" eb="5">
      <t>さとう　ただのぶ</t>
    </rPh>
    <phoneticPr fontId="6" type="Hiragana"/>
  </si>
  <si>
    <t>樫木　俊</t>
    <rPh sb="0" eb="4">
      <t>かしき　しゅん</t>
    </rPh>
    <phoneticPr fontId="6" type="Hiragana"/>
  </si>
  <si>
    <t>乗馬クラブクレイン神奈川</t>
    <rPh sb="0" eb="2">
      <t>じょうば</t>
    </rPh>
    <rPh sb="9" eb="12">
      <t>かながわ</t>
    </rPh>
    <phoneticPr fontId="6" type="Hiragana"/>
  </si>
  <si>
    <t>ジェンティーユ</t>
  </si>
  <si>
    <t>コンテッサー</t>
  </si>
  <si>
    <t>本多　保乃香</t>
    <rPh sb="0" eb="6">
      <t>ほんだ　ほのか</t>
    </rPh>
    <phoneticPr fontId="6" type="Hiragana"/>
  </si>
  <si>
    <t>カラカス84</t>
  </si>
  <si>
    <t>乗馬クラブニューシーズン御殿場</t>
    <rPh sb="0" eb="2">
      <t>じょうば</t>
    </rPh>
    <rPh sb="12" eb="15">
      <t>ごてんば</t>
    </rPh>
    <phoneticPr fontId="6" type="Hiragana"/>
  </si>
  <si>
    <t>カサノバ</t>
  </si>
  <si>
    <t>カブリオーレ</t>
  </si>
  <si>
    <t>柿﨑　絵理</t>
    <rPh sb="0" eb="5">
      <t>かきざき　えり</t>
    </rPh>
    <phoneticPr fontId="6" type="Hiragana"/>
  </si>
  <si>
    <t>上田　瑠威</t>
    <rPh sb="0" eb="5">
      <t>うえだ　るい</t>
    </rPh>
    <phoneticPr fontId="6" type="Hiragana"/>
  </si>
  <si>
    <t>桝井　颯</t>
    <rPh sb="0" eb="4">
      <t>ますい　はやて</t>
    </rPh>
    <phoneticPr fontId="6" type="Hiragana"/>
  </si>
  <si>
    <t>中村　信清</t>
    <rPh sb="0" eb="5">
      <t>なかむら　のぶきよ</t>
    </rPh>
    <phoneticPr fontId="6" type="Hiragana"/>
  </si>
  <si>
    <t>福井県馬術連盟</t>
    <rPh sb="0" eb="3">
      <t>ふくいけん</t>
    </rPh>
    <rPh sb="3" eb="5">
      <t>ばじゅつ</t>
    </rPh>
    <rPh sb="5" eb="7">
      <t>れんめい</t>
    </rPh>
    <phoneticPr fontId="6" type="Hiragana"/>
  </si>
  <si>
    <t>大島　那菜</t>
    <rPh sb="0" eb="5">
      <t>おおしま　なな</t>
    </rPh>
    <phoneticPr fontId="6" type="Hiragana"/>
  </si>
  <si>
    <t>白石くん</t>
  </si>
  <si>
    <t>大沢　暁音</t>
    <rPh sb="0" eb="2">
      <t>おおさわ</t>
    </rPh>
    <rPh sb="3" eb="4">
      <t>あか</t>
    </rPh>
    <rPh sb="4" eb="5">
      <t>ね</t>
    </rPh>
    <phoneticPr fontId="6" type="Hiragana"/>
  </si>
  <si>
    <t>二宮　桃子</t>
    <rPh sb="0" eb="5">
      <t>にのみや　ももこ</t>
    </rPh>
    <phoneticPr fontId="6" type="Hiragana"/>
  </si>
  <si>
    <t>グラサージュ</t>
  </si>
  <si>
    <t>星野　眞也子</t>
    <rPh sb="0" eb="6">
      <t>ほしの　まやこ</t>
    </rPh>
    <phoneticPr fontId="6" type="Hiragana"/>
  </si>
  <si>
    <t>キートス・サクラ</t>
  </si>
  <si>
    <t>和泉　国彦</t>
    <rPh sb="0" eb="5">
      <t>いずみ　くにひこ</t>
    </rPh>
    <phoneticPr fontId="6" type="Hiragana"/>
  </si>
  <si>
    <t>パブロフ</t>
  </si>
  <si>
    <t>佐々　ゆかり</t>
    <rPh sb="0" eb="6">
      <t>さっさ　ゆかり</t>
    </rPh>
    <phoneticPr fontId="6" type="Hiragana"/>
  </si>
  <si>
    <t>瑞龍</t>
    <rPh sb="0" eb="2">
      <t>ずいりゅう</t>
    </rPh>
    <phoneticPr fontId="6" type="Hiragana"/>
  </si>
  <si>
    <t>明松寺馬事公苑</t>
    <rPh sb="0" eb="3">
      <t>みょうしょうじ</t>
    </rPh>
    <rPh sb="3" eb="5">
      <t>ばじ</t>
    </rPh>
    <rPh sb="5" eb="7">
      <t>こうえん</t>
    </rPh>
    <phoneticPr fontId="6" type="Hiragana"/>
  </si>
  <si>
    <t>天童</t>
    <rPh sb="0" eb="2">
      <t>てんどう</t>
    </rPh>
    <phoneticPr fontId="6" type="Hiragana"/>
  </si>
  <si>
    <t>安福　心優</t>
    <rPh sb="0" eb="1">
      <t>やす</t>
    </rPh>
    <rPh sb="1" eb="2">
      <t>ふく</t>
    </rPh>
    <rPh sb="3" eb="4">
      <t>み</t>
    </rPh>
    <rPh sb="4" eb="5">
      <t>ゆ</t>
    </rPh>
    <phoneticPr fontId="6" type="Hiragana"/>
  </si>
  <si>
    <t>ハロードリーム</t>
  </si>
  <si>
    <t>コンドクトロ</t>
  </si>
  <si>
    <t>慈椰</t>
    <rPh sb="0" eb="1">
      <t>じ</t>
    </rPh>
    <rPh sb="1" eb="2">
      <t>な</t>
    </rPh>
    <phoneticPr fontId="6" type="Hiragana"/>
  </si>
  <si>
    <t>小野寺　由紀子</t>
    <rPh sb="0" eb="3">
      <t>おのでら</t>
    </rPh>
    <rPh sb="4" eb="7">
      <t>ゆきこ</t>
    </rPh>
    <phoneticPr fontId="6" type="Hiragana"/>
  </si>
  <si>
    <t>新村　桃子</t>
    <rPh sb="0" eb="5">
      <t>にいむら　ももこ</t>
    </rPh>
    <phoneticPr fontId="6" type="Hiragana"/>
  </si>
  <si>
    <t>川口　雅美</t>
    <rPh sb="0" eb="5">
      <t>かわぐち　まさみ</t>
    </rPh>
    <phoneticPr fontId="6" type="Hiragana"/>
  </si>
  <si>
    <t>喜多村　洋子</t>
    <rPh sb="0" eb="6">
      <t>きたむら　ようこ</t>
    </rPh>
    <phoneticPr fontId="6" type="Hiragana"/>
  </si>
  <si>
    <t>木村　彩子</t>
    <rPh sb="0" eb="5">
      <t>きむら　あやこ</t>
    </rPh>
    <phoneticPr fontId="6" type="Hiragana"/>
  </si>
  <si>
    <t>澤田　千春</t>
    <rPh sb="0" eb="5">
      <t>さわだ　ちはる</t>
    </rPh>
    <phoneticPr fontId="6" type="Hiragana"/>
  </si>
  <si>
    <t>神村　ひより</t>
    <rPh sb="0" eb="6">
      <t>じんむら　ひより</t>
    </rPh>
    <phoneticPr fontId="6" type="Hiragana"/>
  </si>
  <si>
    <t>髙松　優希</t>
    <rPh sb="0" eb="5">
      <t>たかまつ　ゆき</t>
    </rPh>
    <phoneticPr fontId="6" type="Hiragana"/>
  </si>
  <si>
    <t>古山　賀奈子</t>
    <rPh sb="0" eb="6">
      <t>ふるやま　かなこ</t>
    </rPh>
    <phoneticPr fontId="6" type="Hiragana"/>
  </si>
  <si>
    <t>植田　将虎</t>
    <rPh sb="0" eb="5">
      <t>うえだ　しょうご</t>
    </rPh>
    <phoneticPr fontId="6" type="Hiragana"/>
  </si>
  <si>
    <t>アバロン・ヒルサイドファーム</t>
    <rPh sb="0" eb="14">
      <t>あばろん・ひるさいどふぁーむ</t>
    </rPh>
    <phoneticPr fontId="6" type="Hiragana"/>
  </si>
  <si>
    <t>笹野　翔大</t>
    <rPh sb="0" eb="5">
      <t>ささの　しょうた</t>
    </rPh>
    <phoneticPr fontId="6" type="Hiragana"/>
  </si>
  <si>
    <t>武宮　匡宏</t>
    <rPh sb="0" eb="5">
      <t>たけみや　ただひろ</t>
    </rPh>
    <phoneticPr fontId="6" type="Hiragana"/>
  </si>
  <si>
    <t>原田　昂治</t>
    <rPh sb="0" eb="5">
      <t>はらだ　こうじ</t>
    </rPh>
    <phoneticPr fontId="6" type="Hiragana"/>
  </si>
  <si>
    <t>ウィルスタッド</t>
    <rPh sb="0" eb="7">
      <t>うぃるすたっど</t>
    </rPh>
    <phoneticPr fontId="6" type="Hiragana"/>
  </si>
  <si>
    <t>齋藤　由香</t>
    <rPh sb="0" eb="5">
      <t>さいとう　ゆか</t>
    </rPh>
    <phoneticPr fontId="6" type="Hiragana"/>
  </si>
  <si>
    <t>ヴィルタスライディングクラブ</t>
    <rPh sb="0" eb="14">
      <t>ヴぃるたすらいでぃんぐくらぶ</t>
    </rPh>
    <phoneticPr fontId="6" type="Hiragana"/>
  </si>
  <si>
    <t>加藤　麻理子</t>
    <rPh sb="0" eb="6">
      <t>かとう　まりこ</t>
    </rPh>
    <phoneticPr fontId="6" type="Hiragana"/>
  </si>
  <si>
    <t>深川　由美子</t>
    <rPh sb="0" eb="6">
      <t>ふかがわ　ゆみこ</t>
    </rPh>
    <phoneticPr fontId="6" type="Hiragana"/>
  </si>
  <si>
    <t>EXE JAPAN</t>
    <rPh sb="0" eb="9">
      <t>えぐぜじゃぱん</t>
    </rPh>
    <phoneticPr fontId="6" type="Hiragana"/>
  </si>
  <si>
    <t>永沼　延見子</t>
    <rPh sb="0" eb="6">
      <t>ながぬま　えみこ</t>
    </rPh>
    <phoneticPr fontId="6" type="Hiragana"/>
  </si>
  <si>
    <t>ELCドレッサージュチーム</t>
    <rPh sb="0" eb="3">
      <t>えるく</t>
    </rPh>
    <phoneticPr fontId="6" type="Hiragana"/>
  </si>
  <si>
    <t>人見　美代子</t>
    <rPh sb="0" eb="6">
      <t>ひとみ　みよこ</t>
    </rPh>
    <phoneticPr fontId="6" type="Hiragana"/>
  </si>
  <si>
    <t>岡本　真理</t>
    <rPh sb="0" eb="5">
      <t>おかもと　まり</t>
    </rPh>
    <phoneticPr fontId="6" type="Hiragana"/>
  </si>
  <si>
    <t>平山　敦子</t>
    <rPh sb="0" eb="5">
      <t>ひらやま　あつこ</t>
    </rPh>
    <phoneticPr fontId="6" type="Hiragana"/>
  </si>
  <si>
    <t>平山　麻由子</t>
    <rPh sb="0" eb="6">
      <t>ひらやま　まゆこ</t>
    </rPh>
    <phoneticPr fontId="6" type="Hiragana"/>
  </si>
  <si>
    <t>奥山高原乗馬クラブ</t>
    <rPh sb="0" eb="6">
      <t>おくやまこうげんじょうば</t>
    </rPh>
    <phoneticPr fontId="6" type="Hiragana"/>
  </si>
  <si>
    <t>村上　万理</t>
    <rPh sb="0" eb="5">
      <t>むらかみ　まり</t>
    </rPh>
    <phoneticPr fontId="6" type="Hiragana"/>
  </si>
  <si>
    <t>山口　美樹</t>
    <rPh sb="0" eb="2">
      <t>やまぐち</t>
    </rPh>
    <rPh sb="3" eb="4">
      <t>み</t>
    </rPh>
    <rPh sb="4" eb="5">
      <t>き</t>
    </rPh>
    <phoneticPr fontId="6" type="Hiragana"/>
  </si>
  <si>
    <t>内藤　一洋</t>
    <rPh sb="0" eb="5">
      <t>ないとう　かずひろ</t>
    </rPh>
    <phoneticPr fontId="6" type="Hiragana"/>
  </si>
  <si>
    <t>コンチェルト・クリニック・センター</t>
    <rPh sb="0" eb="17">
      <t>こんちぇると・くりにっく・せんたー</t>
    </rPh>
    <phoneticPr fontId="6" type="Hiragana"/>
  </si>
  <si>
    <t>野村　ひすい</t>
    <rPh sb="0" eb="6">
      <t>のむら　ひすい</t>
    </rPh>
    <phoneticPr fontId="6" type="Hiragana"/>
  </si>
  <si>
    <t>野尻　翔麻</t>
    <rPh sb="0" eb="5">
      <t>のじり　しょうま</t>
    </rPh>
    <phoneticPr fontId="6" type="Hiragana"/>
  </si>
  <si>
    <t>浅川　やゑ美</t>
    <rPh sb="0" eb="6">
      <t>あさかわ　やゑみ</t>
    </rPh>
    <phoneticPr fontId="6" type="Hiragana"/>
  </si>
  <si>
    <t>松岡　健心</t>
    <rPh sb="0" eb="2">
      <t>まつおか</t>
    </rPh>
    <rPh sb="3" eb="4">
      <t>けん</t>
    </rPh>
    <rPh sb="4" eb="5">
      <t>しん</t>
    </rPh>
    <phoneticPr fontId="6" type="Hiragana"/>
  </si>
  <si>
    <t>筑前　由紀</t>
    <rPh sb="0" eb="5">
      <t>ちくぜん　ゆき</t>
    </rPh>
    <phoneticPr fontId="6" type="Hiragana"/>
  </si>
  <si>
    <t>花澤　茂之</t>
    <rPh sb="0" eb="5">
      <t>はなざわ　しげゆき</t>
    </rPh>
    <phoneticPr fontId="6" type="Hiragana"/>
  </si>
  <si>
    <t>中馬　薫</t>
    <rPh sb="0" eb="4">
      <t>ちゅうま　かおる</t>
    </rPh>
    <phoneticPr fontId="6" type="Hiragana"/>
  </si>
  <si>
    <t>stable FEDERA</t>
    <rPh sb="0" eb="13">
      <t>すてーぶる　ふぇでら</t>
    </rPh>
    <phoneticPr fontId="6" type="Hiragana"/>
  </si>
  <si>
    <t>有賀　翔</t>
    <rPh sb="0" eb="4">
      <t>ありが　しょう</t>
    </rPh>
    <phoneticPr fontId="6" type="Hiragana"/>
  </si>
  <si>
    <t>日本大学馬術部</t>
    <rPh sb="0" eb="2">
      <t>にほん</t>
    </rPh>
    <rPh sb="2" eb="4">
      <t>だいがく</t>
    </rPh>
    <rPh sb="4" eb="6">
      <t>ばじゅつ</t>
    </rPh>
    <rPh sb="6" eb="7">
      <t>ぶ</t>
    </rPh>
    <phoneticPr fontId="6" type="Hiragana"/>
  </si>
  <si>
    <t>名倉　賢人</t>
    <rPh sb="0" eb="5">
      <t>なぐら　けんと</t>
    </rPh>
    <phoneticPr fontId="6" type="Hiragana"/>
  </si>
  <si>
    <t>広瀬　楓</t>
    <rPh sb="0" eb="4">
      <t>ひろせ　かえで</t>
    </rPh>
    <phoneticPr fontId="6" type="Hiragana"/>
  </si>
  <si>
    <t>パロミノ・ポニークラブ</t>
    <rPh sb="0" eb="11">
      <t>ぱろみの・ぽにーくらぶ</t>
    </rPh>
    <phoneticPr fontId="6" type="Hiragana"/>
  </si>
  <si>
    <t>佐藤　英樹</t>
    <rPh sb="0" eb="5">
      <t>さとう　ひでき</t>
    </rPh>
    <phoneticPr fontId="6" type="Hiragana"/>
  </si>
  <si>
    <t>西塚　建二</t>
    <rPh sb="0" eb="5">
      <t>にしづか　けんじ</t>
    </rPh>
    <phoneticPr fontId="6" type="Hiragana"/>
  </si>
  <si>
    <t>ファナウステーブル</t>
    <rPh sb="0" eb="9">
      <t>ふぁなうすてーぶる</t>
    </rPh>
    <phoneticPr fontId="6" type="Hiragana"/>
  </si>
  <si>
    <t>西塚　洸二</t>
    <rPh sb="0" eb="5">
      <t>にしづか　こうじ</t>
    </rPh>
    <phoneticPr fontId="6" type="Hiragana"/>
  </si>
  <si>
    <t>益永　ここ美</t>
    <rPh sb="0" eb="6">
      <t>ますなが　ここみ</t>
    </rPh>
    <phoneticPr fontId="6" type="Hiragana"/>
  </si>
  <si>
    <t>天谷　幸枝</t>
    <rPh sb="0" eb="5">
      <t>あまがい　さちえ</t>
    </rPh>
    <phoneticPr fontId="6" type="Hiragana"/>
  </si>
  <si>
    <t>政兼　隆</t>
    <rPh sb="0" eb="4">
      <t>まさかね　たかし</t>
    </rPh>
    <phoneticPr fontId="6" type="Hiragana"/>
  </si>
  <si>
    <t>政兼　実佳</t>
    <rPh sb="0" eb="5">
      <t>まさかね　みか</t>
    </rPh>
    <phoneticPr fontId="6" type="Hiragana"/>
  </si>
  <si>
    <t>吉村　英喜</t>
    <rPh sb="0" eb="5">
      <t>よしむら　ひでき</t>
    </rPh>
    <phoneticPr fontId="6" type="Hiragana"/>
  </si>
  <si>
    <t>井端　里佳子</t>
    <rPh sb="0" eb="6">
      <t>いばた　りかこ</t>
    </rPh>
    <phoneticPr fontId="6" type="Hiragana"/>
  </si>
  <si>
    <t>ホースライディングスクエアーエボルブルス</t>
    <rPh sb="0" eb="20">
      <t>ほーすらいでぃんぐすくえあーえぼるぶるす</t>
    </rPh>
    <phoneticPr fontId="6" type="Hiragana"/>
  </si>
  <si>
    <t>佐藤　泰</t>
    <rPh sb="0" eb="4">
      <t>さとう　たえ</t>
    </rPh>
    <phoneticPr fontId="6" type="Hiragana"/>
  </si>
  <si>
    <t>ライディングクラブフジファーム</t>
    <rPh sb="0" eb="15">
      <t>らいでぃんぐくらぶふじふぁーむ</t>
    </rPh>
    <phoneticPr fontId="6" type="Hiragana"/>
  </si>
  <si>
    <t>川口　大輔</t>
    <rPh sb="0" eb="5">
      <t>かわぐち　だいすけ</t>
    </rPh>
    <phoneticPr fontId="6" type="Hiragana"/>
  </si>
  <si>
    <t>ラブリーホースガーデン</t>
    <rPh sb="0" eb="11">
      <t>らぶりーほーすがーでん</t>
    </rPh>
    <phoneticPr fontId="6" type="Hiragana"/>
  </si>
  <si>
    <t>杉本　瑞生</t>
    <rPh sb="0" eb="2">
      <t>すぎもと</t>
    </rPh>
    <rPh sb="3" eb="5">
      <t>みずき</t>
    </rPh>
    <phoneticPr fontId="6" type="Hiragana"/>
  </si>
  <si>
    <t>立教大学馬術部</t>
    <rPh sb="0" eb="2">
      <t>りっきょう</t>
    </rPh>
    <rPh sb="2" eb="4">
      <t>だいがく</t>
    </rPh>
    <rPh sb="4" eb="6">
      <t>ばじゅつ</t>
    </rPh>
    <rPh sb="6" eb="7">
      <t>ぶ</t>
    </rPh>
    <phoneticPr fontId="6" type="Hiragana"/>
  </si>
  <si>
    <t>佐伯　俊彦</t>
    <rPh sb="0" eb="5">
      <t>さえき　としひこ</t>
    </rPh>
    <phoneticPr fontId="6" type="Hiragana"/>
  </si>
  <si>
    <t>野中　友貴</t>
    <rPh sb="0" eb="2">
      <t>のなか</t>
    </rPh>
    <rPh sb="3" eb="5">
      <t>ともき</t>
    </rPh>
    <phoneticPr fontId="6" type="Hiragana"/>
  </si>
  <si>
    <t>ヴェラヌス</t>
  </si>
  <si>
    <t>ウスタルド・ディオール</t>
  </si>
  <si>
    <t>ザリーノ</t>
  </si>
  <si>
    <t>パヴァロッティ</t>
  </si>
  <si>
    <t>ハディントン</t>
  </si>
  <si>
    <t>ピーターパン</t>
  </si>
  <si>
    <t>プッチーニ57</t>
  </si>
  <si>
    <t>ブリランテスター</t>
  </si>
  <si>
    <t>ブリリアントV</t>
  </si>
  <si>
    <t>ラムゼス・デアツヴァイタ</t>
  </si>
  <si>
    <t>ランドフィガロ</t>
  </si>
  <si>
    <t>ランドロナルド</t>
  </si>
  <si>
    <t>ワイノット</t>
  </si>
  <si>
    <t>カエジアル</t>
  </si>
  <si>
    <t>ゼッド</t>
  </si>
  <si>
    <t>ウィルクレバー</t>
  </si>
  <si>
    <t>ノアプラド</t>
  </si>
  <si>
    <t>アルフォンソZ</t>
  </si>
  <si>
    <t>ソマレッロ</t>
  </si>
  <si>
    <t>ロアンカ</t>
  </si>
  <si>
    <t>アルマンジャック</t>
  </si>
  <si>
    <t>ムーンエイジ・カスケード</t>
  </si>
  <si>
    <t>ダイヤモンド・レディー</t>
  </si>
  <si>
    <t>フォルテ</t>
  </si>
  <si>
    <t>ブリッツ</t>
  </si>
  <si>
    <t>神楽</t>
    <rPh sb="0" eb="2">
      <t>かぐら</t>
    </rPh>
    <phoneticPr fontId="6" type="Hiragana"/>
  </si>
  <si>
    <t>プロジェクト</t>
  </si>
  <si>
    <t>座間１</t>
    <rPh sb="0" eb="2">
      <t>ざま</t>
    </rPh>
    <phoneticPr fontId="6" type="Hiragana"/>
  </si>
  <si>
    <t>座間２</t>
    <rPh sb="0" eb="2">
      <t>ざま</t>
    </rPh>
    <phoneticPr fontId="6" type="Hiragana"/>
  </si>
  <si>
    <t>クラド</t>
  </si>
  <si>
    <t>サトノパテック</t>
  </si>
  <si>
    <t>晴喜</t>
    <rPh sb="0" eb="2">
      <t>はるき</t>
    </rPh>
    <phoneticPr fontId="6" type="Hiragana"/>
  </si>
  <si>
    <t>フリーデンシャネル</t>
  </si>
  <si>
    <t>アイティーバトル</t>
  </si>
  <si>
    <t>空</t>
    <rPh sb="0" eb="1">
      <t>そら</t>
    </rPh>
    <phoneticPr fontId="6" type="Hiragana"/>
  </si>
  <si>
    <t>エクセレンテ</t>
  </si>
  <si>
    <t>ロレンジア</t>
  </si>
  <si>
    <t>桜皇</t>
    <rPh sb="0" eb="2">
      <t>おうこう</t>
    </rPh>
    <phoneticPr fontId="6" type="Hiragana"/>
  </si>
  <si>
    <t>桜灯</t>
    <rPh sb="0" eb="2">
      <t>おうとう</t>
    </rPh>
    <phoneticPr fontId="6" type="Hiragana"/>
  </si>
  <si>
    <t>カデット</t>
  </si>
  <si>
    <t>フロム・ルシア・ウィズ・ラブ</t>
  </si>
  <si>
    <t>トゥーランドット</t>
  </si>
  <si>
    <t>トレジャーブルーNZ</t>
  </si>
  <si>
    <t>カスコ</t>
  </si>
  <si>
    <t>チューリッヒ</t>
  </si>
  <si>
    <t>ル・ドンSP</t>
  </si>
  <si>
    <t>キガリスイートデール</t>
  </si>
  <si>
    <t>スカイロードリー</t>
  </si>
  <si>
    <t>聖愷</t>
    <rPh sb="0" eb="2">
      <t>せいがい</t>
    </rPh>
    <phoneticPr fontId="6" type="Hiragana"/>
  </si>
  <si>
    <t>稲彩</t>
    <rPh sb="0" eb="2">
      <t>とうさい</t>
    </rPh>
    <phoneticPr fontId="6" type="Hiragana"/>
  </si>
  <si>
    <t>オーキッドウィル</t>
    <phoneticPr fontId="6" type="Hiragana"/>
  </si>
  <si>
    <t>チェリースマイル</t>
    <phoneticPr fontId="6" type="Hiragana"/>
  </si>
  <si>
    <t>ダイアモンドダビドフ</t>
    <phoneticPr fontId="6" type="Hiragana"/>
  </si>
  <si>
    <t>ウィット</t>
    <phoneticPr fontId="6" type="Hiragana"/>
  </si>
  <si>
    <t>ザ・サイドワンダー</t>
    <phoneticPr fontId="6" type="Hiragana"/>
  </si>
  <si>
    <t>モンタナスカイ</t>
    <phoneticPr fontId="6" type="Hiragana"/>
  </si>
  <si>
    <t>マーチ</t>
    <phoneticPr fontId="6" type="Hiragana"/>
  </si>
  <si>
    <t>ヴィモア</t>
    <phoneticPr fontId="6" type="Hiragana"/>
  </si>
  <si>
    <t>ハッピータイム</t>
    <phoneticPr fontId="6" type="Hiragana"/>
  </si>
  <si>
    <t>LHG</t>
    <phoneticPr fontId="6" type="Hiragana"/>
  </si>
  <si>
    <t>バーティカルジャンプ７０</t>
  </si>
  <si>
    <t>バーティカルジャンプ８０</t>
  </si>
  <si>
    <t>第一：</t>
  </si>
  <si>
    <t>制限タイム</t>
  </si>
  <si>
    <t>第二：</t>
  </si>
  <si>
    <t>（H９０cm）</t>
  </si>
  <si>
    <t>（H１００cm）</t>
  </si>
  <si>
    <t>（H７０cm垂直）</t>
  </si>
  <si>
    <t>Ｌ－Ａ級障害飛越競技</t>
  </si>
  <si>
    <t>Ｌ－Ｂ級障害飛越競技</t>
  </si>
  <si>
    <t>（H８０cm垂直）</t>
  </si>
  <si>
    <t>中障害D</t>
    <phoneticPr fontId="6"/>
  </si>
  <si>
    <t>中障害C</t>
    <phoneticPr fontId="6"/>
  </si>
  <si>
    <r>
      <t>フジ中障害Bファイナル（</t>
    </r>
    <r>
      <rPr>
        <b/>
        <sz val="10"/>
        <rFont val="ＭＳ ゴシック"/>
        <family val="3"/>
        <charset val="128"/>
      </rPr>
      <t>二</t>
    </r>
    <r>
      <rPr>
        <b/>
        <sz val="10"/>
        <rFont val="ＭＳ ゴシック"/>
        <family val="3"/>
      </rPr>
      <t>段階）</t>
    </r>
    <rPh sb="2" eb="5">
      <t>チュウショウガイ</t>
    </rPh>
    <rPh sb="12" eb="13">
      <t>2</t>
    </rPh>
    <rPh sb="13" eb="15">
      <t>ダンカイ</t>
    </rPh>
    <phoneticPr fontId="6"/>
  </si>
  <si>
    <r>
      <t>フジ中障害飛越競技Cファイナル（</t>
    </r>
    <r>
      <rPr>
        <b/>
        <sz val="10"/>
        <rFont val="ＭＳ ゴシック"/>
        <family val="3"/>
        <charset val="128"/>
      </rPr>
      <t>二段階）</t>
    </r>
    <rPh sb="16" eb="17">
      <t>2</t>
    </rPh>
    <rPh sb="17" eb="19">
      <t>ダンカイ</t>
    </rPh>
    <phoneticPr fontId="6"/>
  </si>
  <si>
    <t>M-C級障害飛越競技</t>
    <rPh sb="3" eb="4">
      <t>キュウ</t>
    </rPh>
    <rPh sb="4" eb="6">
      <t>ショウガイ</t>
    </rPh>
    <rPh sb="6" eb="8">
      <t>ヒエツ</t>
    </rPh>
    <rPh sb="8" eb="10">
      <t>キョウギ</t>
    </rPh>
    <phoneticPr fontId="6"/>
  </si>
  <si>
    <r>
      <t>フジ中障害飛越競技Dファイナル（</t>
    </r>
    <r>
      <rPr>
        <b/>
        <sz val="10"/>
        <rFont val="ＭＳ ゴシック"/>
        <family val="3"/>
        <charset val="128"/>
      </rPr>
      <t>二段階）</t>
    </r>
    <rPh sb="2" eb="9">
      <t>チュウショウガイヒエツキョウギ</t>
    </rPh>
    <rPh sb="16" eb="17">
      <t>2</t>
    </rPh>
    <rPh sb="17" eb="19">
      <t>ダンカイ</t>
    </rPh>
    <phoneticPr fontId="6"/>
  </si>
  <si>
    <t>中障害Ｂ</t>
    <rPh sb="0" eb="3">
      <t>チュウショウガイ</t>
    </rPh>
    <phoneticPr fontId="6"/>
  </si>
  <si>
    <t>-</t>
    <phoneticPr fontId="6"/>
  </si>
  <si>
    <t>下見時間</t>
    <rPh sb="0" eb="4">
      <t>シタミジカン</t>
    </rPh>
    <phoneticPr fontId="6"/>
  </si>
  <si>
    <t>競技開始時間</t>
    <rPh sb="0" eb="6">
      <t>キョウギカイシジカン</t>
    </rPh>
    <phoneticPr fontId="6"/>
  </si>
  <si>
    <t>～</t>
    <phoneticPr fontId="6"/>
  </si>
  <si>
    <t>賞典</t>
    <rPh sb="0" eb="2">
      <t>ショウテン</t>
    </rPh>
    <phoneticPr fontId="6"/>
  </si>
  <si>
    <t>１位</t>
    <rPh sb="1" eb="2">
      <t>イ</t>
    </rPh>
    <phoneticPr fontId="6"/>
  </si>
  <si>
    <t>30000円</t>
    <rPh sb="5" eb="6">
      <t>エン</t>
    </rPh>
    <phoneticPr fontId="6"/>
  </si>
  <si>
    <t>２位</t>
    <rPh sb="1" eb="2">
      <t>イ</t>
    </rPh>
    <phoneticPr fontId="6"/>
  </si>
  <si>
    <t>20000円</t>
    <rPh sb="5" eb="6">
      <t>エン</t>
    </rPh>
    <phoneticPr fontId="6"/>
  </si>
  <si>
    <t>３位</t>
    <rPh sb="1" eb="2">
      <t>イ</t>
    </rPh>
    <phoneticPr fontId="6"/>
  </si>
  <si>
    <t>４位</t>
    <rPh sb="1" eb="2">
      <t>イ</t>
    </rPh>
    <phoneticPr fontId="6"/>
  </si>
  <si>
    <t>５位</t>
    <rPh sb="1" eb="2">
      <t>イ</t>
    </rPh>
    <phoneticPr fontId="6"/>
  </si>
  <si>
    <t>※2の開始時間は前競技が終了し、場内整備の後、競技を開始いたします。</t>
  </si>
  <si>
    <t>60000円</t>
    <rPh sb="5" eb="6">
      <t>エン</t>
    </rPh>
    <phoneticPr fontId="6"/>
  </si>
  <si>
    <t>35000円</t>
    <rPh sb="5" eb="6">
      <t>エン</t>
    </rPh>
    <phoneticPr fontId="6"/>
  </si>
  <si>
    <t>25000円</t>
    <rPh sb="5" eb="6">
      <t>エン</t>
    </rPh>
    <phoneticPr fontId="6"/>
  </si>
  <si>
    <t>16000円</t>
    <rPh sb="5" eb="6">
      <t>エン</t>
    </rPh>
    <phoneticPr fontId="6"/>
  </si>
  <si>
    <t>70000円</t>
    <rPh sb="5" eb="6">
      <t>エン</t>
    </rPh>
    <phoneticPr fontId="6"/>
  </si>
  <si>
    <t>40000円</t>
    <rPh sb="5" eb="6">
      <t>エン</t>
    </rPh>
    <phoneticPr fontId="6"/>
  </si>
  <si>
    <t>18000円</t>
    <rPh sb="5" eb="6">
      <t>エン</t>
    </rPh>
    <phoneticPr fontId="6"/>
  </si>
  <si>
    <t>80000円</t>
    <rPh sb="5" eb="6">
      <t>エン</t>
    </rPh>
    <phoneticPr fontId="6"/>
  </si>
  <si>
    <t>45000円</t>
    <rPh sb="5" eb="6">
      <t>エン</t>
    </rPh>
    <phoneticPr fontId="6"/>
  </si>
  <si>
    <t>200000円</t>
    <rPh sb="6" eb="7">
      <t>エン</t>
    </rPh>
    <phoneticPr fontId="6"/>
  </si>
  <si>
    <t>150000円</t>
    <rPh sb="6" eb="7">
      <t>エン</t>
    </rPh>
    <phoneticPr fontId="6"/>
  </si>
  <si>
    <t>　※2の開始時間は前競技が終了し、場内整備の後、競技を開始いたします。</t>
  </si>
  <si>
    <t>OPEN</t>
    <phoneticPr fontId="6"/>
  </si>
  <si>
    <t>前競技同時</t>
    <rPh sb="0" eb="1">
      <t>ゼン</t>
    </rPh>
    <rPh sb="1" eb="3">
      <t>キョウギ</t>
    </rPh>
    <rPh sb="3" eb="5">
      <t>ドウジ</t>
    </rPh>
    <phoneticPr fontId="6"/>
  </si>
  <si>
    <t>前競技同時</t>
    <rPh sb="0" eb="5">
      <t>ゼンキョウギドウジ</t>
    </rPh>
    <phoneticPr fontId="6"/>
  </si>
  <si>
    <t>※2</t>
    <phoneticPr fontId="6"/>
  </si>
  <si>
    <t>ヴェルザZ</t>
  </si>
  <si>
    <t>クィディッチ</t>
  </si>
  <si>
    <t>藤本　光国</t>
  </si>
  <si>
    <t>藤本　花乃子</t>
  </si>
  <si>
    <t>フリーデンティアモ</t>
  </si>
  <si>
    <t>カサノバ・H</t>
  </si>
  <si>
    <t>ウィレム・ファーイースト</t>
  </si>
  <si>
    <t>レディー・アリス</t>
  </si>
  <si>
    <t>ダノンエール</t>
  </si>
  <si>
    <t>ベルナルドI</t>
  </si>
  <si>
    <t>ウィングマン</t>
  </si>
  <si>
    <t>グランドキャニオン</t>
  </si>
  <si>
    <t>クリアカットエクストリームWS</t>
  </si>
  <si>
    <t>ハックルベリーWS</t>
  </si>
  <si>
    <t>クランベリーWS</t>
  </si>
  <si>
    <t>マジカルスペル</t>
  </si>
  <si>
    <t>シークレットパス</t>
  </si>
  <si>
    <t>ブレイヴスターズofヤス</t>
  </si>
  <si>
    <t>ハイペリオンKG</t>
  </si>
  <si>
    <t>アレックス・エ・ヴェルテュ</t>
  </si>
  <si>
    <t>マブルーク</t>
  </si>
  <si>
    <t>オレンジペコ</t>
  </si>
  <si>
    <t>ローゼスドリーム</t>
  </si>
  <si>
    <t>サクソンブルー</t>
  </si>
  <si>
    <t>岡本　雅海</t>
  </si>
  <si>
    <t>ヴェロニカバンビ</t>
  </si>
  <si>
    <t>ハイネケン</t>
  </si>
  <si>
    <t>増山　大治郎</t>
  </si>
  <si>
    <t>ア・ガール・ドゥ・シャヴァノン</t>
  </si>
  <si>
    <t>シャーリーベル</t>
  </si>
  <si>
    <t>メッサリーナPS</t>
  </si>
  <si>
    <t>カマロンSH</t>
  </si>
  <si>
    <t>林　忠義</t>
  </si>
  <si>
    <t>武田　京夏</t>
  </si>
  <si>
    <t>オーロラボレアリス</t>
  </si>
  <si>
    <t>ミスティックレディー</t>
  </si>
  <si>
    <t>ハギノグラミー</t>
  </si>
  <si>
    <t>ホワイトユニコーン</t>
  </si>
  <si>
    <t>鈴木　裕介</t>
  </si>
  <si>
    <t>スプレンディッド・アーク</t>
  </si>
  <si>
    <t>マデスカ</t>
  </si>
  <si>
    <t>ウィルオー・ザ・ウィスプT</t>
  </si>
  <si>
    <t>ベルムスボーイ</t>
  </si>
  <si>
    <t>佐藤　賢希</t>
  </si>
  <si>
    <t>ハッピーアルシス</t>
  </si>
  <si>
    <t>エイツ</t>
  </si>
  <si>
    <t>カッサイW</t>
  </si>
  <si>
    <t>ブラジルデリバーランド</t>
  </si>
  <si>
    <t>クーパーS</t>
  </si>
  <si>
    <t>シーバスリーガル</t>
  </si>
  <si>
    <t>コラミー</t>
  </si>
  <si>
    <t>ブロフSZ</t>
  </si>
  <si>
    <t>エクスポートZ</t>
  </si>
  <si>
    <t>シーラヴェンデル</t>
  </si>
  <si>
    <t>ハヤテ・ペガサス</t>
  </si>
  <si>
    <t>クリノストロング</t>
  </si>
  <si>
    <t>オデソン</t>
  </si>
  <si>
    <t>オデヴィ</t>
  </si>
  <si>
    <t>シェアハピネス</t>
  </si>
  <si>
    <t>ワイモンド</t>
  </si>
  <si>
    <t>カヌニック</t>
  </si>
  <si>
    <t>チェスターB</t>
  </si>
  <si>
    <t>ジェリコSLS</t>
  </si>
  <si>
    <t>バロックパール</t>
  </si>
  <si>
    <t>アレクセイ</t>
  </si>
  <si>
    <t>ディープボーイ</t>
  </si>
  <si>
    <t>ファストエモーションZ</t>
  </si>
  <si>
    <t>クラバット</t>
  </si>
  <si>
    <t>前競技同時</t>
    <rPh sb="0" eb="3">
      <t>ゼンキョウギ</t>
    </rPh>
    <rPh sb="3" eb="5">
      <t>ドウジ</t>
    </rPh>
    <phoneticPr fontId="6"/>
  </si>
  <si>
    <t>※２</t>
    <phoneticPr fontId="6"/>
  </si>
  <si>
    <t>川口　大輔</t>
  </si>
  <si>
    <t>Ｍ－Ｄ級障害飛越競技</t>
    <phoneticPr fontId="6"/>
  </si>
  <si>
    <t>B</t>
  </si>
  <si>
    <t>A</t>
  </si>
  <si>
    <t>30169|静岡県|伊藤　壽梨|イトウ　ジュリ</t>
  </si>
  <si>
    <t>28711|埼玉県|大和田　啓太|オオワダ　ケイタ</t>
  </si>
  <si>
    <t>23529|静岡県|鈴木　裕介|スズキ　ユウスケ</t>
  </si>
  <si>
    <t>32929|長野県|佐々木　清彪|ササキ　キヨト</t>
  </si>
  <si>
    <t>33250|長野県|渋谷　智子|シブヤ　トモコ</t>
  </si>
  <si>
    <t>31710|大阪府|鈴木　恵子|スズキ　ケイコ</t>
  </si>
  <si>
    <t>32398|静岡県|緒方　あずさ|オガタ　アズサ</t>
  </si>
  <si>
    <t>306|山梨県|平林　小秋|ヒラバヤシ　チアキ</t>
  </si>
  <si>
    <t>24426|千葉県|山口　千明|ヤマグチ　チアキ</t>
  </si>
  <si>
    <t>29138|東京都|山田　なつみ|ヤマダ　ナツミ</t>
  </si>
  <si>
    <t>29084|千葉県|吉野　真奈|ヨシノ　マナ</t>
  </si>
  <si>
    <t>26463|岐阜県|緋田　碧|アケダ　ミドリ</t>
  </si>
  <si>
    <t>25436|京都府|小塩　涼子|コシオ　リョウコ</t>
  </si>
  <si>
    <t>5901|千葉県|海宝　久敬|カイホウ　ヒサタカ</t>
  </si>
  <si>
    <t>33054|神奈川|宇賀田　侑吏|ウガタ　ユウリ</t>
  </si>
  <si>
    <t>28702|埼玉県|江黒　徹|エグロ　トオル</t>
  </si>
  <si>
    <t>10211|埼玉県|神尾　宏|カミオ　ヒロシ</t>
  </si>
  <si>
    <t>27306|山梨県|服部　ちえ|ハットリ　チエ</t>
  </si>
  <si>
    <t>28432|神奈川|長谷川　晶子|ハセガワ　キララコ</t>
  </si>
  <si>
    <t>28433|神奈川|長谷川　晶大|ハセガワ　ショウタ</t>
  </si>
  <si>
    <t>16391|栃木県|広田　思乃|ヒロタ　シノ</t>
  </si>
  <si>
    <t>29308|栃木県|広田　大和|ヒロタ　ヤマト</t>
  </si>
  <si>
    <t>6082|栃木県|広田　龍馬|ヒロタ　リュウマ</t>
  </si>
  <si>
    <t>24142|栃木県|本津　浩美|ホンヅ　ヒロミ</t>
  </si>
  <si>
    <t>22984|東京都|伊東　佳菜子|イトウ　カナコ</t>
  </si>
  <si>
    <t>1213|東京都|斉藤　比佐郎|サイトウ　ヒサオ</t>
  </si>
  <si>
    <t>23984|東京都|宍戸　由利恵|シシド　ユリエ</t>
  </si>
  <si>
    <t>16854|東京都|篠原　正紀|シノハラ　マサノリ</t>
  </si>
  <si>
    <t>20115|東京都|下平　和久|シモダイラ　カズヒサ</t>
  </si>
  <si>
    <t>26734|東京都|瀬川　裕哉|セガワ　ユウヤ</t>
  </si>
  <si>
    <t>26916|東京都|友江　俊宏|トモエ　トシヒロ</t>
  </si>
  <si>
    <t>22520|岐阜県|永井　なつみ|ナガイ　ナツミ</t>
  </si>
  <si>
    <t>25345|岐阜県|永井　めぐみ|ナガイ　メグミ</t>
  </si>
  <si>
    <t>28630|山梨県|北條　伸子|ホウジョウ　ノブコ</t>
  </si>
  <si>
    <t>329|東京都|細野　茂之|ホソノ　シゲユキ</t>
  </si>
  <si>
    <t>25140|北海道|景山　朋昌|カゲヤマ　トモアキ</t>
  </si>
  <si>
    <t>15048|静岡県|中島　康宏|ナカジマ　ヤスヒロ</t>
  </si>
  <si>
    <t>11802|山梨県|西塚　建二|ニシヅカ　ケンジ</t>
  </si>
  <si>
    <t>26454|東京都|中込　樹|ナカゴミ　ミキ</t>
  </si>
  <si>
    <t>21115|福井県|政兼　隆|マサカネ　タカシ</t>
  </si>
  <si>
    <t>14681|福井県|政兼　実佳|マサカネ　ミカ</t>
  </si>
  <si>
    <t>11745|福井県|吉村　英喜|ヨシムラ　ヒデキ</t>
  </si>
  <si>
    <t>9588|宮城県|鈴木　嘉憲|スズキ　ヨシノリ</t>
  </si>
  <si>
    <t>26813|宮城県|松永　佳子|マツナガ　ヨシコ</t>
  </si>
  <si>
    <t>31693|山梨県|宮嶋　大和|ミヤジマ　ヤマト</t>
  </si>
  <si>
    <t>26539|愛知県|上田　和昇|ウエダ　カズノリ</t>
  </si>
  <si>
    <t>28073|愛知県|岡田　華穂|オカダ　カホ</t>
  </si>
  <si>
    <t>29828|愛知県|落合　希美|オチアイ　ノゾミ</t>
  </si>
  <si>
    <t>25967|愛知県|清水　茜|シミズ　アカネ</t>
  </si>
  <si>
    <t>16678|愛知県|吉川　正人|ヨシカワ　マサト</t>
  </si>
  <si>
    <t>28719|岐阜県|石川　隼|イシカワ　ハヤト</t>
  </si>
  <si>
    <t>28066|愛知県|紙本　萌々|カミモト　モモ</t>
  </si>
  <si>
    <t>10660|愛知県|高橋　信代|タカハシ　ノブヨ</t>
  </si>
  <si>
    <t>2287|三重県|杉崎　一美|スギサキ　ヒトミ</t>
  </si>
  <si>
    <t>5939|三重県|中村　勇|ナカムラ　イサム</t>
  </si>
  <si>
    <t>2306|三重県|中村　洋子|ナカムラ　ヨウコ</t>
  </si>
  <si>
    <t>21093|東京都|池田　耀子|イケダ　ヨウコ</t>
  </si>
  <si>
    <t>25586|大阪府|大久保　渓|オオクボ　ケイ</t>
  </si>
  <si>
    <t>29395|大阪府|加藤　諒大|カトウ　リョウタ</t>
  </si>
  <si>
    <t>26226|滋賀県|小牧　加矢太|コマキ　カヤタ</t>
  </si>
  <si>
    <t>25377|千葉県|田中　加代子|タナカ　カヨコ</t>
  </si>
  <si>
    <t>18082|公益社団法人 日本馬術連盟|田中　宗樹|タナカ　ムネキ</t>
  </si>
  <si>
    <t>1384|千葉県|林　忠義|ハヤシ　タダヨシ</t>
  </si>
  <si>
    <t>18717|千葉県|林　義昌|ハヤシ　ヨシマサ</t>
  </si>
  <si>
    <t>13305|千葉県|平沢　康治|ヒラサワ　コウジ</t>
  </si>
  <si>
    <t>25871|千葉県|目黒　憲史|メグロ　ノリフミ</t>
  </si>
  <si>
    <t>965|福島県|菅野　仁|カンノ　ジン</t>
  </si>
  <si>
    <t>24357|東京都|佐々　紫苑|サッサ　シオン</t>
  </si>
  <si>
    <t>10562|長野県|佐藤　賢希|サトウ　ケンキ</t>
  </si>
  <si>
    <t>28346|東京都|秋葉　大地|アキバ　ダイチ</t>
  </si>
  <si>
    <t>7398|福島県|秋葉　友勝|アキバ　トモカツ</t>
  </si>
  <si>
    <t>16332|山形県|二位関　尭|ニイゼキ　ユタカ</t>
  </si>
  <si>
    <t>17996|山形県|渡邉　瀬奈|ワタナベ　セナ</t>
  </si>
  <si>
    <t>20386|茨城県|須田　翼|スダ　ツバサ</t>
  </si>
  <si>
    <t>28039|茨城県|野澤　友梨有|ノザワ　ユリア</t>
  </si>
  <si>
    <t>30059|東京都|山田　翔大|ヤマダ　ショウタ</t>
  </si>
  <si>
    <t>13141|静岡県|川口　大輔|カワグチ　ダイスケ</t>
  </si>
  <si>
    <t>1800|静岡県|川口　雅美|カワグチ　マサミ</t>
  </si>
  <si>
    <t>15756|神奈川|山野　百合花|ヤマノ　ユリカ</t>
  </si>
  <si>
    <t>25962|静岡県|田中　萌|タナカ　モエ</t>
  </si>
  <si>
    <t>バロックパール|東武乗馬クラブ＆クレイン|58979|バロックパール</t>
  </si>
  <si>
    <t>ハッピーアルシス|明松寺馬事公苑|59796|ハッピーアルシス</t>
  </si>
  <si>
    <t>ラファリオ|パロミノ・ポニークラブ|58659|ラファリオ</t>
  </si>
  <si>
    <t>ラファリオ</t>
  </si>
  <si>
    <t>瑞龍|明松寺馬事公苑|55129|ズイリュウ</t>
  </si>
  <si>
    <t>セシルK|上村乗馬苑|56795|セシルケー</t>
  </si>
  <si>
    <t>セシルK</t>
  </si>
  <si>
    <t>ボンプー|那須トレーニングファーム|56009|ボンプー</t>
  </si>
  <si>
    <t>ルクソールⅢ|ステーブル小淵沢|52862|ルクソールサード</t>
  </si>
  <si>
    <t>ショコラティエ|タケナカファーム|53913|ショコラティエ</t>
  </si>
  <si>
    <t>ナイトムーブス|ホースファームエルミオーレ豊田|56703|ナイトムーブス</t>
  </si>
  <si>
    <t>キング　オブ　パイレーツ|ドレッサージュ・ステーブル・テルイ|55610|キングオブパイレーツ</t>
  </si>
  <si>
    <t>サンダーバード|那須トレーニングファーム|57022|サンダーバード</t>
  </si>
  <si>
    <t>プランス・エトワール・クリスタル|アシェンダ乗馬学校|56681|プランスエトワールクリスタル</t>
  </si>
  <si>
    <t>ライフ・イズ・ビューティフル|那須トレーニングファーム|54903|ライフイズビューティフル</t>
  </si>
  <si>
    <t>センシュアリティ|ニューオリンピッククラブ宝馬乗馬学校|56221|センシュアリティ</t>
  </si>
  <si>
    <t>タケルブラック|岡山乗馬倶楽部|58279|タケルブラック</t>
  </si>
  <si>
    <t>タケルブラック</t>
  </si>
  <si>
    <t>ゴントラン|ゼンライディングクラブ|58460|ゴントラン</t>
  </si>
  <si>
    <t>ゴントラン</t>
  </si>
  <si>
    <t>ヴァイスハイト|八王子乗馬倶楽部|55846|ヴァイスハイト</t>
  </si>
  <si>
    <t>スカイH|八王子乗馬倶楽部|54698|スカイエイチ</t>
  </si>
  <si>
    <t>ブルーキッド|八王子乗馬倶楽部|54271|ブルーキッド</t>
  </si>
  <si>
    <t>ヨハンS|八王子乗馬倶楽部|56737|ヨハンエス</t>
  </si>
  <si>
    <t>ブラックボーイ|駿ホースクラブ|54787|ブラックボーイ</t>
  </si>
  <si>
    <t>アザモア|福井ホースパーク|56437|アザモア</t>
  </si>
  <si>
    <t>エイプリルズパラント|福井ホースパーク|56942|エイプリルズパラント</t>
  </si>
  <si>
    <t>マラドーナ|福井ホースパーク|56943|マラドーナ</t>
  </si>
  <si>
    <t>シャルムールZ|Bell Stable|57302|シャルムールゼット</t>
  </si>
  <si>
    <t>LPギニウス|stable comfy|54821|エルピーギニウス</t>
  </si>
  <si>
    <t>LPギニウス</t>
  </si>
  <si>
    <t>カヴィア・ドゥ・ウィンシアZ|stable comfy|56776|カヴィアドゥウィンシアゼット</t>
  </si>
  <si>
    <t>タルーベット|stable comfy|55681|タルーベット</t>
  </si>
  <si>
    <t>フローリン|やまがた乗馬クラブ|55817|フローリン</t>
  </si>
  <si>
    <t>MR.ジーコ|中京大学馬術サークル|55572|エムアールジーコ</t>
  </si>
  <si>
    <t>バックス・バローロ|ホースファームエルミオーレ三河高原|54989|バックスバローロ</t>
  </si>
  <si>
    <t>ヴェスパS|蒜山ホースパーク|54968|ヴェスパエス</t>
  </si>
  <si>
    <t>ヴォードヴィル|北総乗馬クラブ|53498|ヴォードヴィル</t>
  </si>
  <si>
    <t>エイブルブラッド|日本獣医生命科学大学馬術部|57131|エイブルブラッド</t>
  </si>
  <si>
    <t>クゥエンティン|北総乗馬クラブ|57460|クゥエンティン</t>
  </si>
  <si>
    <t>クラウディウス|ライディングクラブフジファーム|55362|クラウディウス</t>
  </si>
  <si>
    <t>ツェレーノ|公益社団法人神戸乗馬倶楽部|56690|ツェレーノ</t>
  </si>
  <si>
    <t>ナヴラス|ナルタ牧場|56286|ナヴラス</t>
  </si>
  <si>
    <t>ホワイトウィナーⅡ|北総乗馬クラブ|50954|ホワイトウィナーセカンド</t>
  </si>
  <si>
    <t>黒姫|明松寺馬事公苑|55570|クロヒメ</t>
  </si>
  <si>
    <t>アラジン・カンペルト|日本大学馬術部|55733|アラジンカンペルト</t>
  </si>
  <si>
    <t>アラジン・カンペルト</t>
  </si>
  <si>
    <t>フェラーリ|ホースランチ KYRA|57109|フェラーリ</t>
  </si>
  <si>
    <t>サムライブルー|ライディングクラブフジファーム|56296|サムライブルー</t>
  </si>
  <si>
    <t>ミスロビン|上田乗馬倶楽部|59021|ミスロビン</t>
  </si>
  <si>
    <t>12159|茨城県|増山　大治郎|マシヤマ　ダイジロウ</t>
  </si>
  <si>
    <t>32787|埼玉県|吉岡　容子|ヨシオカ　ヨウコ</t>
  </si>
  <si>
    <t>31690|静岡県|堀内　志奈|ホリウチ　シナ</t>
  </si>
  <si>
    <t>33053|千葉県|松浦　弘子|マツウラ　ヒロコ</t>
  </si>
  <si>
    <t>サクソンブルー|岡本ライディングクラブJAPAN|59650|サクソンブルー</t>
  </si>
  <si>
    <t>ベルナルドI|乗馬クラブクレイン伊奈|58347|ベルナルドアイ</t>
  </si>
  <si>
    <t>33330|茨城県|増山　そら|マシヤマ　ソラ</t>
  </si>
  <si>
    <t>28381|埼玉県|本田　すみれ|ホンダ　スミレ</t>
  </si>
  <si>
    <t>30373|静岡県|星野　眞也子|ホシノ　マヤコ</t>
  </si>
  <si>
    <t>32786|埼玉県|高橋　雅楽|タカハシ　ミウラ</t>
  </si>
  <si>
    <t>もみじM|公益社団法人神戸乗馬倶楽部|57094|モミジマンジュウ</t>
  </si>
  <si>
    <t>もみじM</t>
  </si>
  <si>
    <t>ホワイトユニコーン|大瀧馬事苑|60744|ホワイトユニコーン</t>
  </si>
  <si>
    <t>チェスターB|パロミノ・ポニークラブ|57478|チェスタービー</t>
  </si>
  <si>
    <t>マジカルスペル|日本中央競馬会東京競馬場|60987|マジカルスペル</t>
  </si>
  <si>
    <t>ダノンエール|乗馬クラブクレイン伊奈|57349|ダノンエール</t>
  </si>
  <si>
    <t>シークレットパス|日本中央競馬会東京競馬場|59546|シークレットパス</t>
  </si>
  <si>
    <t>1541|神奈川|池田　弘彰|イケダ　ヒロアキ</t>
  </si>
  <si>
    <t>33124|福島県|永峯　聖正|ナガミネ　ショウマ</t>
  </si>
  <si>
    <t>31991|静岡県|溝口　莉沙|ミゾグチ　リサ</t>
  </si>
  <si>
    <t>31288|山梨県|西塚　心咲|ニシヅカ　ミサキ</t>
  </si>
  <si>
    <t>17971|静岡県|弘岡　明夢|ヒロオカ　アケム</t>
  </si>
  <si>
    <t>33374|福島県|中村　秋|ナカムラ　アキ</t>
  </si>
  <si>
    <t>32215|静岡県|明渡　則和|アケド　ノリカズ</t>
  </si>
  <si>
    <t>33397|山梨県|福嶋　翔音|フクシマ　ショオン</t>
  </si>
  <si>
    <t>31794|静岡県|高間　智子|タカマ　トモコ</t>
  </si>
  <si>
    <t>33125|福島県|矢内　玖俐歩|ヤナイ　クリフ</t>
  </si>
  <si>
    <t>32667|東京都|深川　健|フカガワ　タケシ</t>
  </si>
  <si>
    <t>6477|東京都|宇佐美　暁|ウサミ　サトシ</t>
  </si>
  <si>
    <t>33052|千葉県|松浦　英一|マツウラ　エイイチ</t>
  </si>
  <si>
    <t>13449|静岡県|木下　仁|キノシタ　ヒトシ</t>
  </si>
  <si>
    <t>スプレンディッド・アーク|北駿ホースヴィラ|60111|スプレンディッドアーク</t>
  </si>
  <si>
    <t>ハックルベリーWS|ファナウステーブル|61123|ハックルベリーダブルエス</t>
  </si>
  <si>
    <t>フリーデンティアモ|乗馬クラブニューシーズン御殿場|53980|フリーデンティアモ</t>
  </si>
  <si>
    <t>ハギノグラミー|福島大学馬術部|56840|ハギノグラミー</t>
  </si>
  <si>
    <t>ローゼスドリーム|オリエント馬事センター|57652|ローゼスドリーム</t>
  </si>
  <si>
    <t>ディープボーイ|ステーブル　クリアラウンド|58108|ディープボーイ</t>
  </si>
  <si>
    <t>ヴェロニカバンビ|岡本ライディングクラブJAPAN|58663|ヴェロニカバンビ</t>
  </si>
  <si>
    <t>クランベリーWS|ファナウステーブル|58674|クランベリーダブルエス</t>
  </si>
  <si>
    <t>マデスカ|北駿ホースヴィラ|60944|マデスカ</t>
  </si>
  <si>
    <t>ジャスミンM|STAR HORSES|60081|ジャスミンエム</t>
  </si>
  <si>
    <t>ジャスミンM</t>
  </si>
  <si>
    <t>ハイネケン|成田乗馬クラブ|59064|ハイネケン</t>
  </si>
  <si>
    <t>27696|東京都|矢田　祐基|ヤタ　ユウキ</t>
  </si>
  <si>
    <t>29499|千葉県|石丸　千愛季|イシマル　チアキ</t>
  </si>
  <si>
    <t>21029|千葉県|中山　梨絵|ナカヤマ　リエ</t>
  </si>
  <si>
    <t>9323|神奈川|草薙　達也|クサナギ　タツヤ</t>
  </si>
  <si>
    <t>23076|長野県|平芳　泰|ヒラヨシ　タエ</t>
  </si>
  <si>
    <t>18386|茨城県|古田　慶幸|フルタ　ヨシユキ</t>
  </si>
  <si>
    <t>14856|千葉県|福島　章|フクシマ　アヤ</t>
  </si>
  <si>
    <t>8082|栃木県|増山　誠倫|マシヤマ　タカミチ</t>
  </si>
  <si>
    <t>13918|東京都|宇都宮　誉司|ウツノミヤ　タカシ</t>
  </si>
  <si>
    <t>24931|新潟県|阿部　尊留|アベ　タケル</t>
  </si>
  <si>
    <t>22328|静岡県|江田　しおり|エダ　シオリ</t>
  </si>
  <si>
    <t>25761|東京都|鯨岡　啓輔|クジラオカ　ケイスケ</t>
  </si>
  <si>
    <t>18834|静岡県|藤本　光国|フジモト　ミツクニ</t>
  </si>
  <si>
    <t>ブレイヴスターズofヤス|那須トレーニングファーム|59250|ブレイヴスターズオブヤス</t>
  </si>
  <si>
    <t>カッサイW|日本中央競馬会馬事公苑|60255|カッサイダブリュー</t>
  </si>
  <si>
    <t>オデソン|日本中央競馬会競馬学校|61008|オデソン</t>
  </si>
  <si>
    <t>ミスティックレディー|北総乗馬クラブ|60415|ミスティックレディー</t>
  </si>
  <si>
    <t>クラバット|座間近代乗馬クラブ|56402|クラバット</t>
  </si>
  <si>
    <t>兀地|明松寺馬事公苑|59353|ゴッチ</t>
  </si>
  <si>
    <t>兀地</t>
  </si>
  <si>
    <t>ア・ガール・ドゥ・シャヴァノン|筑波スカイラインスティーブル|58807|アガールドゥシャヴァノン</t>
  </si>
  <si>
    <t>メッサリーナPS|STAR HORSES|59965|メッサリーナピーエス</t>
  </si>
  <si>
    <t>廬山|小山乗馬クラブ|60750|ロザン</t>
  </si>
  <si>
    <t>廬山</t>
  </si>
  <si>
    <t>ヴェルザZ|Stal Liberty|58338|ヴェルザゼット</t>
  </si>
  <si>
    <t>オデヴィ|日本中央競馬会競馬学校|61007|オデヴィ</t>
  </si>
  <si>
    <t>ウィレム・ファーイースト|OISO乗馬クラブ|59771|ウィレムファーイースト</t>
  </si>
  <si>
    <t>シーラヴェンデル|ペガサス乗馬クラブ|59397|シーラヴェンデル</t>
  </si>
  <si>
    <t>クリアカットエクストリームWS|ファナウステーブル|59963|クリアカットエクストリームダブルエス</t>
  </si>
  <si>
    <t>ハイペリオンKG|那須トレーニングファーム|59711|ハイペリオンケージー</t>
  </si>
  <si>
    <t>ブラジルデリバーランド|日本中央競馬会馬事公苑|60923|ブラジルデリバーランド</t>
  </si>
  <si>
    <t>シェアハピネス|日本中央競馬会競馬学校|60223|シェアハピネス</t>
  </si>
  <si>
    <t>27610|東京都|原　理沙子|ハラ　リサコ</t>
  </si>
  <si>
    <t>22560|千葉県|玉井　優|タマイ　ユウ</t>
  </si>
  <si>
    <t>28000|東京都|吉田　ことみ|ヨシダ　コトミ</t>
  </si>
  <si>
    <t>27113|千葉県|木村　早希子|キムラ　サキコ</t>
  </si>
  <si>
    <t>20507|東京都|塚本　敏一|ツカモト　トシカツ</t>
  </si>
  <si>
    <t>26056|東京都|武田　京夏|タケダ　キョウカ</t>
  </si>
  <si>
    <t>23892|兵庫県|吉田　裕介|ヨシダ　ユウスケ</t>
  </si>
  <si>
    <t>21152|千葉県|朴本　真侑|ボクモト　マユ</t>
  </si>
  <si>
    <t>26776|千葉県|廣田　直哉|ヒロタ　ナオヤ</t>
  </si>
  <si>
    <t>5830|群馬県|角谷　秋吉|カクタニ　アキヨシ</t>
  </si>
  <si>
    <t>7270|千葉県|福島　大輔|フクシマ　ダイスケ</t>
  </si>
  <si>
    <t>10571|栃木県|増山　久佳|マシヤマ　ヒサカ</t>
  </si>
  <si>
    <t>30587|東京都|田村　駿|タムラ　シュン</t>
  </si>
  <si>
    <t>21955|東京都|安藤　淳子|アンドウ　ジュンコ</t>
  </si>
  <si>
    <t>25553|東京都|川端　俊哉|カワバタ　トシヤ</t>
  </si>
  <si>
    <t>25491|東京都|木村　彩子|キムラ　アヤコ</t>
  </si>
  <si>
    <t>21755|山梨県|澤田　千春|サワダ　チハル</t>
  </si>
  <si>
    <t>26579|東京都|神村　ひより|ジンムラ　ヒヨリ</t>
  </si>
  <si>
    <t>30226|東京都|髙松　優希|タカマツ　ユキ</t>
  </si>
  <si>
    <t>14325|北海道|林　伸伍|ハヤシ　シンゴ</t>
  </si>
  <si>
    <t>30227|東京都|古山　賀奈子|フルヤマ　カナコ</t>
  </si>
  <si>
    <t>30471|東京都|植田　将虎|ウエダ　ショウゴ</t>
  </si>
  <si>
    <t>29861|東京都|大山　紗季|オオヤマ　サキ</t>
  </si>
  <si>
    <t>223|東京都|武宮　匡宏|タケミヤ　タダヒロ</t>
  </si>
  <si>
    <t>27949|岡山県|原田　昂治|ハラダ　コウジ</t>
  </si>
  <si>
    <t>28128|埼玉県|柿﨑　絵理|カキザキ　エリ</t>
  </si>
  <si>
    <t>30086|埼玉県|齋藤　由香|サイトウ　ユカ</t>
  </si>
  <si>
    <t>29284|静岡県|浅井　杏佳|アサイ　キョウカ</t>
  </si>
  <si>
    <t>27497|静岡県|大島　那菜|オオシマ　ナナ</t>
  </si>
  <si>
    <t>5154|東京都|加藤　麻理子|カトウ　マリコ</t>
  </si>
  <si>
    <t>22504|静岡県|樹山　崇|キヤマ　タカシ</t>
  </si>
  <si>
    <t>25299|東京都|山口　真奈|ヤマグチ　マナ</t>
  </si>
  <si>
    <t>25647|静岡県|深川　由美子|フカガワ　ユミコ</t>
  </si>
  <si>
    <t>12093|静岡県|人見　美代子|ヒトミ　ミヨコ</t>
  </si>
  <si>
    <t>19572|静岡県|岡本　雅海|オカモト　マサミ</t>
  </si>
  <si>
    <t>30153|静岡県|平山　敦子|ヒラヤマ　アツコ</t>
  </si>
  <si>
    <t>18817|神奈川|平山　麻由子|ヒラヤマ　マユコ</t>
  </si>
  <si>
    <t>28444|静岡県|和泉　国彦|イズミ　クニヒコ</t>
  </si>
  <si>
    <t>4416|静岡県|村上　篤|ムラカミ　アツシ</t>
  </si>
  <si>
    <t>5665|静岡県|村上　万理|ムラカミ　マリ</t>
  </si>
  <si>
    <t>28144|静岡県|夏目　聖子|ナツメ　セイコ</t>
  </si>
  <si>
    <t>25486|神奈川|内藤　一洋|ナイトウ　カズヒロ</t>
  </si>
  <si>
    <t>5255|山梨県|野村　ひすい|ノムラ　ヒスイ</t>
  </si>
  <si>
    <t>5377|埼玉県|香月　尚子|カツキ　ナオコ</t>
  </si>
  <si>
    <t>30087|東京都|野尻　翔麻|ノジリ　ショウマ</t>
  </si>
  <si>
    <t>29609|静岡県|浅川　駿萬|アサカワ　シュンマ</t>
  </si>
  <si>
    <t>22492|静岡県|浅川　晴央|アサカワ　ハルチカ</t>
  </si>
  <si>
    <t>13880|静岡県|浅川　牧子|アサカワ　マキコ</t>
  </si>
  <si>
    <t>13879|静岡県|浅川　やゑ美|アサカワ　ヤエミ</t>
  </si>
  <si>
    <t>30642|静岡県|松岡　健心|マツオカ　ケンシン</t>
  </si>
  <si>
    <t>18291|東京都|樫木　俊|カシキ　シュン</t>
  </si>
  <si>
    <t>14726|神奈川|佐藤　忠伸|サトウ　タダノブ</t>
  </si>
  <si>
    <t>1626|静岡県|中馬　薫|チュウマ　カオル</t>
  </si>
  <si>
    <t>25255|静岡県|本多　保乃香|ホンダ　ホノカ</t>
  </si>
  <si>
    <t>3572|大阪府|村上　浩隆|ムラカミ　ヒロタカ</t>
  </si>
  <si>
    <t>3337|神奈川|杉本　隆雄|スギモト　タカオ</t>
  </si>
  <si>
    <t>29842|兵庫県|有賀　翔|アルガ　ショウ</t>
  </si>
  <si>
    <t>26703|東京都|名倉　賢人|ナグラ　ケント</t>
  </si>
  <si>
    <t>30279|神奈川|益永　ここ美|マスナガ　ココミ</t>
  </si>
  <si>
    <t>22488|茨城県|天谷　幸枝|アマガイ　サチエ</t>
  </si>
  <si>
    <t>25106|福岡県|仁田原　知毅|ニタハラ　トモキ</t>
  </si>
  <si>
    <t>26988|長野県|衛藤　みのり|エトウ　ミノリ</t>
  </si>
  <si>
    <t>9329|茨城県|井端　里佳子|イバタ　リカコ</t>
  </si>
  <si>
    <t>27715|東京都|河内　美怜|カワウチ　ミレイ</t>
  </si>
  <si>
    <t>20375|茨城県|仙波　勇|センバ　イサム</t>
  </si>
  <si>
    <t>22594|茨城県|土田　静佳|ツチダ　シズカ</t>
  </si>
  <si>
    <t>24356|長野県|佐々　ゆかり|サッサ　ユカリ</t>
  </si>
  <si>
    <t>27853|神奈川|杉本　瑞生|スギモト　ミズキ</t>
  </si>
  <si>
    <t>26692|長野県|大沢　暁音|オオサワ　アカネ</t>
  </si>
  <si>
    <t>25786|東京都|佐伯　俊彦|サエキ　トシヒコ</t>
  </si>
  <si>
    <t>カマロンSH|STAR HORSES|60949|カマロンエスエイチ</t>
  </si>
  <si>
    <t>ウィルオー・ザ・ウィスプT|ヴィルタスライディングクラブ|60068|ウィルオーザウィスプティ</t>
  </si>
  <si>
    <t>カヌニック|日本中央競馬会競馬学校|59757|カヌニック</t>
  </si>
  <si>
    <t>エクスポートZ|日本中央競馬会馬事公苑|60925|エクスポートゼット</t>
  </si>
  <si>
    <t>クリノストロング|乗馬クラブ　リバーサイドステーブル浜北|59502|クリノストロング</t>
  </si>
  <si>
    <t>コラミー|日本中央競馬会馬事公苑|58648|コラミー</t>
  </si>
  <si>
    <t>ウィングマン|小山乗馬クラブ|60439|ウィングマン</t>
  </si>
  <si>
    <t>ベルムスボーイ|明松寺馬事公苑|60501|ベルムスボーイ</t>
  </si>
  <si>
    <t>オーロラボレアリス|北総乗馬クラブ|56454|オーロラボレアリス</t>
  </si>
  <si>
    <t>レディー・アリス|バディーズランチ|60299|レディーアリス</t>
  </si>
  <si>
    <t>クィディッチ|Stal Liberty|59548|クィディッチ</t>
  </si>
  <si>
    <t>ハヤテ・ペガサス|ペガサス乗馬クラブ|58584|ハヤテペガサス</t>
  </si>
  <si>
    <t>エイツ|ダァーモスタッド|58426|エイツ</t>
  </si>
  <si>
    <t>アレックス・エ・ヴェルテュ|那須トレーニングファーム|59898|アレックスエヴェルテュ</t>
  </si>
  <si>
    <t>シャーリーベル|STAR HORSES|59342|シャーリーベル</t>
  </si>
  <si>
    <t>グランドキャニオン|小山乗馬クラブ|57819|グランドキャニオン</t>
  </si>
  <si>
    <t>ワイモンド|日本中央競馬会競馬学校|60368|ワイモンド</t>
  </si>
  <si>
    <t>ファストエモーションZ|座間近代乗馬クラブ|60262|ファストエモーションゼット</t>
  </si>
  <si>
    <t>ブロフSZ|日本中央競馬会馬事公苑|59567|ブロフエスゼット</t>
  </si>
  <si>
    <t>クーパーS|日本中央競馬会馬事公苑|59568|クーパーエス</t>
  </si>
  <si>
    <t>シーバスリーガル|日本中央競馬会馬事公苑|58649|シーバスリーガル</t>
  </si>
  <si>
    <t>ヴェラヌス|ドイツ|56165|ヴェラヌス</t>
  </si>
  <si>
    <t>ウスタルド・ディオール|アイリッシュアラン乗馬学校|57119|ウスタルドディオール</t>
  </si>
  <si>
    <t>ハディントン|アイリッシュアラン乗馬学校|58332|ハディントン</t>
  </si>
  <si>
    <t>バリシュニコフ|アイリッシュアラン乗馬学校|55370|バリシュニコフ</t>
  </si>
  <si>
    <t>ランドフィガロ|アイリッシュアラン乗馬学校|57624|ランドフィガロ</t>
  </si>
  <si>
    <t>ワイノット|アイリッシュアラン乗馬学校|57811|ワイノット</t>
  </si>
  <si>
    <t>カエジアル|アバロン・ ヒルサイドファーム|57525|カエジアル</t>
  </si>
  <si>
    <t>コンドクトロ|アバロン・ ヒルサイドファーム|58331|コンドクトロ</t>
  </si>
  <si>
    <t>オーキッドウィル|ウィル スタッド|59401|オーキッドウィル</t>
  </si>
  <si>
    <t>オーキッドウィル</t>
  </si>
  <si>
    <t>ミッドナイト|ヴィルタスライディングクラブ|56349|ミッドナイト</t>
  </si>
  <si>
    <t>ロイヤルブラン|ヴィルタスライディングクラブ|56199|ロイヤルブラン</t>
  </si>
  <si>
    <t>ソマレッロ|ELCドレッサージュチーム|55966|ソマレッロ</t>
  </si>
  <si>
    <t>キートス・サクラ|オリエント馬事センター|56664|キートスサクラ</t>
  </si>
  <si>
    <t>ニュートリノ|オリエント馬事センター|56499|ニュートリノ</t>
  </si>
  <si>
    <t>パブロフ|オリエント馬事センター|53781|パブロフ</t>
  </si>
  <si>
    <t>ハリーポッター・D|ライディングクラブフジファーム|57474|ハリーポッターディー</t>
  </si>
  <si>
    <t>鈴神楽|ドリームファーム|58873|スズカグラ</t>
  </si>
  <si>
    <t>鈴神楽</t>
  </si>
  <si>
    <t>TCCプロジェクト|コンチェルト・クリニック・センター|58131|ティーシーシープロジェクト</t>
  </si>
  <si>
    <t>TCCプロジェクト</t>
  </si>
  <si>
    <t>クラド|筑波スカイラインスティーブル|58228|クラド</t>
  </si>
  <si>
    <t>晴喜|静岡乗馬クラブ|57936|ハルキ</t>
  </si>
  <si>
    <t>晴喜</t>
  </si>
  <si>
    <t>ビーマイボーイ|静岡乗馬クラブ|56033|ビーマイボーイ</t>
  </si>
  <si>
    <t>フリーデンシャネル|株式会社TOMA　牧之原乗馬クラブ|56552|フリーデンシャネル</t>
  </si>
  <si>
    <t>アイティーバトル|乗馬クラブクレイン東京|56364|アイティーバトル</t>
  </si>
  <si>
    <t>カサノバ・H|乗馬クラブニューシーズン御殿場|56268|カサノバエイチ</t>
  </si>
  <si>
    <t>コンテッサ|ホースランド　ひがしせふり|56575|コンテッサ</t>
  </si>
  <si>
    <t>コンテッサ</t>
  </si>
  <si>
    <t>ベンツ|杉谷乗馬クラブ|56511|ベンツ</t>
  </si>
  <si>
    <t>エクセレンテ|Stable  FEDERA|57526|エクセレンテ</t>
  </si>
  <si>
    <t>ロレンジア|Stable  FEDERA|58118|ロレンジア</t>
  </si>
  <si>
    <t>カデット|パロミノ・ポニークラブ|58000|カデット</t>
  </si>
  <si>
    <t>フロム・ルシア・ウィズ・ラブ|パロミノ・ポニークラブ|58001|フロムルシアウィズラブ</t>
  </si>
  <si>
    <t>カスコ|福井ホースパーク|57469|カスコ</t>
  </si>
  <si>
    <t>チューリッヒ|福井ホースパーク|57470|チューリッヒ</t>
  </si>
  <si>
    <t>ル・ドンSP|福井ホースパーク|56436|ルドンエスピー</t>
  </si>
  <si>
    <t>アラモードZ|ホースライディングスクエアーエボルブルス|55663|アラモードゼット</t>
  </si>
  <si>
    <t>キガリスイートデール|ホースライディングスクエアーエボルブルス|58305|キガリスイートデール</t>
  </si>
  <si>
    <t>ケアフル|北勢ライディングファーム|53978|ケアフル</t>
  </si>
  <si>
    <t>オスカーP|K・Tステーブル|59916|オスカーピー</t>
  </si>
  <si>
    <t>オスカーP</t>
  </si>
  <si>
    <t>チェリースマイル|八王子乗馬倶楽部|58927|チェリースマイル</t>
  </si>
  <si>
    <t>チェリースマイル</t>
  </si>
  <si>
    <t>ハッピータイム|峰トレーニングファーム|58928|ハッピータイム</t>
  </si>
  <si>
    <t>ハッピータイム</t>
  </si>
  <si>
    <t>スカイロードリー|立教大学馬術部|56127|スカイロードリー</t>
  </si>
  <si>
    <t>ゾビオン|福岡馬事公苑|56881|ゾビオン</t>
  </si>
  <si>
    <t>稲彩|早稲田大学馬術部|55759|トウサイ</t>
  </si>
  <si>
    <t>稲彩</t>
  </si>
  <si>
    <t>稲嵐|早稲田大学馬術部|54587|トウラン</t>
  </si>
  <si>
    <t>稲嵐</t>
  </si>
  <si>
    <t>20200|岐阜県|阿日塔|アルタ</t>
  </si>
  <si>
    <t>14867|群馬県|渡辺　千尋|ワタナベ　チヒロ</t>
  </si>
  <si>
    <t>21643|茨城県|上野　菫|ウエノ　スミレ</t>
  </si>
  <si>
    <t>23448|静岡県|藤本　花乃子|フジモト　カノコ</t>
  </si>
  <si>
    <t>31920|茨城県|谷崎　太寿|タニザキ　ダイジュ</t>
  </si>
  <si>
    <t>30996|神奈川|永山　和弘|ナガヤマ　カズヒロ</t>
  </si>
  <si>
    <t>トランプカード|ライディングクラブフジファーム|60517|トランプカード</t>
  </si>
  <si>
    <t>ナイルデセミリーA|Tokaiホースパーク|60355|ナイルデセミリーエー</t>
  </si>
  <si>
    <t>ウィットゥレリー|ダァーモスタッド|58326|ウィットゥレリー</t>
  </si>
  <si>
    <t>ルイジアナ|株式会社TOMA　牧之原乗馬クラブ|60229|ルイジアナ</t>
  </si>
  <si>
    <t>ロードボス|株式会社TOMA　牧之原乗馬クラブ|56066|ロードボス</t>
  </si>
  <si>
    <t>カサミラ|OISO乗馬クラブ|57225|カサミラ</t>
  </si>
  <si>
    <t>ヴェリシナ|STAR HORSES|56578|ヴェリシナ</t>
  </si>
  <si>
    <t>ラブ＆ピース|座間近代乗馬クラブ|59710|ラブアンドピース</t>
  </si>
  <si>
    <t>ハリーM|明松寺馬事公苑|58682|ハリーエム</t>
  </si>
  <si>
    <t>ナイルゲームスターAⅡ|Tokaiホースパーク|58521|ナイルゲームスターエーセカンド</t>
  </si>
  <si>
    <t>9498|東京都|根岸　淳|ネギシ　アツシ</t>
  </si>
  <si>
    <t>33099|千葉県|根本　妃莉|ネモト　ヒマリ</t>
  </si>
  <si>
    <t>17526|東京都|野村　敦子|ノムラ　アツコ</t>
  </si>
  <si>
    <t>32293|千葉県|熱田　芽依|アツタ　メイ</t>
  </si>
  <si>
    <t>マブルーク|乗馬クラブクレイン千葉 富津|60545|マブルーク</t>
  </si>
  <si>
    <t>アレクセイ|ステーブル　クリアラウンド|57458|アレクセイ</t>
  </si>
  <si>
    <t>オレンジペコ|乗馬クラブクレイン千葉 富津|59561|オレンジペコ</t>
  </si>
  <si>
    <t>29554|千葉県|利部　勝|トシベ　マサル</t>
  </si>
  <si>
    <t>30746|神奈川|高橋　茂久|タカハシ　シゲヒサ</t>
  </si>
  <si>
    <t>ジェリコSLS|HASパロミノ・ポニークラブ|60449|ジェリコエスエルエス</t>
  </si>
  <si>
    <t>伊藤　壽梨</t>
  </si>
  <si>
    <t>大和田　啓太</t>
  </si>
  <si>
    <t>佐々木　清彪</t>
  </si>
  <si>
    <t>渋谷　智子</t>
  </si>
  <si>
    <t>鈴木　恵子</t>
  </si>
  <si>
    <t>緒方　あずさ</t>
  </si>
  <si>
    <t>平林　小秋</t>
  </si>
  <si>
    <t>山口　千明</t>
  </si>
  <si>
    <t>山田　なつみ</t>
  </si>
  <si>
    <t>吉野　真奈</t>
  </si>
  <si>
    <t>緋田　碧</t>
  </si>
  <si>
    <t>小塩　涼子</t>
  </si>
  <si>
    <t>海宝　久敬</t>
  </si>
  <si>
    <t>宇賀田　侑吏</t>
  </si>
  <si>
    <t>江黒　徹</t>
  </si>
  <si>
    <t>神尾　宏</t>
  </si>
  <si>
    <t>服部　ちえ</t>
  </si>
  <si>
    <t>長谷川　晶子</t>
  </si>
  <si>
    <t>長谷川　晶大</t>
  </si>
  <si>
    <t>広田　思乃</t>
  </si>
  <si>
    <t>広田　大和</t>
  </si>
  <si>
    <t>広田　龍馬</t>
  </si>
  <si>
    <t>本津　浩美</t>
  </si>
  <si>
    <t>伊東　佳菜子</t>
  </si>
  <si>
    <t>斉藤　比佐郎</t>
  </si>
  <si>
    <t>宍戸　由利恵</t>
  </si>
  <si>
    <t>篠原　正紀</t>
  </si>
  <si>
    <t>下平　和久</t>
  </si>
  <si>
    <t>瀬川　裕哉</t>
  </si>
  <si>
    <t>友江　俊宏</t>
  </si>
  <si>
    <t>永井　なつみ</t>
  </si>
  <si>
    <t>永井　めぐみ</t>
  </si>
  <si>
    <t>北條　伸子</t>
  </si>
  <si>
    <t>細野　茂之</t>
  </si>
  <si>
    <t>景山　朋昌</t>
  </si>
  <si>
    <t>中島　康宏</t>
  </si>
  <si>
    <t>西塚　建二</t>
  </si>
  <si>
    <t>中込　樹</t>
  </si>
  <si>
    <t>政兼　隆</t>
  </si>
  <si>
    <t>政兼　実佳</t>
  </si>
  <si>
    <t>吉村　英喜</t>
  </si>
  <si>
    <t>鈴木　嘉憲</t>
  </si>
  <si>
    <t>松永　佳子</t>
  </si>
  <si>
    <t>宮嶋　大和</t>
  </si>
  <si>
    <t>上田　和昇</t>
  </si>
  <si>
    <t>岡田　華穂</t>
  </si>
  <si>
    <t>落合　希美</t>
  </si>
  <si>
    <t>清水　茜</t>
  </si>
  <si>
    <t>吉川　正人</t>
  </si>
  <si>
    <t>石川　隼</t>
  </si>
  <si>
    <t>紙本　萌々</t>
  </si>
  <si>
    <t>高橋　信代</t>
  </si>
  <si>
    <t>杉崎　一美</t>
  </si>
  <si>
    <t>中村　勇</t>
  </si>
  <si>
    <t>中村　洋子</t>
  </si>
  <si>
    <t>池田　耀子</t>
  </si>
  <si>
    <t>大久保　渓</t>
  </si>
  <si>
    <t>加藤　諒大</t>
  </si>
  <si>
    <t>小牧　加矢太</t>
  </si>
  <si>
    <t>田中　加代子</t>
  </si>
  <si>
    <t>田中　宗樹</t>
  </si>
  <si>
    <t>林　義昌</t>
  </si>
  <si>
    <t>平沢　康治</t>
  </si>
  <si>
    <t>目黒　憲史</t>
  </si>
  <si>
    <t>菅野　仁</t>
  </si>
  <si>
    <t>佐々　紫苑</t>
  </si>
  <si>
    <t>秋葉　大地</t>
  </si>
  <si>
    <t>秋葉　友勝</t>
  </si>
  <si>
    <t>二位関　尭</t>
  </si>
  <si>
    <t>渡邉　瀬奈</t>
  </si>
  <si>
    <t>須田　翼</t>
  </si>
  <si>
    <t>野澤　友梨有</t>
  </si>
  <si>
    <t>山田　翔大</t>
  </si>
  <si>
    <t>川口　雅美</t>
  </si>
  <si>
    <t>山野　百合花</t>
  </si>
  <si>
    <t>田中　萌</t>
  </si>
  <si>
    <t>吉岡　容子</t>
  </si>
  <si>
    <t>堀内　志奈</t>
  </si>
  <si>
    <t>松浦　弘子</t>
  </si>
  <si>
    <t>増山　そら</t>
  </si>
  <si>
    <t>本田　すみれ</t>
  </si>
  <si>
    <t>星野　眞也子</t>
  </si>
  <si>
    <t>高橋　雅楽</t>
  </si>
  <si>
    <t>池田　弘彰</t>
  </si>
  <si>
    <t>永峯　聖正</t>
  </si>
  <si>
    <t>溝口　莉沙</t>
  </si>
  <si>
    <t>西塚　心咲</t>
  </si>
  <si>
    <t>弘岡　明夢</t>
  </si>
  <si>
    <t>中村　秋</t>
  </si>
  <si>
    <t>明渡　則和</t>
  </si>
  <si>
    <t>福嶋　翔音</t>
  </si>
  <si>
    <t>高間　智子</t>
  </si>
  <si>
    <t>矢内　玖俐歩</t>
  </si>
  <si>
    <t>深川　健</t>
  </si>
  <si>
    <t>宇佐美　暁</t>
  </si>
  <si>
    <t>松浦　英一</t>
  </si>
  <si>
    <t>木下　仁</t>
  </si>
  <si>
    <t>矢田　祐基</t>
  </si>
  <si>
    <t>石丸　千愛季</t>
  </si>
  <si>
    <t>中山　梨絵</t>
  </si>
  <si>
    <t>草薙　達也</t>
  </si>
  <si>
    <t>平芳　泰</t>
  </si>
  <si>
    <t>古田　慶幸</t>
  </si>
  <si>
    <t>福島　章</t>
  </si>
  <si>
    <t>増山　誠倫</t>
  </si>
  <si>
    <t>宇都宮　誉司</t>
  </si>
  <si>
    <t>阿部　尊留</t>
  </si>
  <si>
    <t>江田　しおり</t>
  </si>
  <si>
    <t>鯨岡　啓輔</t>
  </si>
  <si>
    <t>原　理沙子</t>
  </si>
  <si>
    <t>玉井　優</t>
  </si>
  <si>
    <t>吉田　ことみ</t>
  </si>
  <si>
    <t>木村　早希子</t>
  </si>
  <si>
    <t>塚本　敏一</t>
  </si>
  <si>
    <t>吉田　裕介</t>
  </si>
  <si>
    <t>朴本　真侑</t>
  </si>
  <si>
    <t>廣田　直哉</t>
  </si>
  <si>
    <t>角谷　秋吉</t>
  </si>
  <si>
    <t>福島　大輔</t>
  </si>
  <si>
    <t>増山　久佳</t>
  </si>
  <si>
    <t>田村　駿</t>
  </si>
  <si>
    <t>安藤　淳子</t>
  </si>
  <si>
    <t>川端　俊哉</t>
  </si>
  <si>
    <t>木村　彩子</t>
  </si>
  <si>
    <t>澤田　千春</t>
  </si>
  <si>
    <t>神村　ひより</t>
  </si>
  <si>
    <t>髙松　優希</t>
  </si>
  <si>
    <t>林　伸伍</t>
  </si>
  <si>
    <t>古山　賀奈子</t>
  </si>
  <si>
    <t>植田　将虎</t>
  </si>
  <si>
    <t>大山　紗季</t>
  </si>
  <si>
    <t>武宮　匡宏</t>
  </si>
  <si>
    <t>原田　昂治</t>
  </si>
  <si>
    <t>柿﨑　絵理</t>
  </si>
  <si>
    <t>齋藤　由香</t>
  </si>
  <si>
    <t>浅井　杏佳</t>
  </si>
  <si>
    <t>大島　那菜</t>
  </si>
  <si>
    <t>加藤　麻理子</t>
  </si>
  <si>
    <t>樹山　崇</t>
  </si>
  <si>
    <t>山口　真奈</t>
  </si>
  <si>
    <t>深川　由美子</t>
  </si>
  <si>
    <t>人見　美代子</t>
  </si>
  <si>
    <t>平山　敦子</t>
  </si>
  <si>
    <t>平山　麻由子</t>
  </si>
  <si>
    <t>和泉　国彦</t>
  </si>
  <si>
    <t>村上　篤</t>
  </si>
  <si>
    <t>村上　万理</t>
  </si>
  <si>
    <t>夏目　聖子</t>
  </si>
  <si>
    <t>内藤　一洋</t>
  </si>
  <si>
    <t>野村　ひすい</t>
  </si>
  <si>
    <t>香月　尚子</t>
  </si>
  <si>
    <t>野尻　翔麻</t>
  </si>
  <si>
    <t>浅川　駿萬</t>
  </si>
  <si>
    <t>浅川　晴央</t>
  </si>
  <si>
    <t>浅川　牧子</t>
  </si>
  <si>
    <t>浅川　やゑ美</t>
  </si>
  <si>
    <t>松岡　健心</t>
  </si>
  <si>
    <t>樫木　俊</t>
  </si>
  <si>
    <t>佐藤　忠伸</t>
  </si>
  <si>
    <t>中馬　薫</t>
  </si>
  <si>
    <t>本多　保乃香</t>
  </si>
  <si>
    <t>村上　浩隆</t>
  </si>
  <si>
    <t>杉本　隆雄</t>
  </si>
  <si>
    <t>有賀　翔</t>
  </si>
  <si>
    <t>名倉　賢人</t>
  </si>
  <si>
    <t>益永　ここ美</t>
  </si>
  <si>
    <t>天谷　幸枝</t>
  </si>
  <si>
    <t>仁田原　知毅</t>
  </si>
  <si>
    <t>衛藤　みのり</t>
  </si>
  <si>
    <t>井端　里佳子</t>
  </si>
  <si>
    <t>河内　美怜</t>
  </si>
  <si>
    <t>仙波　勇</t>
  </si>
  <si>
    <t>土田　静佳</t>
  </si>
  <si>
    <t>佐々　ゆかり</t>
  </si>
  <si>
    <t>杉本　瑞生</t>
  </si>
  <si>
    <t>大沢　暁音</t>
  </si>
  <si>
    <t>佐伯　俊彦</t>
  </si>
  <si>
    <t>阿日塔</t>
  </si>
  <si>
    <t>渡辺　千尋</t>
  </si>
  <si>
    <t>上野　菫</t>
  </si>
  <si>
    <t>谷崎　太寿</t>
  </si>
  <si>
    <t>永山　和弘</t>
  </si>
  <si>
    <t>根岸　淳</t>
  </si>
  <si>
    <t>根本　妃莉</t>
  </si>
  <si>
    <t>野村　敦子</t>
  </si>
  <si>
    <t>熱田　芽依</t>
  </si>
  <si>
    <t>利部　勝</t>
  </si>
  <si>
    <t>高橋　茂久</t>
  </si>
  <si>
    <t>佐々　紫苑</t>
    <phoneticPr fontId="6"/>
  </si>
  <si>
    <t>ライーズ</t>
    <phoneticPr fontId="6"/>
  </si>
  <si>
    <t>パーフェクトウイニングムード</t>
  </si>
  <si>
    <t>ディーヴァ</t>
    <phoneticPr fontId="6"/>
  </si>
  <si>
    <t>オマー</t>
    <phoneticPr fontId="6"/>
  </si>
  <si>
    <t>クリスティアーノ</t>
    <phoneticPr fontId="6"/>
  </si>
  <si>
    <t>トランプカード</t>
    <phoneticPr fontId="6"/>
  </si>
  <si>
    <t>ナイルデセミリーA</t>
    <phoneticPr fontId="6"/>
  </si>
  <si>
    <t>サクソンブルー</t>
    <phoneticPr fontId="6"/>
  </si>
  <si>
    <t>ウィットゥレリー</t>
    <phoneticPr fontId="6"/>
  </si>
  <si>
    <t>ルイジアナ</t>
    <phoneticPr fontId="6"/>
  </si>
  <si>
    <t>ナヴラス</t>
    <phoneticPr fontId="6"/>
  </si>
  <si>
    <t>ロードボス</t>
    <phoneticPr fontId="6"/>
  </si>
  <si>
    <t>カサミラ</t>
    <phoneticPr fontId="6"/>
  </si>
  <si>
    <t>クラド</t>
    <phoneticPr fontId="6"/>
  </si>
  <si>
    <t>ヴェリシナ</t>
    <phoneticPr fontId="6"/>
  </si>
  <si>
    <t>ロイヤルブラン</t>
    <phoneticPr fontId="6"/>
  </si>
  <si>
    <t>ラブ＆ピース</t>
    <phoneticPr fontId="6"/>
  </si>
  <si>
    <t>ハリーM</t>
    <phoneticPr fontId="6"/>
  </si>
  <si>
    <t>ナイルゲームスターAⅡ</t>
    <phoneticPr fontId="6"/>
  </si>
  <si>
    <t>レーヴ</t>
    <phoneticPr fontId="6"/>
  </si>
  <si>
    <t>クワイトグッド5</t>
    <phoneticPr fontId="6"/>
  </si>
  <si>
    <t>アイジュ</t>
    <phoneticPr fontId="6"/>
  </si>
  <si>
    <t>コーラスケイト</t>
    <phoneticPr fontId="6"/>
  </si>
  <si>
    <t>相澤　陽呂</t>
  </si>
  <si>
    <t>福島　星哉</t>
  </si>
  <si>
    <t>ベリーノ</t>
  </si>
  <si>
    <t>グレーストップ・T</t>
  </si>
  <si>
    <t>マキシマスVDパロミノ</t>
  </si>
  <si>
    <t>バンブルビーSH</t>
  </si>
  <si>
    <t>32292|東京都|相澤　陽呂|アイザワ　ヒロ</t>
  </si>
  <si>
    <t>33380|千葉県|福島　星哉|フクシマ　セイヤ</t>
  </si>
  <si>
    <t>バンブルビーSH|STAR HORSES|60951|バンブルビーエスエイチ</t>
  </si>
  <si>
    <t>ベリーノ|乗馬クラブクレイン　エクエストリアンセンター|59063|ベリーノ</t>
  </si>
  <si>
    <t>グレーストップ・T|乗馬クラブニューシーズン御殿場|59542|グレーストップティ</t>
  </si>
  <si>
    <t>マキシマスVDパロミノ|HASパロミノ・ポニークラブ|61196|マキシマスヴァンデパロミノ</t>
  </si>
  <si>
    <t>佃　日出彦</t>
  </si>
  <si>
    <t>富嶽</t>
  </si>
  <si>
    <t>メクィドールPS</t>
  </si>
  <si>
    <t>5943|静岡県|佃　日出彦|ツクダ　ヒデヒコ</t>
  </si>
  <si>
    <t>メクィドールPS|STAR HORSES|60712|メクィドールピーエス</t>
  </si>
  <si>
    <t>富嶽|乗馬クラブ　リバーサイドステーブル浜北|59622|フガク</t>
  </si>
  <si>
    <t xml:space="preserve">2025 Fuji Horse Show Autumn Grand Prix CSI1*-W Fuji </t>
    <phoneticPr fontId="6"/>
  </si>
  <si>
    <t xml:space="preserve">2026 Fuji Horse Show Autumn Grand Prix </t>
    <phoneticPr fontId="6" type="Hiragana"/>
  </si>
  <si>
    <t>フジオータムグランプリ</t>
  </si>
  <si>
    <t>★★★</t>
    <phoneticPr fontId="6"/>
  </si>
  <si>
    <t>大障害B</t>
    <rPh sb="0" eb="3">
      <t>ダイショウガイ</t>
    </rPh>
    <phoneticPr fontId="6"/>
  </si>
  <si>
    <t>★★★</t>
    <phoneticPr fontId="6"/>
  </si>
  <si>
    <t>エドグリーヴァ</t>
  </si>
  <si>
    <t>STAR HORSES</t>
  </si>
  <si>
    <t>フォーランダPS</t>
  </si>
  <si>
    <t>カステッロ</t>
  </si>
  <si>
    <t>小林　暁子</t>
  </si>
  <si>
    <t>アデラヴィーナス</t>
  </si>
  <si>
    <t>ハッピースマイル</t>
  </si>
  <si>
    <t>-</t>
  </si>
  <si>
    <t>グラスター</t>
  </si>
  <si>
    <t>フジホースライディングクラブ</t>
  </si>
  <si>
    <t>AJ・ナイト</t>
  </si>
  <si>
    <t>藤田　魁馬</t>
  </si>
  <si>
    <t>フリージア</t>
  </si>
  <si>
    <t>藤田　麻夢</t>
  </si>
  <si>
    <t>カルチェラタン</t>
  </si>
  <si>
    <t>グレイスドリーム</t>
  </si>
  <si>
    <t>メアラス</t>
  </si>
  <si>
    <t>ワンダークラッシー</t>
  </si>
  <si>
    <t>北駿ホースヴィラ</t>
  </si>
  <si>
    <t>アリス</t>
  </si>
  <si>
    <t>筑波スカイラインスティーブル</t>
  </si>
  <si>
    <t>ジャバ</t>
  </si>
  <si>
    <t>オーロラオジョウ</t>
  </si>
  <si>
    <t>キャリーズセブン</t>
  </si>
  <si>
    <t>レヴィノ</t>
  </si>
  <si>
    <t>北総乗馬クラブ</t>
  </si>
  <si>
    <t>ラーグルフ</t>
  </si>
  <si>
    <t>‐</t>
  </si>
  <si>
    <t>ヴィンセント</t>
  </si>
  <si>
    <t>トモロスリリング</t>
  </si>
  <si>
    <t>ホクソウラン</t>
  </si>
  <si>
    <t>佐伯　華蓮</t>
  </si>
  <si>
    <t>ララクレール</t>
  </si>
  <si>
    <t>マルコS</t>
  </si>
  <si>
    <t>八王子乗馬倶楽部</t>
  </si>
  <si>
    <t>ジェフティDGK</t>
  </si>
  <si>
    <t>蘭丸</t>
  </si>
  <si>
    <t>コスタブラバ</t>
  </si>
  <si>
    <t>ブラックバタフライ</t>
  </si>
  <si>
    <t>ペガサス乗馬クラブ</t>
  </si>
  <si>
    <t>ガライヤ</t>
  </si>
  <si>
    <t>カスカヴェル</t>
  </si>
  <si>
    <t>エヴァンダ</t>
  </si>
  <si>
    <t>イクスプロージョン</t>
  </si>
  <si>
    <t>ライディングクラブモーヴァン</t>
  </si>
  <si>
    <t>ライジングシャイン</t>
  </si>
  <si>
    <t>岡本ライディングクラブJAPAN</t>
  </si>
  <si>
    <t>ココ</t>
  </si>
  <si>
    <t>二宮　裕哉</t>
  </si>
  <si>
    <t>カレッジM</t>
  </si>
  <si>
    <t>成田乗馬クラブ</t>
  </si>
  <si>
    <t>インフィデル</t>
  </si>
  <si>
    <t>コアインパルス</t>
  </si>
  <si>
    <t>ビリーカート</t>
  </si>
  <si>
    <t>フレデリカ</t>
  </si>
  <si>
    <t>アーチー</t>
  </si>
  <si>
    <t>乗馬クラブクレイン神奈川</t>
  </si>
  <si>
    <t>バニラジーヴァル</t>
  </si>
  <si>
    <t>ティラミス</t>
  </si>
  <si>
    <t>フォルティス</t>
  </si>
  <si>
    <t>リモーネ</t>
  </si>
  <si>
    <t>マグノオンゾウシ</t>
  </si>
  <si>
    <t>乗馬クラブクレイン東京</t>
  </si>
  <si>
    <t>クロニクルノヴァ</t>
  </si>
  <si>
    <t>トイボックス</t>
  </si>
  <si>
    <t>ミッキースピリット</t>
  </si>
  <si>
    <t>ライーズ</t>
  </si>
  <si>
    <t>riding team Regroup</t>
  </si>
  <si>
    <t>カイレンバーリア</t>
  </si>
  <si>
    <t>ドムヘァ</t>
  </si>
  <si>
    <t>カールブルー</t>
  </si>
  <si>
    <t>増山　誠倫</t>
    <rPh sb="0" eb="2">
      <t>マシヤマ</t>
    </rPh>
    <rPh sb="3" eb="4">
      <t>タカ</t>
    </rPh>
    <rPh sb="4" eb="5">
      <t>ミチ</t>
    </rPh>
    <phoneticPr fontId="2"/>
  </si>
  <si>
    <t>廬山</t>
    <rPh sb="0" eb="2">
      <t>ロザン</t>
    </rPh>
    <phoneticPr fontId="2" alignment="noControl"/>
  </si>
  <si>
    <t>小山乗馬クラブ</t>
  </si>
  <si>
    <t>エルピス</t>
  </si>
  <si>
    <t>アカペラ</t>
  </si>
  <si>
    <t>乗馬クラブクレイン伊奈</t>
  </si>
  <si>
    <t>ブルーカップ</t>
  </si>
  <si>
    <t>トランプカード</t>
  </si>
  <si>
    <t>ライディングクラブフジファーム</t>
  </si>
  <si>
    <t>拓殖大学馬術部</t>
  </si>
  <si>
    <t>カレア</t>
  </si>
  <si>
    <t>小田　淳子</t>
  </si>
  <si>
    <t>出澤　真理子</t>
  </si>
  <si>
    <t>桑原　咲季</t>
  </si>
  <si>
    <t>東　彩加</t>
  </si>
  <si>
    <t>須藤　すみれ</t>
  </si>
  <si>
    <t>千葉　奈鶴</t>
  </si>
  <si>
    <t>二位関　奏人</t>
  </si>
  <si>
    <t>本間　唯純</t>
  </si>
  <si>
    <t>鈴木　良明</t>
  </si>
  <si>
    <t>紅陵</t>
  </si>
  <si>
    <t>宮井　絢佳</t>
  </si>
  <si>
    <t>海和　功樹</t>
  </si>
  <si>
    <t>デイリー4</t>
  </si>
  <si>
    <t>アタビズム</t>
  </si>
  <si>
    <t>シャトレ</t>
  </si>
  <si>
    <t>米山　志乃</t>
  </si>
  <si>
    <t>木村　茉里子</t>
  </si>
  <si>
    <t>ラフィーニャ</t>
  </si>
  <si>
    <t>NGK Horse Paz.</t>
  </si>
  <si>
    <t>中塚　昌利</t>
  </si>
  <si>
    <t>OP</t>
  </si>
  <si>
    <t>小野　敬司</t>
  </si>
  <si>
    <t>馬夢世</t>
  </si>
  <si>
    <t>熊野八咫烏</t>
  </si>
  <si>
    <t>宇佐美　真澄</t>
  </si>
  <si>
    <t>遠宝17</t>
  </si>
  <si>
    <t>伊藤　正平</t>
  </si>
  <si>
    <t>鈴木　絢子</t>
  </si>
  <si>
    <t>大森　康行</t>
  </si>
  <si>
    <t>林　高志</t>
  </si>
  <si>
    <t>谷崎　和寿</t>
  </si>
  <si>
    <t>谷崎　文寿</t>
  </si>
  <si>
    <t>オリエント馬事センター</t>
  </si>
  <si>
    <t>蒋　心宇</t>
  </si>
  <si>
    <t>古賀　有希</t>
  </si>
  <si>
    <t>遠宝16</t>
  </si>
  <si>
    <t>西村　愛由</t>
  </si>
  <si>
    <t>松田　泰明</t>
  </si>
  <si>
    <t>ＯＰ</t>
  </si>
  <si>
    <t>服部　亮太</t>
  </si>
  <si>
    <t>陳　最</t>
  </si>
  <si>
    <t>三田村　忍</t>
  </si>
  <si>
    <t>増山　煌侑</t>
  </si>
  <si>
    <t>ブルーダイヤ</t>
  </si>
  <si>
    <t>小野　晴美</t>
  </si>
  <si>
    <t>渡邉　陽和</t>
  </si>
  <si>
    <t>内山　国宝</t>
  </si>
  <si>
    <t>小川　秀生</t>
  </si>
  <si>
    <t>スカイシーカー</t>
  </si>
  <si>
    <t>川崎　真実</t>
  </si>
  <si>
    <t>岩崎　優希</t>
  </si>
  <si>
    <t>福田　倫子</t>
  </si>
  <si>
    <t>吉川　隆</t>
  </si>
  <si>
    <t>王　洋軒</t>
  </si>
  <si>
    <t>黒石　秀紀</t>
  </si>
  <si>
    <t>高橋　陽美</t>
  </si>
  <si>
    <t>杉野　ゆみ</t>
  </si>
  <si>
    <t>佐々木　愛</t>
  </si>
  <si>
    <t>吉澤　春花</t>
  </si>
  <si>
    <t>ごま丸</t>
  </si>
  <si>
    <t>佐伯　未桜</t>
  </si>
  <si>
    <t>クールモンテ</t>
  </si>
  <si>
    <t>山本　久美子</t>
  </si>
  <si>
    <t>林　清子</t>
  </si>
  <si>
    <t>佐藤　裕昭</t>
  </si>
  <si>
    <t>榎本　恵子</t>
  </si>
  <si>
    <t>WD</t>
  </si>
  <si>
    <t>七野　陽華</t>
  </si>
  <si>
    <t>梅澤　美和子</t>
  </si>
  <si>
    <t>野々川　颯華</t>
  </si>
  <si>
    <t>紅鈴</t>
  </si>
  <si>
    <t>岩崎　優馬</t>
  </si>
  <si>
    <t>飯島　真紀</t>
  </si>
  <si>
    <t>伊藤　靖志</t>
  </si>
  <si>
    <t>渡辺　美羽</t>
  </si>
  <si>
    <t>ジューン</t>
  </si>
  <si>
    <t>鈴木　萌</t>
  </si>
  <si>
    <t>フェアレディー</t>
  </si>
  <si>
    <t>Horses' New Stage</t>
  </si>
  <si>
    <t>千田　陽菜</t>
  </si>
  <si>
    <t>小山　知美</t>
  </si>
  <si>
    <t>櫻井　飛鳥</t>
  </si>
  <si>
    <t>コレガー</t>
  </si>
  <si>
    <t>西浦　芽生</t>
  </si>
  <si>
    <t>坪田　正輝</t>
  </si>
  <si>
    <t>山下　永聖</t>
  </si>
  <si>
    <t>ジェノベーゼ</t>
  </si>
  <si>
    <t>中村　沙也加</t>
  </si>
  <si>
    <t>渡邊　菜々美</t>
  </si>
  <si>
    <t>津田　保乃香</t>
  </si>
  <si>
    <t>ドゥラメンタ</t>
  </si>
  <si>
    <t>乗馬クラブニューシーズン御殿場</t>
  </si>
  <si>
    <t>紅愛</t>
  </si>
  <si>
    <t>スーリアラヴィ</t>
  </si>
  <si>
    <t>アルミココ</t>
  </si>
  <si>
    <t>武井　史恵</t>
  </si>
  <si>
    <t>エンパイア</t>
  </si>
  <si>
    <t>グリュックスブリンガー</t>
  </si>
  <si>
    <t>小泉　徹也</t>
  </si>
  <si>
    <t>アシェンダ乗馬学校</t>
  </si>
  <si>
    <t>川口　飛鳥</t>
  </si>
  <si>
    <t>上原　健司郎</t>
  </si>
  <si>
    <t>阿部　成海</t>
  </si>
  <si>
    <t>やまがた乗馬クラブ</t>
  </si>
  <si>
    <t>遠藤　めい</t>
  </si>
  <si>
    <t>當間　桃子</t>
  </si>
  <si>
    <t>横田　真吾</t>
  </si>
  <si>
    <t>宮井　果音</t>
  </si>
  <si>
    <t>ラストドラフト</t>
  </si>
  <si>
    <t>秋山　花吏奈</t>
  </si>
  <si>
    <t>プルプァズィガーZ</t>
  </si>
  <si>
    <t>Horse'sNewStage</t>
  </si>
  <si>
    <t>モキハナ</t>
  </si>
  <si>
    <t>島貫　咲雅</t>
  </si>
  <si>
    <t>フォンガンツ</t>
  </si>
  <si>
    <t>増田　惺太</t>
  </si>
  <si>
    <t>ユイマヴェーラ</t>
  </si>
  <si>
    <t>静岡乗馬クラブ</t>
  </si>
  <si>
    <t>カービー</t>
  </si>
  <si>
    <t>小林　穂乃花</t>
  </si>
  <si>
    <t>ミケランジェロ</t>
  </si>
  <si>
    <t>渡部　遼大</t>
  </si>
  <si>
    <t>ルーニー21</t>
  </si>
  <si>
    <t>アレイオン</t>
  </si>
  <si>
    <t>9/12 18:30版</t>
    <rPh sb="10" eb="11">
      <t>ハン</t>
    </rPh>
    <phoneticPr fontId="6"/>
  </si>
  <si>
    <t>クリッチェ・デ・ロワ</t>
  </si>
  <si>
    <t>カーラ・ブルー</t>
  </si>
  <si>
    <t>9/12 19:30版</t>
    <rPh sb="10" eb="11">
      <t>ハン</t>
    </rPh>
    <phoneticPr fontId="6"/>
  </si>
  <si>
    <t>ウィンクルム</t>
  </si>
  <si>
    <t>9/13 07:10版</t>
    <rPh sb="10" eb="11">
      <t>ハン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</si>
</sst>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 &quot;¥&quot;* #,##0_ ;_ &quot;¥&quot;* \-#,##0_ ;_ &quot;¥&quot;* &quot;-&quot;_ ;_ @_ "/>
    <numFmt numFmtId="176" formatCode="0&quot;ｍ&quot;"/>
    <numFmt numFmtId="177" formatCode="&quot;基準&quot;\A"/>
    <numFmt numFmtId="178" formatCode="0&quot;m&quot;"/>
    <numFmt numFmtId="179" formatCode="0&quot;秒&quot;"/>
    <numFmt numFmtId="180" formatCode="0&quot;条&quot;"/>
    <numFmt numFmtId="181" formatCode="#,##0.00_);[Red]\(#,##0.00\)"/>
    <numFmt numFmtId="182" formatCode="0_);[Red]\(0\)"/>
    <numFmt numFmtId="183" formatCode="00000"/>
    <numFmt numFmtId="184" formatCode="&quot;第 &quot;#&quot; 競技&quot;"/>
  </numFmts>
  <fonts count="41">
    <font>
      <sz val="10"/>
      <color indexed="8"/>
      <name val="ＭＳ ゴシック"/>
      <family val="3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Osaka"/>
      <family val="3"/>
      <charset val="128"/>
    </font>
    <font>
      <sz val="9"/>
      <name val="ＭＳ Ｐゴシック"/>
      <family val="3"/>
      <charset val="128"/>
    </font>
    <font>
      <u/>
      <sz val="12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0"/>
      <color indexed="8"/>
      <name val="ＭＳ Ｐゴシック"/>
      <family val="3"/>
      <charset val="128"/>
    </font>
    <font>
      <b/>
      <u/>
      <sz val="12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sz val="10"/>
      <name val="ＭＳ ゴシック"/>
      <family val="3"/>
    </font>
    <font>
      <b/>
      <sz val="10"/>
      <name val="ＭＳ ゴシック"/>
      <family val="3"/>
    </font>
    <font>
      <b/>
      <sz val="14"/>
      <name val="ＭＳ Ｐゴシック"/>
      <family val="3"/>
      <charset val="128"/>
    </font>
    <font>
      <sz val="6"/>
      <name val="ＭＳ ゴシック"/>
      <family val="3"/>
    </font>
    <font>
      <sz val="8"/>
      <name val="ＭＳ ゴシック"/>
      <family val="3"/>
    </font>
    <font>
      <b/>
      <sz val="11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8"/>
      <name val="ＭＳ ゴシック"/>
      <family val="3"/>
    </font>
    <font>
      <sz val="1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0"/>
      <name val="ＭＳ ゴシック"/>
      <family val="3"/>
      <charset val="128"/>
    </font>
    <font>
      <b/>
      <sz val="14"/>
      <color indexed="8"/>
      <name val="HG創英角ﾎﾟｯﾌﾟ体"/>
      <family val="3"/>
      <charset val="128"/>
    </font>
    <font>
      <sz val="16"/>
      <color indexed="8"/>
      <name val="ＭＳ ゴシック"/>
      <family val="3"/>
    </font>
    <font>
      <sz val="16"/>
      <color indexed="8"/>
      <name val="ＭＳ ゴシック"/>
      <family val="3"/>
      <charset val="128"/>
    </font>
    <font>
      <b/>
      <u/>
      <sz val="12"/>
      <color rgb="FFFF0000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10"/>
      <color theme="1"/>
      <name val="ＭＳ ゴシック"/>
      <family val="3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indexed="12"/>
        <bgColor indexed="8"/>
      </patternFill>
    </fill>
    <fill>
      <patternFill patternType="solid">
        <fgColor indexed="11"/>
        <bgColor indexed="8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35">
    <xf numFmtId="0" fontId="0" fillId="0" borderId="0" applyFill="0" applyProtection="0">
      <alignment vertical="center"/>
    </xf>
    <xf numFmtId="0" fontId="9" fillId="0" borderId="0"/>
    <xf numFmtId="0" fontId="10" fillId="0" borderId="0">
      <alignment vertical="center"/>
    </xf>
    <xf numFmtId="0" fontId="2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27" fillId="0" borderId="0" applyFill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9" fillId="0" borderId="0" applyFill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2">
    <xf numFmtId="0" fontId="0" fillId="0" borderId="0" xfId="0" applyFill="1" applyProtection="1">
      <alignment vertical="center"/>
    </xf>
    <xf numFmtId="0" fontId="12" fillId="0" borderId="0" xfId="1" applyFont="1"/>
    <xf numFmtId="0" fontId="12" fillId="0" borderId="0" xfId="1" applyFont="1" applyProtection="1">
      <protection hidden="1"/>
    </xf>
    <xf numFmtId="0" fontId="8" fillId="0" borderId="0" xfId="0" applyFont="1" applyFill="1" applyAlignment="1" applyProtection="1"/>
    <xf numFmtId="0" fontId="8" fillId="0" borderId="0" xfId="0" applyFont="1" applyFill="1" applyAlignment="1" applyProtection="1">
      <alignment horizontal="right"/>
    </xf>
    <xf numFmtId="0" fontId="8" fillId="4" borderId="3" xfId="0" applyFont="1" applyFill="1" applyBorder="1" applyAlignment="1" applyProtection="1">
      <alignment horizontal="right"/>
      <protection locked="0"/>
    </xf>
    <xf numFmtId="14" fontId="15" fillId="0" borderId="0" xfId="0" applyNumberFormat="1" applyFont="1" applyFill="1" applyAlignment="1" applyProtection="1">
      <alignment horizontal="left"/>
      <protection locked="0"/>
    </xf>
    <xf numFmtId="0" fontId="7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alignment horizontal="left"/>
    </xf>
    <xf numFmtId="0" fontId="13" fillId="0" borderId="0" xfId="1" applyFont="1"/>
    <xf numFmtId="184" fontId="15" fillId="0" borderId="0" xfId="0" applyNumberFormat="1" applyFont="1" applyFill="1" applyAlignment="1" applyProtection="1">
      <alignment horizontal="right" shrinkToFit="1"/>
    </xf>
    <xf numFmtId="0" fontId="17" fillId="0" borderId="0" xfId="0" applyFont="1" applyFill="1" applyAlignment="1" applyProtection="1">
      <alignment horizontal="right"/>
    </xf>
    <xf numFmtId="0" fontId="17" fillId="0" borderId="0" xfId="0" applyFont="1" applyFill="1" applyAlignment="1" applyProtection="1"/>
    <xf numFmtId="0" fontId="9" fillId="0" borderId="0" xfId="1" applyAlignment="1">
      <alignment horizontal="right"/>
    </xf>
    <xf numFmtId="0" fontId="12" fillId="0" borderId="6" xfId="1" applyFont="1" applyBorder="1" applyAlignment="1">
      <alignment horizontal="center" vertical="center"/>
    </xf>
    <xf numFmtId="0" fontId="12" fillId="0" borderId="7" xfId="1" applyFont="1" applyBorder="1" applyAlignment="1">
      <alignment horizontal="center" vertical="center"/>
    </xf>
    <xf numFmtId="1" fontId="10" fillId="0" borderId="7" xfId="1" applyNumberFormat="1" applyFont="1" applyBorder="1" applyAlignment="1" applyProtection="1">
      <alignment horizontal="center" vertical="center" shrinkToFit="1"/>
      <protection locked="0"/>
    </xf>
    <xf numFmtId="1" fontId="10" fillId="0" borderId="7" xfId="1" applyNumberFormat="1" applyFont="1" applyBorder="1" applyAlignment="1" applyProtection="1">
      <alignment vertical="center" shrinkToFit="1"/>
      <protection locked="0"/>
    </xf>
    <xf numFmtId="183" fontId="10" fillId="0" borderId="6" xfId="1" applyNumberFormat="1" applyFont="1" applyBorder="1" applyAlignment="1">
      <alignment horizontal="center" vertical="center" shrinkToFit="1"/>
    </xf>
    <xf numFmtId="0" fontId="12" fillId="0" borderId="0" xfId="1" applyFont="1" applyAlignment="1">
      <alignment horizontal="left" vertical="center"/>
    </xf>
    <xf numFmtId="0" fontId="18" fillId="0" borderId="0" xfId="0" applyFont="1" applyFill="1" applyProtection="1">
      <alignment vertical="center"/>
    </xf>
    <xf numFmtId="0" fontId="10" fillId="0" borderId="0" xfId="4" applyFont="1" applyAlignment="1">
      <alignment vertical="center" shrinkToFit="1"/>
    </xf>
    <xf numFmtId="1" fontId="9" fillId="0" borderId="8" xfId="0" applyNumberFormat="1" applyFont="1" applyFill="1" applyBorder="1" applyAlignment="1" applyProtection="1">
      <alignment horizontal="left" vertical="center" shrinkToFit="1"/>
      <protection locked="0"/>
    </xf>
    <xf numFmtId="181" fontId="14" fillId="0" borderId="8" xfId="0" applyNumberFormat="1" applyFont="1" applyFill="1" applyBorder="1" applyAlignment="1" applyProtection="1">
      <alignment horizontal="center" vertical="center"/>
      <protection locked="0"/>
    </xf>
    <xf numFmtId="0" fontId="9" fillId="0" borderId="8" xfId="0" applyFont="1" applyFill="1" applyBorder="1" applyAlignment="1" applyProtection="1">
      <alignment horizontal="left" vertical="center" shrinkToFit="1"/>
      <protection locked="0"/>
    </xf>
    <xf numFmtId="0" fontId="19" fillId="0" borderId="0" xfId="0" applyFont="1" applyFill="1" applyProtection="1">
      <alignment vertical="center"/>
    </xf>
    <xf numFmtId="0" fontId="18" fillId="0" borderId="0" xfId="0" applyFont="1" applyFill="1" applyAlignment="1" applyProtection="1"/>
    <xf numFmtId="0" fontId="18" fillId="0" borderId="0" xfId="0" applyFont="1" applyFill="1" applyAlignment="1" applyProtection="1">
      <alignment horizontal="right"/>
    </xf>
    <xf numFmtId="0" fontId="18" fillId="2" borderId="3" xfId="0" applyFont="1" applyFill="1" applyBorder="1" applyAlignment="1" applyProtection="1">
      <alignment horizontal="right"/>
    </xf>
    <xf numFmtId="0" fontId="18" fillId="0" borderId="0" xfId="0" applyFont="1" applyFill="1" applyAlignment="1" applyProtection="1">
      <alignment horizontal="center"/>
    </xf>
    <xf numFmtId="0" fontId="18" fillId="0" borderId="3" xfId="0" applyFont="1" applyFill="1" applyBorder="1" applyAlignment="1" applyProtection="1">
      <alignment horizontal="left"/>
    </xf>
    <xf numFmtId="0" fontId="18" fillId="0" borderId="3" xfId="0" applyFont="1" applyFill="1" applyBorder="1" applyAlignment="1" applyProtection="1"/>
    <xf numFmtId="0" fontId="19" fillId="0" borderId="0" xfId="0" applyFont="1" applyFill="1" applyAlignment="1" applyProtection="1"/>
    <xf numFmtId="0" fontId="20" fillId="0" borderId="3" xfId="0" applyFont="1" applyFill="1" applyBorder="1" applyAlignment="1" applyProtection="1">
      <alignment horizontal="left"/>
    </xf>
    <xf numFmtId="0" fontId="18" fillId="0" borderId="0" xfId="0" applyFont="1" applyFill="1" applyAlignment="1" applyProtection="1">
      <protection locked="0"/>
    </xf>
    <xf numFmtId="0" fontId="19" fillId="0" borderId="3" xfId="0" applyFont="1" applyFill="1" applyBorder="1" applyAlignment="1" applyProtection="1">
      <alignment horizontal="center"/>
    </xf>
    <xf numFmtId="0" fontId="18" fillId="0" borderId="3" xfId="0" applyFont="1" applyFill="1" applyBorder="1" applyAlignment="1" applyProtection="1">
      <alignment horizontal="center" shrinkToFit="1"/>
      <protection locked="0"/>
    </xf>
    <xf numFmtId="176" fontId="18" fillId="0" borderId="3" xfId="0" applyNumberFormat="1" applyFont="1" applyFill="1" applyBorder="1" applyAlignment="1" applyProtection="1">
      <alignment horizontal="left"/>
      <protection locked="0"/>
    </xf>
    <xf numFmtId="0" fontId="18" fillId="0" borderId="3" xfId="0" applyFont="1" applyFill="1" applyBorder="1" applyAlignment="1" applyProtection="1">
      <alignment horizontal="center"/>
    </xf>
    <xf numFmtId="177" fontId="18" fillId="0" borderId="0" xfId="0" applyNumberFormat="1" applyFont="1" applyFill="1" applyAlignment="1" applyProtection="1">
      <alignment horizontal="right"/>
    </xf>
    <xf numFmtId="0" fontId="18" fillId="0" borderId="3" xfId="0" applyFont="1" applyFill="1" applyBorder="1" applyAlignment="1" applyProtection="1">
      <alignment horizontal="center"/>
      <protection locked="0"/>
    </xf>
    <xf numFmtId="0" fontId="18" fillId="0" borderId="3" xfId="0" applyFont="1" applyFill="1" applyBorder="1" applyAlignment="1" applyProtection="1">
      <alignment horizontal="right"/>
      <protection locked="0"/>
    </xf>
    <xf numFmtId="0" fontId="18" fillId="0" borderId="0" xfId="0" applyFont="1" applyFill="1" applyAlignment="1" applyProtection="1">
      <alignment horizontal="right" wrapText="1"/>
    </xf>
    <xf numFmtId="0" fontId="18" fillId="0" borderId="4" xfId="0" applyFont="1" applyFill="1" applyBorder="1" applyAlignment="1" applyProtection="1">
      <alignment horizontal="right"/>
      <protection locked="0"/>
    </xf>
    <xf numFmtId="178" fontId="18" fillId="0" borderId="0" xfId="0" applyNumberFormat="1" applyFont="1" applyFill="1" applyAlignment="1" applyProtection="1">
      <protection locked="0"/>
    </xf>
    <xf numFmtId="179" fontId="18" fillId="0" borderId="0" xfId="0" applyNumberFormat="1" applyFont="1" applyFill="1" applyAlignment="1" applyProtection="1">
      <protection locked="0"/>
    </xf>
    <xf numFmtId="0" fontId="18" fillId="0" borderId="3" xfId="0" applyFont="1" applyFill="1" applyBorder="1" applyProtection="1">
      <alignment vertical="center"/>
    </xf>
    <xf numFmtId="0" fontId="18" fillId="0" borderId="3" xfId="0" applyFont="1" applyFill="1" applyBorder="1" applyAlignment="1" applyProtection="1">
      <alignment horizontal="center" vertical="center"/>
    </xf>
    <xf numFmtId="0" fontId="18" fillId="0" borderId="9" xfId="0" applyFont="1" applyFill="1" applyBorder="1" applyProtection="1">
      <alignment vertical="center"/>
    </xf>
    <xf numFmtId="0" fontId="18" fillId="0" borderId="10" xfId="0" applyFont="1" applyFill="1" applyBorder="1" applyProtection="1">
      <alignment vertical="center"/>
    </xf>
    <xf numFmtId="0" fontId="18" fillId="0" borderId="11" xfId="0" applyFont="1" applyFill="1" applyBorder="1" applyProtection="1">
      <alignment vertical="center"/>
    </xf>
    <xf numFmtId="0" fontId="18" fillId="0" borderId="11" xfId="0" applyFont="1" applyFill="1" applyBorder="1" applyAlignment="1" applyProtection="1">
      <alignment horizontal="right" vertical="center"/>
    </xf>
    <xf numFmtId="0" fontId="18" fillId="0" borderId="12" xfId="0" applyFont="1" applyFill="1" applyBorder="1" applyProtection="1">
      <alignment vertical="center"/>
    </xf>
    <xf numFmtId="0" fontId="18" fillId="0" borderId="13" xfId="0" applyFont="1" applyFill="1" applyBorder="1" applyAlignment="1" applyProtection="1">
      <alignment horizontal="center" vertical="center" wrapText="1"/>
    </xf>
    <xf numFmtId="0" fontId="18" fillId="0" borderId="14" xfId="0" applyFont="1" applyFill="1" applyBorder="1" applyAlignment="1" applyProtection="1">
      <alignment horizontal="center" vertical="center"/>
    </xf>
    <xf numFmtId="0" fontId="18" fillId="0" borderId="15" xfId="0" applyFont="1" applyFill="1" applyBorder="1" applyAlignment="1" applyProtection="1">
      <alignment horizontal="center" vertical="center"/>
    </xf>
    <xf numFmtId="0" fontId="18" fillId="0" borderId="15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 wrapText="1"/>
    </xf>
    <xf numFmtId="0" fontId="22" fillId="0" borderId="8" xfId="0" applyFont="1" applyFill="1" applyBorder="1" applyAlignment="1" applyProtection="1">
      <alignment horizontal="center" vertical="center" wrapText="1"/>
    </xf>
    <xf numFmtId="0" fontId="18" fillId="0" borderId="15" xfId="0" applyFont="1" applyFill="1" applyBorder="1" applyAlignment="1" applyProtection="1">
      <alignment horizontal="center" vertical="top"/>
    </xf>
    <xf numFmtId="1" fontId="9" fillId="3" borderId="8" xfId="0" applyNumberFormat="1" applyFont="1" applyFill="1" applyBorder="1" applyAlignment="1" applyProtection="1">
      <alignment horizontal="center" vertical="center"/>
      <protection locked="0"/>
    </xf>
    <xf numFmtId="1" fontId="9" fillId="0" borderId="8" xfId="0" applyNumberFormat="1" applyFont="1" applyFill="1" applyBorder="1" applyAlignment="1" applyProtection="1">
      <alignment horizontal="center" vertical="center"/>
      <protection locked="0"/>
    </xf>
    <xf numFmtId="181" fontId="14" fillId="3" borderId="8" xfId="0" applyNumberFormat="1" applyFont="1" applyFill="1" applyBorder="1" applyAlignment="1" applyProtection="1">
      <alignment horizontal="center" vertical="center"/>
    </xf>
    <xf numFmtId="182" fontId="14" fillId="0" borderId="8" xfId="0" applyNumberFormat="1" applyFont="1" applyFill="1" applyBorder="1" applyAlignment="1" applyProtection="1">
      <alignment horizontal="center" vertical="center"/>
      <protection locked="0"/>
    </xf>
    <xf numFmtId="182" fontId="14" fillId="3" borderId="8" xfId="0" applyNumberFormat="1" applyFont="1" applyFill="1" applyBorder="1" applyAlignment="1" applyProtection="1">
      <alignment horizontal="center" vertical="center"/>
    </xf>
    <xf numFmtId="49" fontId="9" fillId="0" borderId="8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Fill="1" applyAlignment="1" applyProtection="1">
      <alignment horizontal="left" vertical="center"/>
    </xf>
    <xf numFmtId="0" fontId="18" fillId="0" borderId="0" xfId="0" applyFont="1" applyFill="1" applyAlignment="1" applyProtection="1">
      <alignment horizontal="left" vertical="center" shrinkToFit="1"/>
    </xf>
    <xf numFmtId="0" fontId="24" fillId="0" borderId="1" xfId="1" applyFont="1" applyBorder="1" applyAlignment="1">
      <alignment horizontal="center"/>
    </xf>
    <xf numFmtId="0" fontId="10" fillId="0" borderId="0" xfId="5" applyFont="1" applyAlignment="1">
      <alignment horizontal="left" vertical="center" shrinkToFit="1"/>
    </xf>
    <xf numFmtId="183" fontId="10" fillId="0" borderId="7" xfId="1" applyNumberFormat="1" applyFont="1" applyBorder="1" applyAlignment="1">
      <alignment horizontal="center" vertical="center" shrinkToFit="1"/>
    </xf>
    <xf numFmtId="180" fontId="18" fillId="0" borderId="3" xfId="0" applyNumberFormat="1" applyFont="1" applyFill="1" applyBorder="1" applyAlignment="1" applyProtection="1">
      <alignment horizontal="center"/>
      <protection locked="0"/>
    </xf>
    <xf numFmtId="0" fontId="19" fillId="0" borderId="3" xfId="0" applyFont="1" applyFill="1" applyBorder="1" applyAlignment="1" applyProtection="1">
      <alignment horizontal="right"/>
    </xf>
    <xf numFmtId="0" fontId="18" fillId="3" borderId="4" xfId="0" applyFont="1" applyFill="1" applyBorder="1" applyAlignment="1" applyProtection="1">
      <alignment horizontal="right"/>
      <protection locked="0"/>
    </xf>
    <xf numFmtId="0" fontId="18" fillId="0" borderId="0" xfId="0" applyFont="1" applyFill="1" applyAlignment="1" applyProtection="1">
      <alignment horizontal="right" shrinkToFit="1"/>
    </xf>
    <xf numFmtId="0" fontId="18" fillId="3" borderId="3" xfId="0" applyFont="1" applyFill="1" applyBorder="1" applyAlignment="1" applyProtection="1">
      <alignment horizontal="left"/>
      <protection locked="0"/>
    </xf>
    <xf numFmtId="0" fontId="18" fillId="3" borderId="4" xfId="0" applyFont="1" applyFill="1" applyBorder="1" applyAlignment="1" applyProtection="1">
      <alignment horizontal="left"/>
      <protection locked="0"/>
    </xf>
    <xf numFmtId="0" fontId="9" fillId="0" borderId="0" xfId="4" applyAlignment="1">
      <alignment vertical="center" shrinkToFit="1"/>
    </xf>
    <xf numFmtId="0" fontId="9" fillId="0" borderId="0" xfId="5" applyAlignment="1">
      <alignment horizontal="left" vertical="center" shrinkToFit="1"/>
    </xf>
    <xf numFmtId="0" fontId="9" fillId="0" borderId="0" xfId="5" applyAlignment="1">
      <alignment vertical="center" shrinkToFit="1"/>
    </xf>
    <xf numFmtId="0" fontId="18" fillId="3" borderId="3" xfId="0" applyFont="1" applyFill="1" applyBorder="1" applyAlignment="1" applyProtection="1">
      <alignment horizontal="right"/>
      <protection locked="0"/>
    </xf>
    <xf numFmtId="0" fontId="10" fillId="0" borderId="0" xfId="5" applyFont="1">
      <alignment vertical="center"/>
    </xf>
    <xf numFmtId="0" fontId="10" fillId="0" borderId="0" xfId="5" applyFont="1" applyAlignment="1">
      <alignment vertical="center" shrinkToFit="1"/>
    </xf>
    <xf numFmtId="0" fontId="9" fillId="0" borderId="0" xfId="5">
      <alignment vertical="center"/>
    </xf>
    <xf numFmtId="0" fontId="0" fillId="0" borderId="3" xfId="0" applyFill="1" applyBorder="1" applyAlignment="1" applyProtection="1"/>
    <xf numFmtId="0" fontId="0" fillId="0" borderId="0" xfId="0" applyFill="1" applyAlignment="1" applyProtection="1"/>
    <xf numFmtId="0" fontId="0" fillId="0" borderId="0" xfId="0" applyFill="1" applyAlignment="1" applyProtection="1">
      <alignment horizontal="right"/>
    </xf>
    <xf numFmtId="0" fontId="0" fillId="0" borderId="3" xfId="0" applyFill="1" applyBorder="1" applyAlignment="1" applyProtection="1">
      <alignment horizontal="left"/>
    </xf>
    <xf numFmtId="176" fontId="0" fillId="0" borderId="3" xfId="0" applyNumberForma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protection locked="0"/>
    </xf>
    <xf numFmtId="177" fontId="0" fillId="0" borderId="0" xfId="0" applyNumberFormat="1" applyFill="1" applyAlignment="1" applyProtection="1">
      <alignment horizontal="right"/>
    </xf>
    <xf numFmtId="0" fontId="0" fillId="0" borderId="0" xfId="0" applyFill="1" applyAlignment="1" applyProtection="1">
      <alignment horizontal="right"/>
      <protection locked="0"/>
    </xf>
    <xf numFmtId="0" fontId="0" fillId="0" borderId="0" xfId="0" applyFill="1" applyAlignment="1" applyProtection="1">
      <alignment horizontal="center"/>
      <protection locked="0"/>
    </xf>
    <xf numFmtId="178" fontId="0" fillId="0" borderId="0" xfId="0" applyNumberFormat="1" applyFill="1" applyAlignment="1" applyProtection="1">
      <alignment horizontal="right"/>
      <protection locked="0"/>
    </xf>
    <xf numFmtId="179" fontId="0" fillId="0" borderId="0" xfId="0" applyNumberFormat="1" applyFill="1" applyAlignment="1" applyProtection="1">
      <alignment horizontal="right"/>
      <protection locked="0"/>
    </xf>
    <xf numFmtId="178" fontId="0" fillId="0" borderId="0" xfId="0" applyNumberFormat="1" applyFill="1" applyAlignment="1" applyProtection="1">
      <protection locked="0"/>
    </xf>
    <xf numFmtId="0" fontId="0" fillId="0" borderId="3" xfId="0" applyFill="1" applyBorder="1" applyAlignment="1" applyProtection="1">
      <protection locked="0"/>
    </xf>
    <xf numFmtId="178" fontId="0" fillId="0" borderId="3" xfId="0" applyNumberFormat="1" applyFill="1" applyBorder="1" applyAlignment="1" applyProtection="1">
      <protection locked="0"/>
    </xf>
    <xf numFmtId="179" fontId="0" fillId="0" borderId="3" xfId="0" applyNumberFormat="1" applyFill="1" applyBorder="1" applyAlignment="1" applyProtection="1">
      <protection locked="0"/>
    </xf>
    <xf numFmtId="179" fontId="0" fillId="0" borderId="0" xfId="0" applyNumberFormat="1" applyFill="1" applyAlignment="1" applyProtection="1">
      <protection locked="0"/>
    </xf>
    <xf numFmtId="0" fontId="9" fillId="0" borderId="7" xfId="4" applyBorder="1" applyAlignment="1">
      <alignment vertical="center" shrinkToFit="1"/>
    </xf>
    <xf numFmtId="0" fontId="26" fillId="0" borderId="7" xfId="4" applyFont="1" applyBorder="1" applyAlignment="1">
      <alignment vertical="center" shrinkToFit="1"/>
    </xf>
    <xf numFmtId="0" fontId="9" fillId="0" borderId="7" xfId="5" applyBorder="1" applyAlignment="1">
      <alignment horizontal="left" vertical="center" shrinkToFit="1"/>
    </xf>
    <xf numFmtId="0" fontId="10" fillId="0" borderId="7" xfId="4" applyFont="1" applyBorder="1" applyAlignment="1">
      <alignment vertical="center" shrinkToFit="1"/>
    </xf>
    <xf numFmtId="0" fontId="10" fillId="0" borderId="7" xfId="7" applyFont="1" applyFill="1" applyBorder="1" applyAlignment="1">
      <alignment vertical="center" shrinkToFit="1"/>
    </xf>
    <xf numFmtId="0" fontId="10" fillId="0" borderId="7" xfId="5" applyFont="1" applyBorder="1" applyAlignment="1">
      <alignment horizontal="left" vertical="center" shrinkToFit="1"/>
    </xf>
    <xf numFmtId="0" fontId="26" fillId="0" borderId="7" xfId="5" applyFont="1" applyBorder="1" applyAlignment="1">
      <alignment horizontal="left" vertical="center" shrinkToFit="1"/>
    </xf>
    <xf numFmtId="0" fontId="9" fillId="0" borderId="8" xfId="4" applyBorder="1" applyAlignment="1">
      <alignment vertical="center" shrinkToFit="1"/>
    </xf>
    <xf numFmtId="0" fontId="9" fillId="0" borderId="8" xfId="5" applyBorder="1" applyAlignment="1">
      <alignment horizontal="left" vertical="center" shrinkToFit="1"/>
    </xf>
    <xf numFmtId="0" fontId="10" fillId="0" borderId="8" xfId="4" applyFont="1" applyBorder="1" applyAlignment="1">
      <alignment vertical="center" shrinkToFit="1"/>
    </xf>
    <xf numFmtId="0" fontId="10" fillId="0" borderId="8" xfId="5" applyFont="1" applyBorder="1" applyAlignment="1">
      <alignment horizontal="left" vertical="center" shrinkToFit="1"/>
    </xf>
    <xf numFmtId="0" fontId="10" fillId="0" borderId="8" xfId="7" applyFont="1" applyFill="1" applyBorder="1" applyAlignment="1">
      <alignment vertical="center" shrinkToFit="1"/>
    </xf>
    <xf numFmtId="0" fontId="26" fillId="0" borderId="8" xfId="4" applyFont="1" applyBorder="1" applyAlignment="1">
      <alignment vertical="center" shrinkToFit="1"/>
    </xf>
    <xf numFmtId="0" fontId="9" fillId="0" borderId="17" xfId="4" applyBorder="1" applyAlignment="1">
      <alignment vertical="center" shrinkToFit="1"/>
    </xf>
    <xf numFmtId="182" fontId="9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17" xfId="4" applyFont="1" applyBorder="1" applyAlignment="1">
      <alignment vertical="center" shrinkToFit="1"/>
    </xf>
    <xf numFmtId="0" fontId="26" fillId="0" borderId="18" xfId="5" applyFont="1" applyBorder="1" applyAlignment="1">
      <alignment horizontal="left" vertical="center" shrinkToFit="1"/>
    </xf>
    <xf numFmtId="0" fontId="9" fillId="0" borderId="7" xfId="0" applyFont="1" applyFill="1" applyBorder="1" applyAlignment="1" applyProtection="1">
      <alignment horizontal="left" vertical="center" shrinkToFit="1"/>
      <protection locked="0"/>
    </xf>
    <xf numFmtId="0" fontId="9" fillId="5" borderId="8" xfId="4" applyFill="1" applyBorder="1" applyAlignment="1">
      <alignment vertical="center" shrinkToFit="1"/>
    </xf>
    <xf numFmtId="0" fontId="10" fillId="5" borderId="8" xfId="4" applyFont="1" applyFill="1" applyBorder="1" applyAlignment="1">
      <alignment vertical="center" shrinkToFit="1"/>
    </xf>
    <xf numFmtId="0" fontId="9" fillId="5" borderId="8" xfId="0" applyFont="1" applyFill="1" applyBorder="1" applyAlignment="1" applyProtection="1">
      <alignment horizontal="left" vertical="center" shrinkToFit="1"/>
      <protection locked="0"/>
    </xf>
    <xf numFmtId="0" fontId="9" fillId="5" borderId="7" xfId="4" applyFill="1" applyBorder="1" applyAlignment="1">
      <alignment vertical="center" shrinkToFit="1"/>
    </xf>
    <xf numFmtId="0" fontId="9" fillId="5" borderId="7" xfId="5" applyFill="1" applyBorder="1" applyAlignment="1">
      <alignment horizontal="left" vertical="center" shrinkToFit="1"/>
    </xf>
    <xf numFmtId="1" fontId="9" fillId="5" borderId="8" xfId="0" applyNumberFormat="1" applyFont="1" applyFill="1" applyBorder="1" applyAlignment="1" applyProtection="1">
      <alignment horizontal="left" vertical="center" shrinkToFit="1"/>
      <protection locked="0"/>
    </xf>
    <xf numFmtId="0" fontId="9" fillId="5" borderId="8" xfId="6" applyFont="1" applyFill="1" applyBorder="1" applyAlignment="1">
      <alignment vertical="center" shrinkToFit="1"/>
    </xf>
    <xf numFmtId="0" fontId="26" fillId="5" borderId="8" xfId="4" applyFont="1" applyFill="1" applyBorder="1" applyAlignment="1">
      <alignment vertical="center" shrinkToFit="1"/>
    </xf>
    <xf numFmtId="0" fontId="18" fillId="5" borderId="15" xfId="0" applyFont="1" applyFill="1" applyBorder="1" applyAlignment="1" applyProtection="1">
      <alignment horizontal="center" vertical="center"/>
    </xf>
    <xf numFmtId="0" fontId="12" fillId="0" borderId="0" xfId="1" applyFont="1" applyAlignment="1" applyProtection="1">
      <alignment horizontal="left"/>
      <protection hidden="1"/>
    </xf>
    <xf numFmtId="0" fontId="12" fillId="0" borderId="0" xfId="1" applyFont="1" applyAlignment="1">
      <alignment horizontal="left"/>
    </xf>
    <xf numFmtId="0" fontId="8" fillId="4" borderId="3" xfId="0" applyFont="1" applyFill="1" applyBorder="1" applyAlignment="1" applyProtection="1">
      <alignment horizontal="left"/>
      <protection locked="0"/>
    </xf>
    <xf numFmtId="0" fontId="8" fillId="0" borderId="0" xfId="0" applyFont="1" applyFill="1" applyAlignment="1" applyProtection="1">
      <alignment horizontal="left"/>
    </xf>
    <xf numFmtId="0" fontId="17" fillId="0" borderId="0" xfId="0" applyFont="1" applyFill="1" applyAlignment="1" applyProtection="1">
      <alignment horizontal="left"/>
    </xf>
    <xf numFmtId="0" fontId="12" fillId="0" borderId="6" xfId="1" applyFont="1" applyBorder="1" applyAlignment="1">
      <alignment horizontal="left" vertical="center"/>
    </xf>
    <xf numFmtId="183" fontId="10" fillId="0" borderId="6" xfId="1" applyNumberFormat="1" applyFont="1" applyBorder="1" applyAlignment="1">
      <alignment horizontal="left" vertical="center" shrinkToFit="1"/>
    </xf>
    <xf numFmtId="1" fontId="10" fillId="0" borderId="7" xfId="1" applyNumberFormat="1" applyFont="1" applyBorder="1" applyAlignment="1" applyProtection="1">
      <alignment horizontal="left" vertical="center" shrinkToFit="1"/>
      <protection locked="0"/>
    </xf>
    <xf numFmtId="0" fontId="13" fillId="0" borderId="0" xfId="1" applyFont="1" applyAlignment="1">
      <alignment horizontal="left"/>
    </xf>
    <xf numFmtId="0" fontId="12" fillId="0" borderId="7" xfId="1" applyFont="1" applyBorder="1" applyAlignment="1">
      <alignment horizontal="left" vertical="center"/>
    </xf>
    <xf numFmtId="0" fontId="10" fillId="5" borderId="7" xfId="7" applyFont="1" applyFill="1" applyBorder="1" applyAlignment="1">
      <alignment vertical="center" shrinkToFit="1"/>
    </xf>
    <xf numFmtId="1" fontId="9" fillId="0" borderId="7" xfId="0" applyNumberFormat="1" applyFont="1" applyFill="1" applyBorder="1" applyAlignment="1" applyProtection="1">
      <alignment horizontal="left" vertical="center" shrinkToFit="1"/>
      <protection locked="0"/>
    </xf>
    <xf numFmtId="1" fontId="9" fillId="0" borderId="6" xfId="0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0" applyFont="1" applyFill="1" applyProtection="1">
      <alignment vertical="center"/>
    </xf>
    <xf numFmtId="0" fontId="32" fillId="0" borderId="0" xfId="0" applyFont="1" applyFill="1" applyAlignment="1" applyProtection="1">
      <alignment horizontal="right" vertical="center"/>
    </xf>
    <xf numFmtId="0" fontId="33" fillId="0" borderId="0" xfId="0" applyFont="1" applyFill="1" applyAlignment="1" applyProtection="1">
      <alignment horizontal="center" vertical="center"/>
    </xf>
    <xf numFmtId="0" fontId="32" fillId="0" borderId="0" xfId="0" applyFont="1" applyFill="1" applyAlignment="1" applyProtection="1">
      <alignment horizontal="left" vertical="center"/>
    </xf>
    <xf numFmtId="0" fontId="32" fillId="0" borderId="0" xfId="0" applyFont="1" applyFill="1" applyAlignment="1" applyProtection="1">
      <alignment horizontal="center" vertical="center"/>
    </xf>
    <xf numFmtId="20" fontId="32" fillId="0" borderId="0" xfId="0" applyNumberFormat="1" applyFont="1" applyFill="1" applyProtection="1">
      <alignment vertical="center"/>
    </xf>
    <xf numFmtId="0" fontId="10" fillId="5" borderId="8" xfId="5" applyFont="1" applyFill="1" applyBorder="1" applyAlignment="1">
      <alignment horizontal="left" vertical="center" shrinkToFit="1"/>
    </xf>
    <xf numFmtId="20" fontId="32" fillId="0" borderId="0" xfId="0" applyNumberFormat="1" applyFont="1" applyFill="1" applyAlignment="1" applyProtection="1">
      <alignment horizontal="right" vertical="center"/>
    </xf>
    <xf numFmtId="20" fontId="32" fillId="0" borderId="0" xfId="0" applyNumberFormat="1" applyFont="1" applyFill="1" applyAlignment="1" applyProtection="1">
      <alignment horizontal="center" vertical="center"/>
    </xf>
    <xf numFmtId="0" fontId="9" fillId="5" borderId="8" xfId="5" applyFill="1" applyBorder="1" applyAlignment="1">
      <alignment horizontal="left" vertical="center" shrinkToFit="1"/>
    </xf>
    <xf numFmtId="0" fontId="9" fillId="5" borderId="6" xfId="0" applyFont="1" applyFill="1" applyBorder="1" applyAlignment="1" applyProtection="1">
      <alignment horizontal="left" vertical="center" shrinkToFit="1"/>
      <protection locked="0"/>
    </xf>
    <xf numFmtId="0" fontId="26" fillId="5" borderId="7" xfId="7" applyFont="1" applyFill="1" applyBorder="1" applyAlignment="1">
      <alignment vertical="center" shrinkToFit="1"/>
    </xf>
    <xf numFmtId="0" fontId="26" fillId="5" borderId="7" xfId="4" applyFont="1" applyFill="1" applyBorder="1" applyAlignment="1">
      <alignment vertical="center" shrinkToFit="1"/>
    </xf>
    <xf numFmtId="1" fontId="9" fillId="5" borderId="7" xfId="0" applyNumberFormat="1" applyFont="1" applyFill="1" applyBorder="1" applyAlignment="1" applyProtection="1">
      <alignment horizontal="left" vertical="center" shrinkToFit="1"/>
      <protection locked="0"/>
    </xf>
    <xf numFmtId="0" fontId="26" fillId="5" borderId="7" xfId="5" applyFont="1" applyFill="1" applyBorder="1" applyAlignment="1">
      <alignment horizontal="left" vertical="center" shrinkToFit="1"/>
    </xf>
    <xf numFmtId="0" fontId="9" fillId="5" borderId="7" xfId="0" applyFont="1" applyFill="1" applyBorder="1" applyAlignment="1" applyProtection="1">
      <alignment horizontal="left" vertical="center" shrinkToFit="1"/>
      <protection locked="0"/>
    </xf>
    <xf numFmtId="0" fontId="9" fillId="5" borderId="7" xfId="6" applyFont="1" applyFill="1" applyBorder="1" applyAlignment="1">
      <alignment vertical="center" shrinkToFit="1"/>
    </xf>
    <xf numFmtId="0" fontId="9" fillId="5" borderId="7" xfId="8" applyFont="1" applyFill="1" applyBorder="1" applyAlignment="1">
      <alignment vertical="center" shrinkToFit="1"/>
    </xf>
    <xf numFmtId="0" fontId="26" fillId="5" borderId="8" xfId="5" applyFont="1" applyFill="1" applyBorder="1" applyAlignment="1">
      <alignment horizontal="left" vertical="center" shrinkToFit="1"/>
    </xf>
    <xf numFmtId="0" fontId="26" fillId="5" borderId="8" xfId="7" applyFont="1" applyFill="1" applyBorder="1" applyAlignment="1">
      <alignment vertical="center" shrinkToFit="1"/>
    </xf>
    <xf numFmtId="0" fontId="18" fillId="0" borderId="24" xfId="0" applyFont="1" applyFill="1" applyBorder="1" applyAlignment="1" applyProtection="1"/>
    <xf numFmtId="0" fontId="26" fillId="5" borderId="6" xfId="7" applyFont="1" applyFill="1" applyBorder="1" applyAlignment="1">
      <alignment vertical="center" shrinkToFit="1"/>
    </xf>
    <xf numFmtId="0" fontId="10" fillId="5" borderId="7" xfId="4" applyFont="1" applyFill="1" applyBorder="1" applyAlignment="1">
      <alignment vertical="center" shrinkToFit="1"/>
    </xf>
    <xf numFmtId="0" fontId="26" fillId="5" borderId="6" xfId="4" applyFont="1" applyFill="1" applyBorder="1" applyAlignment="1">
      <alignment vertical="center" shrinkToFit="1"/>
    </xf>
    <xf numFmtId="0" fontId="9" fillId="5" borderId="6" xfId="4" applyFill="1" applyBorder="1" applyAlignment="1">
      <alignment vertical="center" shrinkToFit="1"/>
    </xf>
    <xf numFmtId="0" fontId="10" fillId="5" borderId="8" xfId="7" applyFont="1" applyFill="1" applyBorder="1" applyAlignment="1">
      <alignment vertical="center" shrinkToFit="1"/>
    </xf>
    <xf numFmtId="0" fontId="9" fillId="5" borderId="8" xfId="8" applyFont="1" applyFill="1" applyBorder="1" applyAlignment="1">
      <alignment vertical="center" shrinkToFit="1"/>
    </xf>
    <xf numFmtId="0" fontId="26" fillId="5" borderId="8" xfId="1" applyFont="1" applyFill="1" applyBorder="1" applyAlignment="1">
      <alignment vertical="center" shrinkToFit="1"/>
    </xf>
    <xf numFmtId="0" fontId="10" fillId="5" borderId="7" xfId="5" applyFont="1" applyFill="1" applyBorder="1" applyAlignment="1">
      <alignment horizontal="left" vertical="center" shrinkToFit="1"/>
    </xf>
    <xf numFmtId="0" fontId="9" fillId="0" borderId="8" xfId="0" quotePrefix="1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Alignment="1" applyProtection="1">
      <alignment horizontal="center" vertical="center"/>
    </xf>
    <xf numFmtId="0" fontId="18" fillId="0" borderId="0" xfId="0" applyFont="1" applyFill="1" applyAlignment="1" applyProtection="1">
      <alignment horizontal="center" shrinkToFit="1"/>
    </xf>
    <xf numFmtId="20" fontId="32" fillId="0" borderId="0" xfId="0" applyNumberFormat="1" applyFont="1" applyFill="1" applyAlignment="1" applyProtection="1">
      <alignment horizontal="left" vertical="center"/>
    </xf>
    <xf numFmtId="42" fontId="32" fillId="0" borderId="0" xfId="0" applyNumberFormat="1" applyFont="1" applyFill="1" applyProtection="1">
      <alignment vertical="center"/>
    </xf>
    <xf numFmtId="42" fontId="32" fillId="0" borderId="0" xfId="0" applyNumberFormat="1" applyFont="1" applyFill="1" applyAlignment="1" applyProtection="1">
      <alignment horizontal="left" vertical="center"/>
    </xf>
    <xf numFmtId="0" fontId="35" fillId="0" borderId="0" xfId="0" applyFont="1" applyFill="1" applyProtection="1">
      <alignment vertical="center"/>
    </xf>
    <xf numFmtId="1" fontId="9" fillId="5" borderId="21" xfId="0" applyNumberFormat="1" applyFont="1" applyFill="1" applyBorder="1" applyAlignment="1" applyProtection="1">
      <alignment horizontal="left" vertical="center" shrinkToFit="1"/>
      <protection locked="0"/>
    </xf>
    <xf numFmtId="0" fontId="9" fillId="5" borderId="8" xfId="7" applyFont="1" applyFill="1" applyBorder="1" applyAlignment="1">
      <alignment vertical="center" shrinkToFit="1"/>
    </xf>
    <xf numFmtId="1" fontId="9" fillId="5" borderId="6" xfId="0" applyNumberFormat="1" applyFont="1" applyFill="1" applyBorder="1" applyAlignment="1" applyProtection="1">
      <alignment horizontal="left" vertical="center" shrinkToFit="1"/>
      <protection locked="0"/>
    </xf>
    <xf numFmtId="1" fontId="9" fillId="5" borderId="23" xfId="0" applyNumberFormat="1" applyFont="1" applyFill="1" applyBorder="1" applyAlignment="1" applyProtection="1">
      <alignment horizontal="left" vertical="center" shrinkToFit="1"/>
      <protection locked="0"/>
    </xf>
    <xf numFmtId="14" fontId="18" fillId="0" borderId="3" xfId="0" applyNumberFormat="1" applyFont="1" applyFill="1" applyBorder="1" applyAlignment="1" applyProtection="1"/>
    <xf numFmtId="0" fontId="28" fillId="5" borderId="8" xfId="4" applyFont="1" applyFill="1" applyBorder="1" applyAlignment="1">
      <alignment horizontal="left" vertical="center" shrinkToFit="1"/>
    </xf>
    <xf numFmtId="0" fontId="10" fillId="5" borderId="19" xfId="7" applyFont="1" applyFill="1" applyBorder="1" applyAlignment="1">
      <alignment vertical="center" shrinkToFit="1"/>
    </xf>
    <xf numFmtId="0" fontId="37" fillId="0" borderId="0" xfId="0" applyFont="1" applyFill="1" applyProtection="1">
      <alignment vertical="center"/>
    </xf>
    <xf numFmtId="0" fontId="37" fillId="0" borderId="0" xfId="0" applyFont="1" applyFill="1" applyAlignment="1" applyProtection="1">
      <alignment horizontal="right"/>
    </xf>
    <xf numFmtId="0" fontId="37" fillId="0" borderId="3" xfId="0" applyFont="1" applyFill="1" applyBorder="1" applyAlignment="1" applyProtection="1"/>
    <xf numFmtId="0" fontId="37" fillId="3" borderId="3" xfId="0" applyFont="1" applyFill="1" applyBorder="1" applyAlignment="1" applyProtection="1">
      <alignment horizontal="left"/>
      <protection locked="0"/>
    </xf>
    <xf numFmtId="0" fontId="37" fillId="3" borderId="4" xfId="0" applyFont="1" applyFill="1" applyBorder="1" applyAlignment="1" applyProtection="1">
      <alignment horizontal="left"/>
      <protection locked="0"/>
    </xf>
    <xf numFmtId="0" fontId="37" fillId="0" borderId="3" xfId="0" applyFont="1" applyFill="1" applyBorder="1" applyAlignment="1" applyProtection="1">
      <alignment horizontal="center" vertical="center"/>
    </xf>
    <xf numFmtId="0" fontId="37" fillId="0" borderId="15" xfId="0" applyFont="1" applyFill="1" applyBorder="1" applyAlignment="1" applyProtection="1">
      <alignment horizontal="center" vertical="center"/>
    </xf>
    <xf numFmtId="0" fontId="39" fillId="5" borderId="8" xfId="5" applyFont="1" applyFill="1" applyBorder="1" applyAlignment="1">
      <alignment horizontal="left" vertical="center" shrinkToFit="1"/>
    </xf>
    <xf numFmtId="1" fontId="39" fillId="0" borderId="8" xfId="0" applyNumberFormat="1" applyFont="1" applyFill="1" applyBorder="1" applyAlignment="1" applyProtection="1">
      <alignment horizontal="left" vertical="center" shrinkToFit="1"/>
      <protection locked="0"/>
    </xf>
    <xf numFmtId="0" fontId="40" fillId="0" borderId="0" xfId="5" applyFont="1" applyAlignment="1">
      <alignment horizontal="left" vertical="center" shrinkToFit="1"/>
    </xf>
    <xf numFmtId="0" fontId="40" fillId="0" borderId="0" xfId="5" applyFont="1" applyAlignment="1">
      <alignment vertical="center" shrinkToFit="1"/>
    </xf>
    <xf numFmtId="0" fontId="39" fillId="0" borderId="0" xfId="5" applyFont="1" applyAlignment="1">
      <alignment horizontal="left" vertical="center" shrinkToFit="1"/>
    </xf>
    <xf numFmtId="0" fontId="0" fillId="0" borderId="7" xfId="0" applyBorder="1" applyAlignment="1">
      <alignment vertical="center" shrinkToFit="1"/>
    </xf>
    <xf numFmtId="0" fontId="26" fillId="5" borderId="8" xfId="6" applyFont="1" applyFill="1" applyBorder="1" applyAlignment="1">
      <alignment vertical="center" shrinkToFit="1"/>
    </xf>
    <xf numFmtId="0" fontId="28" fillId="5" borderId="7" xfId="4" applyFont="1" applyFill="1" applyBorder="1" applyAlignment="1">
      <alignment horizontal="left" vertical="center" shrinkToFit="1"/>
    </xf>
    <xf numFmtId="0" fontId="10" fillId="5" borderId="17" xfId="4" applyFont="1" applyFill="1" applyBorder="1" applyAlignment="1">
      <alignment vertical="center" shrinkToFit="1"/>
    </xf>
    <xf numFmtId="0" fontId="10" fillId="6" borderId="7" xfId="5" applyFont="1" applyFill="1" applyBorder="1" applyAlignment="1">
      <alignment horizontal="left" vertical="center" shrinkToFit="1"/>
    </xf>
    <xf numFmtId="0" fontId="10" fillId="5" borderId="6" xfId="7" applyFont="1" applyFill="1" applyBorder="1" applyAlignment="1">
      <alignment vertical="center" shrinkToFit="1"/>
    </xf>
    <xf numFmtId="1" fontId="9" fillId="5" borderId="25" xfId="0" applyNumberFormat="1" applyFont="1" applyFill="1" applyBorder="1" applyAlignment="1" applyProtection="1">
      <alignment horizontal="left" vertical="center" shrinkToFit="1"/>
      <protection locked="0"/>
    </xf>
    <xf numFmtId="1" fontId="9" fillId="5" borderId="26" xfId="0" applyNumberFormat="1" applyFont="1" applyFill="1" applyBorder="1" applyAlignment="1" applyProtection="1">
      <alignment horizontal="left" vertical="center" shrinkToFit="1"/>
      <protection locked="0"/>
    </xf>
    <xf numFmtId="0" fontId="10" fillId="5" borderId="0" xfId="5" applyFont="1" applyFill="1" applyAlignment="1">
      <alignment horizontal="left" vertical="center" shrinkToFit="1"/>
    </xf>
    <xf numFmtId="0" fontId="18" fillId="0" borderId="7" xfId="0" applyFont="1" applyFill="1" applyBorder="1" applyAlignment="1" applyProtection="1">
      <alignment horizontal="left" vertical="center" shrinkToFit="1"/>
    </xf>
    <xf numFmtId="0" fontId="18" fillId="5" borderId="8" xfId="0" applyFont="1" applyFill="1" applyBorder="1" applyAlignment="1" applyProtection="1">
      <alignment horizontal="left" vertical="center" shrinkToFit="1"/>
    </xf>
    <xf numFmtId="1" fontId="39" fillId="8" borderId="8" xfId="0" applyNumberFormat="1" applyFont="1" applyFill="1" applyBorder="1" applyAlignment="1" applyProtection="1">
      <alignment horizontal="left" vertical="center" shrinkToFit="1"/>
      <protection locked="0"/>
    </xf>
    <xf numFmtId="0" fontId="39" fillId="11" borderId="8" xfId="5" applyFont="1" applyFill="1" applyBorder="1" applyAlignment="1">
      <alignment horizontal="left" vertical="center" shrinkToFit="1"/>
    </xf>
    <xf numFmtId="1" fontId="39" fillId="11" borderId="8" xfId="0" applyNumberFormat="1" applyFont="1" applyFill="1" applyBorder="1" applyAlignment="1" applyProtection="1">
      <alignment horizontal="left" vertical="center" shrinkToFit="1"/>
      <protection locked="0"/>
    </xf>
    <xf numFmtId="0" fontId="38" fillId="12" borderId="8" xfId="5" applyFont="1" applyFill="1" applyBorder="1" applyAlignment="1">
      <alignment horizontal="left" vertical="center" shrinkToFit="1"/>
    </xf>
    <xf numFmtId="0" fontId="38" fillId="13" borderId="7" xfId="7" applyFont="1" applyFill="1" applyBorder="1" applyAlignment="1">
      <alignment vertical="center" shrinkToFit="1"/>
    </xf>
    <xf numFmtId="0" fontId="39" fillId="13" borderId="7" xfId="5" applyFont="1" applyFill="1" applyBorder="1" applyAlignment="1">
      <alignment horizontal="left" vertical="center" shrinkToFit="1"/>
    </xf>
    <xf numFmtId="0" fontId="38" fillId="14" borderId="7" xfId="7" applyFont="1" applyFill="1" applyBorder="1" applyAlignment="1">
      <alignment vertical="center" shrinkToFit="1"/>
    </xf>
    <xf numFmtId="0" fontId="40" fillId="14" borderId="7" xfId="4" applyFont="1" applyFill="1" applyBorder="1" applyAlignment="1">
      <alignment horizontal="left" vertical="center" shrinkToFit="1"/>
    </xf>
    <xf numFmtId="0" fontId="39" fillId="7" borderId="7" xfId="5" applyFont="1" applyFill="1" applyBorder="1" applyAlignment="1">
      <alignment horizontal="left" vertical="center" shrinkToFit="1"/>
    </xf>
    <xf numFmtId="0" fontId="39" fillId="17" borderId="7" xfId="5" applyFont="1" applyFill="1" applyBorder="1" applyAlignment="1">
      <alignment horizontal="left" vertical="center" shrinkToFit="1"/>
    </xf>
    <xf numFmtId="0" fontId="38" fillId="17" borderId="7" xfId="7" applyFont="1" applyFill="1" applyBorder="1" applyAlignment="1">
      <alignment vertical="center" shrinkToFit="1"/>
    </xf>
    <xf numFmtId="1" fontId="10" fillId="5" borderId="8" xfId="0" applyNumberFormat="1" applyFont="1" applyFill="1" applyBorder="1" applyAlignment="1" applyProtection="1">
      <alignment horizontal="left" vertical="center" shrinkToFit="1"/>
      <protection locked="0"/>
    </xf>
    <xf numFmtId="1" fontId="39" fillId="14" borderId="7" xfId="0" applyNumberFormat="1" applyFont="1" applyFill="1" applyBorder="1" applyAlignment="1" applyProtection="1">
      <alignment horizontal="left" vertical="center" shrinkToFit="1"/>
      <protection locked="0"/>
    </xf>
    <xf numFmtId="0" fontId="39" fillId="16" borderId="8" xfId="5" applyFont="1" applyFill="1" applyBorder="1" applyAlignment="1">
      <alignment horizontal="left" vertical="center" shrinkToFit="1"/>
    </xf>
    <xf numFmtId="1" fontId="39" fillId="10" borderId="7" xfId="0" applyNumberFormat="1" applyFont="1" applyFill="1" applyBorder="1" applyAlignment="1" applyProtection="1">
      <alignment horizontal="left" vertical="center" shrinkToFit="1"/>
      <protection locked="0"/>
    </xf>
    <xf numFmtId="0" fontId="40" fillId="5" borderId="8" xfId="4" applyFont="1" applyFill="1" applyBorder="1" applyAlignment="1">
      <alignment horizontal="left" vertical="center" shrinkToFit="1"/>
    </xf>
    <xf numFmtId="0" fontId="40" fillId="16" borderId="8" xfId="4" applyFont="1" applyFill="1" applyBorder="1" applyAlignment="1">
      <alignment horizontal="left" vertical="center" shrinkToFit="1"/>
    </xf>
    <xf numFmtId="1" fontId="39" fillId="9" borderId="7" xfId="0" applyNumberFormat="1" applyFont="1" applyFill="1" applyBorder="1" applyAlignment="1" applyProtection="1">
      <alignment horizontal="left" vertical="center" shrinkToFit="1"/>
      <protection locked="0"/>
    </xf>
    <xf numFmtId="1" fontId="39" fillId="12" borderId="7" xfId="0" applyNumberFormat="1" applyFont="1" applyFill="1" applyBorder="1" applyAlignment="1" applyProtection="1">
      <alignment horizontal="left" vertical="center" shrinkToFit="1"/>
      <protection locked="0"/>
    </xf>
    <xf numFmtId="0" fontId="10" fillId="5" borderId="8" xfId="0" applyFont="1" applyFill="1" applyBorder="1" applyAlignment="1" applyProtection="1">
      <alignment horizontal="left" vertical="center" shrinkToFit="1"/>
      <protection locked="0"/>
    </xf>
    <xf numFmtId="1" fontId="9" fillId="18" borderId="7" xfId="0" applyNumberFormat="1" applyFont="1" applyFill="1" applyBorder="1" applyAlignment="1" applyProtection="1">
      <alignment horizontal="left" vertical="center" shrinkToFit="1"/>
      <protection locked="0"/>
    </xf>
    <xf numFmtId="0" fontId="9" fillId="19" borderId="8" xfId="4" applyFill="1" applyBorder="1" applyAlignment="1">
      <alignment vertical="center" shrinkToFit="1"/>
    </xf>
    <xf numFmtId="0" fontId="9" fillId="18" borderId="8" xfId="4" applyFill="1" applyBorder="1" applyAlignment="1">
      <alignment vertical="center" shrinkToFit="1"/>
    </xf>
    <xf numFmtId="0" fontId="9" fillId="19" borderId="7" xfId="4" applyFill="1" applyBorder="1" applyAlignment="1">
      <alignment vertical="center" shrinkToFit="1"/>
    </xf>
    <xf numFmtId="1" fontId="9" fillId="19" borderId="7" xfId="0" applyNumberFormat="1" applyFont="1" applyFill="1" applyBorder="1" applyAlignment="1" applyProtection="1">
      <alignment horizontal="left" vertical="center" shrinkToFit="1"/>
      <protection locked="0"/>
    </xf>
    <xf numFmtId="0" fontId="39" fillId="15" borderId="8" xfId="5" applyFont="1" applyFill="1" applyBorder="1" applyAlignment="1">
      <alignment horizontal="left" vertical="center" shrinkToFit="1"/>
    </xf>
    <xf numFmtId="1" fontId="39" fillId="8" borderId="7" xfId="0" applyNumberFormat="1" applyFont="1" applyFill="1" applyBorder="1" applyAlignment="1" applyProtection="1">
      <alignment horizontal="left" vertical="center" shrinkToFit="1"/>
      <protection locked="0"/>
    </xf>
    <xf numFmtId="0" fontId="39" fillId="13" borderId="6" xfId="5" applyFont="1" applyFill="1" applyBorder="1" applyAlignment="1">
      <alignment horizontal="left" vertical="center" shrinkToFit="1"/>
    </xf>
    <xf numFmtId="0" fontId="10" fillId="19" borderId="20" xfId="5" applyFont="1" applyFill="1" applyBorder="1" applyAlignment="1">
      <alignment horizontal="left" vertical="center" shrinkToFit="1"/>
    </xf>
    <xf numFmtId="0" fontId="26" fillId="8" borderId="7" xfId="7" applyFont="1" applyFill="1" applyBorder="1" applyAlignment="1">
      <alignment vertical="center" shrinkToFit="1"/>
    </xf>
    <xf numFmtId="1" fontId="9" fillId="9" borderId="8" xfId="0" applyNumberFormat="1" applyFont="1" applyFill="1" applyBorder="1" applyAlignment="1" applyProtection="1">
      <alignment horizontal="left" vertical="center" shrinkToFit="1"/>
      <protection locked="0"/>
    </xf>
    <xf numFmtId="0" fontId="9" fillId="9" borderId="8" xfId="5" applyFill="1" applyBorder="1" applyAlignment="1">
      <alignment horizontal="left" vertical="center" shrinkToFit="1"/>
    </xf>
    <xf numFmtId="0" fontId="10" fillId="19" borderId="6" xfId="5" applyFont="1" applyFill="1" applyBorder="1" applyAlignment="1">
      <alignment horizontal="left" vertical="center" shrinkToFit="1"/>
    </xf>
    <xf numFmtId="1" fontId="9" fillId="9" borderId="6" xfId="0" applyNumberFormat="1" applyFont="1" applyFill="1" applyBorder="1" applyAlignment="1" applyProtection="1">
      <alignment horizontal="left" vertical="center" shrinkToFit="1"/>
      <protection locked="0"/>
    </xf>
    <xf numFmtId="0" fontId="10" fillId="19" borderId="8" xfId="5" applyFont="1" applyFill="1" applyBorder="1" applyAlignment="1">
      <alignment horizontal="left" vertical="center" shrinkToFit="1"/>
    </xf>
    <xf numFmtId="1" fontId="9" fillId="5" borderId="20" xfId="0" applyNumberFormat="1" applyFont="1" applyFill="1" applyBorder="1" applyAlignment="1" applyProtection="1">
      <alignment horizontal="left" vertical="center" shrinkToFit="1"/>
      <protection locked="0"/>
    </xf>
    <xf numFmtId="0" fontId="9" fillId="5" borderId="17" xfId="0" applyFont="1" applyFill="1" applyBorder="1" applyAlignment="1" applyProtection="1">
      <alignment horizontal="left" vertical="center" shrinkToFit="1"/>
      <protection locked="0"/>
    </xf>
    <xf numFmtId="1" fontId="9" fillId="5" borderId="19" xfId="0" applyNumberFormat="1" applyFont="1" applyFill="1" applyBorder="1" applyAlignment="1" applyProtection="1">
      <alignment horizontal="left" vertical="center" shrinkToFit="1"/>
      <protection locked="0"/>
    </xf>
    <xf numFmtId="0" fontId="10" fillId="9" borderId="8" xfId="5" applyFont="1" applyFill="1" applyBorder="1" applyAlignment="1">
      <alignment horizontal="left" vertical="center" shrinkToFit="1"/>
    </xf>
    <xf numFmtId="0" fontId="8" fillId="4" borderId="3" xfId="0" applyFont="1" applyFill="1" applyBorder="1" applyAlignment="1" applyProtection="1">
      <alignment horizontal="center"/>
      <protection locked="0"/>
    </xf>
    <xf numFmtId="0" fontId="8" fillId="4" borderId="4" xfId="0" applyFont="1" applyFill="1" applyBorder="1" applyAlignment="1" applyProtection="1">
      <alignment horizontal="center"/>
      <protection locked="0"/>
    </xf>
    <xf numFmtId="0" fontId="10" fillId="0" borderId="6" xfId="1" applyFont="1" applyBorder="1" applyAlignment="1">
      <alignment horizontal="center" vertical="center" shrinkToFit="1"/>
    </xf>
    <xf numFmtId="0" fontId="8" fillId="0" borderId="1" xfId="0" applyFont="1" applyFill="1" applyBorder="1" applyAlignment="1" applyProtection="1">
      <alignment horizontal="center" shrinkToFit="1"/>
    </xf>
    <xf numFmtId="0" fontId="8" fillId="0" borderId="5" xfId="0" applyFont="1" applyFill="1" applyBorder="1" applyAlignment="1" applyProtection="1">
      <alignment horizontal="center"/>
      <protection locked="0"/>
    </xf>
    <xf numFmtId="0" fontId="10" fillId="0" borderId="7" xfId="1" applyFont="1" applyBorder="1" applyAlignment="1" applyProtection="1">
      <alignment horizontal="center" vertical="center" shrinkToFit="1"/>
      <protection locked="0"/>
    </xf>
    <xf numFmtId="0" fontId="10" fillId="0" borderId="7" xfId="1" applyFont="1" applyBorder="1" applyAlignment="1" applyProtection="1">
      <alignment vertical="center" shrinkToFit="1"/>
      <protection locked="0"/>
    </xf>
    <xf numFmtId="0" fontId="12" fillId="0" borderId="0" xfId="1" applyFont="1" applyAlignment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  <protection locked="0"/>
    </xf>
    <xf numFmtId="0" fontId="8" fillId="4" borderId="4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 shrinkToFit="1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10" fillId="0" borderId="7" xfId="1" applyFont="1" applyBorder="1" applyAlignment="1" applyProtection="1">
      <alignment horizontal="left" vertical="center" shrinkToFit="1"/>
      <protection locked="0"/>
    </xf>
    <xf numFmtId="0" fontId="18" fillId="3" borderId="4" xfId="0" applyFont="1" applyFill="1" applyBorder="1" applyAlignment="1" applyProtection="1">
      <alignment horizontal="right"/>
    </xf>
    <xf numFmtId="0" fontId="18" fillId="0" borderId="15" xfId="0" applyFont="1" applyFill="1" applyBorder="1" applyAlignment="1" applyProtection="1">
      <alignment horizontal="center" vertical="center" shrinkToFit="1"/>
    </xf>
    <xf numFmtId="0" fontId="10" fillId="5" borderId="7" xfId="0" applyFont="1" applyFill="1" applyBorder="1" applyAlignment="1" applyProtection="1">
      <alignment horizontal="center" vertical="center" shrinkToFit="1"/>
      <protection locked="0"/>
    </xf>
    <xf numFmtId="0" fontId="10" fillId="5" borderId="8" xfId="0" applyFont="1" applyFill="1" applyBorder="1" applyAlignment="1" applyProtection="1">
      <alignment horizontal="center" vertical="center" shrinkToFit="1"/>
      <protection locked="0"/>
    </xf>
    <xf numFmtId="0" fontId="10" fillId="0" borderId="8" xfId="0" applyFont="1" applyFill="1" applyBorder="1" applyAlignment="1" applyProtection="1">
      <alignment horizontal="center" vertical="center" shrinkToFit="1"/>
      <protection locked="0"/>
    </xf>
    <xf numFmtId="0" fontId="18" fillId="0" borderId="3" xfId="0" applyFont="1" applyFill="1" applyBorder="1" applyAlignment="1" applyProtection="1">
      <alignment shrinkToFit="1"/>
    </xf>
    <xf numFmtId="0" fontId="19" fillId="0" borderId="3" xfId="0" applyFont="1" applyFill="1" applyBorder="1" applyAlignment="1" applyProtection="1">
      <alignment horizontal="left"/>
    </xf>
    <xf numFmtId="0" fontId="18" fillId="0" borderId="4" xfId="0" applyFont="1" applyFill="1" applyBorder="1" applyAlignment="1" applyProtection="1">
      <alignment horizontal="left"/>
    </xf>
    <xf numFmtId="0" fontId="26" fillId="5" borderId="7" xfId="5" applyFont="1" applyFill="1" applyBorder="1" applyAlignment="1">
      <alignment horizontal="center" vertical="center" shrinkToFit="1"/>
    </xf>
    <xf numFmtId="0" fontId="14" fillId="5" borderId="8" xfId="0" applyFont="1" applyFill="1" applyBorder="1" applyAlignment="1" applyProtection="1">
      <alignment horizontal="center" vertical="center" shrinkToFit="1"/>
      <protection locked="0"/>
    </xf>
    <xf numFmtId="0" fontId="40" fillId="5" borderId="8" xfId="1" applyFont="1" applyFill="1" applyBorder="1" applyAlignment="1">
      <alignment horizontal="center" vertical="center"/>
    </xf>
    <xf numFmtId="0" fontId="14" fillId="0" borderId="7" xfId="0" applyFont="1" applyFill="1" applyBorder="1" applyAlignment="1" applyProtection="1">
      <alignment horizontal="center" vertical="center" shrinkToFit="1"/>
      <protection locked="0"/>
    </xf>
    <xf numFmtId="0" fontId="14" fillId="5" borderId="7" xfId="0" applyFont="1" applyFill="1" applyBorder="1" applyAlignment="1" applyProtection="1">
      <alignment horizontal="center" vertical="center" shrinkToFit="1"/>
      <protection locked="0"/>
    </xf>
    <xf numFmtId="0" fontId="26" fillId="5" borderId="8" xfId="5" applyFont="1" applyFill="1" applyBorder="1" applyAlignment="1">
      <alignment horizontal="center" vertical="center" shrinkToFit="1"/>
    </xf>
    <xf numFmtId="0" fontId="14" fillId="0" borderId="8" xfId="0" applyFont="1" applyFill="1" applyBorder="1" applyAlignment="1" applyProtection="1">
      <alignment horizontal="center" vertical="center" shrinkToFit="1"/>
      <protection locked="0"/>
    </xf>
    <xf numFmtId="0" fontId="28" fillId="5" borderId="8" xfId="4" applyFont="1" applyFill="1" applyBorder="1" applyAlignment="1">
      <alignment horizontal="center" vertical="center" shrinkToFit="1"/>
    </xf>
    <xf numFmtId="0" fontId="10" fillId="5" borderId="8" xfId="4" applyFont="1" applyFill="1" applyBorder="1" applyAlignment="1">
      <alignment horizontal="center" vertical="center" shrinkToFit="1"/>
    </xf>
    <xf numFmtId="0" fontId="28" fillId="0" borderId="8" xfId="4" applyFont="1" applyBorder="1" applyAlignment="1">
      <alignment horizontal="center" vertical="center" shrinkToFit="1"/>
    </xf>
    <xf numFmtId="0" fontId="10" fillId="0" borderId="8" xfId="4" applyFont="1" applyBorder="1" applyAlignment="1">
      <alignment horizontal="center" vertical="center" shrinkToFit="1"/>
    </xf>
    <xf numFmtId="0" fontId="9" fillId="0" borderId="8" xfId="4" applyBorder="1" applyAlignment="1">
      <alignment horizontal="center" vertical="center" shrinkToFit="1"/>
    </xf>
    <xf numFmtId="0" fontId="10" fillId="5" borderId="8" xfId="5" applyFont="1" applyFill="1" applyBorder="1" applyAlignment="1">
      <alignment horizontal="center" vertical="center" shrinkToFit="1"/>
    </xf>
    <xf numFmtId="0" fontId="28" fillId="5" borderId="8" xfId="5" applyFont="1" applyFill="1" applyBorder="1" applyAlignment="1">
      <alignment horizontal="center" vertical="center" shrinkToFit="1"/>
    </xf>
    <xf numFmtId="0" fontId="10" fillId="0" borderId="8" xfId="5" applyFont="1" applyBorder="1" applyAlignment="1">
      <alignment horizontal="center" vertical="center" shrinkToFit="1"/>
    </xf>
    <xf numFmtId="0" fontId="9" fillId="0" borderId="8" xfId="5" applyBorder="1" applyAlignment="1">
      <alignment horizontal="center" vertical="center" shrinkToFit="1"/>
    </xf>
    <xf numFmtId="0" fontId="10" fillId="0" borderId="7" xfId="0" applyFont="1" applyFill="1" applyBorder="1" applyAlignment="1" applyProtection="1">
      <alignment horizontal="center" vertical="center" shrinkToFit="1"/>
      <protection locked="0"/>
    </xf>
    <xf numFmtId="0" fontId="28" fillId="0" borderId="7" xfId="4" applyFont="1" applyBorder="1" applyAlignment="1">
      <alignment horizontal="center" vertical="center" shrinkToFit="1"/>
    </xf>
    <xf numFmtId="0" fontId="9" fillId="0" borderId="7" xfId="4" applyBorder="1" applyAlignment="1">
      <alignment horizontal="center" vertical="center" shrinkToFit="1"/>
    </xf>
    <xf numFmtId="0" fontId="10" fillId="0" borderId="7" xfId="4" applyFont="1" applyBorder="1" applyAlignment="1">
      <alignment horizontal="center" vertical="center" shrinkToFit="1"/>
    </xf>
    <xf numFmtId="0" fontId="28" fillId="0" borderId="7" xfId="5" applyFont="1" applyBorder="1" applyAlignment="1">
      <alignment horizontal="center" vertical="center" shrinkToFit="1"/>
    </xf>
    <xf numFmtId="0" fontId="9" fillId="0" borderId="7" xfId="5" applyBorder="1" applyAlignment="1">
      <alignment horizontal="center" vertical="center" shrinkToFit="1"/>
    </xf>
    <xf numFmtId="0" fontId="28" fillId="0" borderId="17" xfId="5" applyFont="1" applyBorder="1" applyAlignment="1">
      <alignment horizontal="center" vertical="center" shrinkToFit="1"/>
    </xf>
    <xf numFmtId="0" fontId="10" fillId="0" borderId="7" xfId="5" applyFont="1" applyBorder="1" applyAlignment="1">
      <alignment horizontal="center" vertical="center" shrinkToFit="1"/>
    </xf>
    <xf numFmtId="0" fontId="10" fillId="5" borderId="7" xfId="4" applyFont="1" applyFill="1" applyBorder="1" applyAlignment="1">
      <alignment horizontal="center" vertical="center" shrinkToFit="1"/>
    </xf>
    <xf numFmtId="0" fontId="28" fillId="5" borderId="7" xfId="4" applyFont="1" applyFill="1" applyBorder="1" applyAlignment="1">
      <alignment horizontal="center" vertical="center" shrinkToFit="1"/>
    </xf>
    <xf numFmtId="0" fontId="10" fillId="5" borderId="7" xfId="5" applyFont="1" applyFill="1" applyBorder="1" applyAlignment="1">
      <alignment horizontal="center" vertical="center" shrinkToFit="1"/>
    </xf>
    <xf numFmtId="0" fontId="28" fillId="5" borderId="8" xfId="1" applyFont="1" applyFill="1" applyBorder="1" applyAlignment="1">
      <alignment horizontal="center" vertical="center"/>
    </xf>
    <xf numFmtId="0" fontId="9" fillId="5" borderId="8" xfId="5" applyFill="1" applyBorder="1" applyAlignment="1">
      <alignment horizontal="center" vertical="center" shrinkToFit="1"/>
    </xf>
    <xf numFmtId="0" fontId="9" fillId="5" borderId="7" xfId="5" applyFill="1" applyBorder="1" applyAlignment="1">
      <alignment horizontal="center" vertical="center" shrinkToFit="1"/>
    </xf>
    <xf numFmtId="0" fontId="9" fillId="5" borderId="8" xfId="4" applyFill="1" applyBorder="1" applyAlignment="1">
      <alignment horizontal="center" vertical="center" shrinkToFit="1"/>
    </xf>
    <xf numFmtId="0" fontId="9" fillId="5" borderId="8" xfId="0" applyFont="1" applyFill="1" applyBorder="1" applyAlignment="1" applyProtection="1">
      <alignment horizontal="center" vertical="center" shrinkToFit="1"/>
      <protection locked="0"/>
    </xf>
    <xf numFmtId="0" fontId="9" fillId="5" borderId="7" xfId="4" applyFill="1" applyBorder="1" applyAlignment="1">
      <alignment horizontal="center" vertical="center" shrinkToFit="1"/>
    </xf>
    <xf numFmtId="0" fontId="10" fillId="5" borderId="22" xfId="0" applyFont="1" applyFill="1" applyBorder="1" applyAlignment="1" applyProtection="1">
      <alignment horizontal="center" vertical="center" shrinkToFit="1"/>
      <protection locked="0"/>
    </xf>
    <xf numFmtId="0" fontId="14" fillId="5" borderId="22" xfId="0" applyFont="1" applyFill="1" applyBorder="1" applyAlignment="1" applyProtection="1">
      <alignment horizontal="center" vertical="center" shrinkToFit="1"/>
      <protection locked="0"/>
    </xf>
    <xf numFmtId="0" fontId="10" fillId="5" borderId="22" xfId="5" applyFont="1" applyFill="1" applyBorder="1" applyAlignment="1">
      <alignment horizontal="center" vertical="center" shrinkToFit="1"/>
    </xf>
    <xf numFmtId="0" fontId="9" fillId="5" borderId="7" xfId="0" applyFont="1" applyFill="1" applyBorder="1" applyAlignment="1" applyProtection="1">
      <alignment horizontal="center" vertical="center" shrinkToFit="1"/>
      <protection locked="0"/>
    </xf>
    <xf numFmtId="0" fontId="9" fillId="5" borderId="0" xfId="6" applyFont="1" applyFill="1" applyAlignment="1">
      <alignment vertical="center" shrinkToFit="1"/>
    </xf>
    <xf numFmtId="22" fontId="34" fillId="0" borderId="0" xfId="1" applyNumberFormat="1" applyFont="1" applyAlignment="1">
      <alignment horizontal="right"/>
    </xf>
    <xf numFmtId="0" fontId="12" fillId="0" borderId="7" xfId="1" applyFont="1" applyBorder="1" applyAlignment="1">
      <alignment horizontal="center" vertical="center"/>
    </xf>
    <xf numFmtId="0" fontId="12" fillId="0" borderId="7" xfId="1" applyFont="1" applyBorder="1"/>
    <xf numFmtId="0" fontId="23" fillId="0" borderId="1" xfId="0" applyFont="1" applyFill="1" applyBorder="1" applyAlignment="1" applyProtection="1"/>
    <xf numFmtId="0" fontId="10" fillId="0" borderId="2" xfId="1" applyFont="1" applyBorder="1" applyAlignment="1">
      <alignment horizontal="center" vertical="center"/>
    </xf>
    <xf numFmtId="0" fontId="10" fillId="0" borderId="16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9" fillId="0" borderId="16" xfId="1" applyBorder="1" applyAlignment="1">
      <alignment horizontal="center" vertical="center"/>
    </xf>
    <xf numFmtId="0" fontId="12" fillId="0" borderId="6" xfId="1" applyFont="1" applyBorder="1" applyAlignment="1">
      <alignment horizontal="center" vertical="center"/>
    </xf>
    <xf numFmtId="0" fontId="9" fillId="0" borderId="5" xfId="1" applyBorder="1"/>
    <xf numFmtId="0" fontId="31" fillId="0" borderId="0" xfId="0" applyFont="1" applyFill="1" applyAlignment="1" applyProtection="1">
      <alignment horizontal="center" vertical="center" shrinkToFit="1"/>
    </xf>
    <xf numFmtId="0" fontId="32" fillId="0" borderId="0" xfId="0" applyFont="1" applyFill="1" applyAlignment="1" applyProtection="1">
      <alignment horizontal="center" vertical="center"/>
    </xf>
    <xf numFmtId="0" fontId="32" fillId="0" borderId="0" xfId="0" applyFont="1" applyFill="1" applyAlignment="1" applyProtection="1">
      <alignment horizontal="center" vertical="center" shrinkToFit="1"/>
    </xf>
    <xf numFmtId="20" fontId="31" fillId="0" borderId="0" xfId="0" applyNumberFormat="1" applyFont="1" applyFill="1" applyAlignment="1" applyProtection="1">
      <alignment horizontal="center" vertical="center" shrinkToFit="1"/>
    </xf>
  </cellXfs>
  <cellStyles count="35">
    <cellStyle name="標準" xfId="0" builtinId="0"/>
    <cellStyle name="標準 10" xfId="27" xr:uid="{611709F0-F78B-44A9-952F-3E3009951056}"/>
    <cellStyle name="標準 11" xfId="31" xr:uid="{0309B8F8-BF5C-4AF9-9715-03A7E88A3F36}"/>
    <cellStyle name="標準 2" xfId="1" xr:uid="{00000000-0005-0000-0000-000001000000}"/>
    <cellStyle name="標準 2 2" xfId="2" xr:uid="{00000000-0005-0000-0000-000002000000}"/>
    <cellStyle name="標準 2 3" xfId="3" xr:uid="{00000000-0005-0000-0000-000003000000}"/>
    <cellStyle name="標準 2_11spring追加変更精算集計表" xfId="21" xr:uid="{8E9091CA-8216-40EC-94D3-F97CFD2AD9FF}"/>
    <cellStyle name="標準 3" xfId="6" xr:uid="{00000000-0005-0000-0000-000004000000}"/>
    <cellStyle name="標準 3 10" xfId="33" xr:uid="{9783254E-C8D9-4F12-8144-768F5C16CC34}"/>
    <cellStyle name="標準 3 2" xfId="10" xr:uid="{05E88184-CFA3-42F8-8E84-24E935536C60}"/>
    <cellStyle name="標準 3 2 2" xfId="15" xr:uid="{F595E49E-8962-42D6-AA60-D26F051FE601}"/>
    <cellStyle name="標準 3 2 3" xfId="20" xr:uid="{9A062883-20BE-43E2-96B8-A2AC3D535918}"/>
    <cellStyle name="標準 3 2 4" xfId="26" xr:uid="{53F70971-83C2-457E-90B1-7505D89AB43B}"/>
    <cellStyle name="標準 3 2 5" xfId="30" xr:uid="{654BE336-47B8-436F-8354-8BF9AC0BF8C5}"/>
    <cellStyle name="標準 3 2 6" xfId="34" xr:uid="{D4FE84B2-C492-4939-8194-4357F14EDAC8}"/>
    <cellStyle name="標準 3 3" xfId="7" xr:uid="{F4CB362D-2556-47F7-9F78-C4BC06167350}"/>
    <cellStyle name="標準 3 4" xfId="9" xr:uid="{CE03CB9F-A2F1-46D4-8B48-273DF99370A5}"/>
    <cellStyle name="標準 3 5" xfId="14" xr:uid="{28B0F429-A57F-47FC-A80B-E712044FC5FB}"/>
    <cellStyle name="標準 3 6" xfId="19" xr:uid="{0613CCC9-6043-4873-AF35-3C0DA0DDB1E7}"/>
    <cellStyle name="標準 3 7" xfId="8" xr:uid="{7BB41864-5235-4823-BD0A-8BD589757F22}"/>
    <cellStyle name="標準 3 8" xfId="25" xr:uid="{FF07BF01-FA8B-4C6B-8A35-637BCD89531F}"/>
    <cellStyle name="標準 3 9" xfId="29" xr:uid="{AD4EA389-12AE-407A-B0EB-13D575E1C16A}"/>
    <cellStyle name="標準 4" xfId="11" xr:uid="{75310C83-78B4-4BEB-B6EC-70320F96795E}"/>
    <cellStyle name="標準 4 2" xfId="13" xr:uid="{C82543B7-223E-4C4B-8219-AB34E2F753D0}"/>
    <cellStyle name="標準 4 3" xfId="18" xr:uid="{08B8CA09-F3B2-44EE-89F1-C5BD51F44B7C}"/>
    <cellStyle name="標準 4 4" xfId="23" xr:uid="{9CAA0F7C-E045-4EDE-A880-D14FC4F76582}"/>
    <cellStyle name="標準 4 5" xfId="28" xr:uid="{88FCBFB6-DCF7-4694-9D35-CD524A80E408}"/>
    <cellStyle name="標準 4 6" xfId="32" xr:uid="{C6D73B9C-4E17-425B-A089-F9989AD19BC0}"/>
    <cellStyle name="標準 5" xfId="16" xr:uid="{F9574304-8214-47EB-879D-759D0BBD5682}"/>
    <cellStyle name="標準 6" xfId="12" xr:uid="{07059EA7-EC90-4A01-B080-24D1F1699B14}"/>
    <cellStyle name="標準 7" xfId="17" xr:uid="{1B05E6B1-DB14-4389-AC5E-7F2C8715D0F7}"/>
    <cellStyle name="標準 8" xfId="22" xr:uid="{53D58FAE-D3CB-4E76-9246-7A55A294FF89}"/>
    <cellStyle name="標準 9" xfId="24" xr:uid="{41805346-DC55-45A3-A8D1-7D1B0BD06524}"/>
    <cellStyle name="標準_~9874798" xfId="4" xr:uid="{00000000-0005-0000-0000-000005000000}"/>
    <cellStyle name="標準_一覧タイプ帳票(一般)" xfId="5" xr:uid="{00000000-0005-0000-0000-000006000000}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FF99"/>
      <rgbColor rgb="00CCFFCC"/>
      <rgbColor rgb="00FFCC99"/>
      <rgbColor rgb="00C0C0C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4</xdr:row>
          <xdr:rowOff>0</xdr:rowOff>
        </xdr:from>
        <xdr:to>
          <xdr:col>27</xdr:col>
          <xdr:colOff>198120</xdr:colOff>
          <xdr:row>5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E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3</xdr:row>
          <xdr:rowOff>0</xdr:rowOff>
        </xdr:from>
        <xdr:to>
          <xdr:col>27</xdr:col>
          <xdr:colOff>198120</xdr:colOff>
          <xdr:row>4</xdr:row>
          <xdr:rowOff>220980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3</xdr:row>
          <xdr:rowOff>0</xdr:rowOff>
        </xdr:from>
        <xdr:to>
          <xdr:col>27</xdr:col>
          <xdr:colOff>198120</xdr:colOff>
          <xdr:row>4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2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3</xdr:row>
          <xdr:rowOff>0</xdr:rowOff>
        </xdr:from>
        <xdr:to>
          <xdr:col>27</xdr:col>
          <xdr:colOff>198120</xdr:colOff>
          <xdr:row>4</xdr:row>
          <xdr:rowOff>220980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2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297180</xdr:colOff>
          <xdr:row>4</xdr:row>
          <xdr:rowOff>0</xdr:rowOff>
        </xdr:from>
        <xdr:to>
          <xdr:col>29</xdr:col>
          <xdr:colOff>480060</xdr:colOff>
          <xdr:row>5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2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5</xdr:row>
          <xdr:rowOff>0</xdr:rowOff>
        </xdr:from>
        <xdr:to>
          <xdr:col>27</xdr:col>
          <xdr:colOff>198120</xdr:colOff>
          <xdr:row>6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2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5</xdr:row>
          <xdr:rowOff>0</xdr:rowOff>
        </xdr:from>
        <xdr:to>
          <xdr:col>27</xdr:col>
          <xdr:colOff>198120</xdr:colOff>
          <xdr:row>6</xdr:row>
          <xdr:rowOff>7620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22860</xdr:colOff>
          <xdr:row>5</xdr:row>
          <xdr:rowOff>0</xdr:rowOff>
        </xdr:from>
        <xdr:to>
          <xdr:col>26</xdr:col>
          <xdr:colOff>198120</xdr:colOff>
          <xdr:row>6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</xdr:colOff>
          <xdr:row>5</xdr:row>
          <xdr:rowOff>0</xdr:rowOff>
        </xdr:from>
        <xdr:to>
          <xdr:col>27</xdr:col>
          <xdr:colOff>198120</xdr:colOff>
          <xdr:row>6</xdr:row>
          <xdr:rowOff>7620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4</xdr:row>
          <xdr:rowOff>7620</xdr:rowOff>
        </xdr:from>
        <xdr:to>
          <xdr:col>26</xdr:col>
          <xdr:colOff>556260</xdr:colOff>
          <xdr:row>5</xdr:row>
          <xdr:rowOff>228600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1756E-4D5C-4523-B794-DCDD8C19BC1C}">
  <sheetPr codeName="Sheet1">
    <tabColor rgb="FF0070C0"/>
  </sheetPr>
  <dimension ref="A4:J16"/>
  <sheetViews>
    <sheetView view="pageBreakPreview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'21_A70'!C7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'21_A70'!B8</f>
        <v>21</v>
      </c>
      <c r="C6" s="142" t="s">
        <v>42</v>
      </c>
      <c r="D6" s="145" t="str">
        <f>'21_A70'!D8:F8</f>
        <v>バーティカルジャンプ７０</v>
      </c>
    </row>
    <row r="8" spans="1:10" ht="30" customHeight="1">
      <c r="C8" s="142" t="s">
        <v>604</v>
      </c>
      <c r="E8" s="149" t="s">
        <v>628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B992-5040-42BD-B224-861E744C2D4F}">
  <sheetPr codeName="Sheet2">
    <tabColor rgb="FF0070C0"/>
  </sheetPr>
  <dimension ref="A4:I16"/>
  <sheetViews>
    <sheetView view="pageBreakPreview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9" ht="30" customHeight="1">
      <c r="A4" s="318" t="str">
        <f>'21_A70'!C7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</row>
    <row r="6" spans="1:9" ht="30" customHeight="1">
      <c r="A6" s="143" t="s">
        <v>41</v>
      </c>
      <c r="B6" s="144">
        <f>'21_A70'!B8</f>
        <v>21</v>
      </c>
      <c r="C6" s="142" t="s">
        <v>42</v>
      </c>
      <c r="D6" s="142" t="str">
        <f>'21'!F4</f>
        <v>バーティカルジャンプ７０</v>
      </c>
    </row>
    <row r="8" spans="1:9" ht="30" customHeight="1">
      <c r="C8" s="142" t="s">
        <v>604</v>
      </c>
      <c r="E8" s="150" t="s">
        <v>628</v>
      </c>
    </row>
    <row r="9" spans="1:9" ht="30" customHeight="1">
      <c r="C9" s="142" t="s">
        <v>605</v>
      </c>
      <c r="E9" s="147">
        <v>0.3125</v>
      </c>
      <c r="F9" s="142" t="s">
        <v>606</v>
      </c>
    </row>
    <row r="11" spans="1:9" ht="30" customHeight="1">
      <c r="C11" s="319"/>
      <c r="D11" s="319"/>
      <c r="E11" s="319"/>
      <c r="F11" s="319"/>
      <c r="G11" s="319"/>
    </row>
    <row r="12" spans="1:9" ht="30" customHeight="1">
      <c r="D12" s="142"/>
      <c r="F12" s="146"/>
      <c r="G12" s="146"/>
    </row>
    <row r="13" spans="1:9" ht="30" customHeight="1">
      <c r="D13" s="142"/>
      <c r="F13" s="146"/>
      <c r="G13" s="146"/>
    </row>
    <row r="14" spans="1:9" ht="30" customHeight="1">
      <c r="D14" s="142"/>
      <c r="G14" s="146"/>
    </row>
    <row r="15" spans="1:9" ht="30" customHeight="1">
      <c r="D15" s="142"/>
      <c r="G15" s="146"/>
    </row>
    <row r="16" spans="1:9" ht="30" customHeight="1">
      <c r="D16" s="145"/>
      <c r="E16" s="145"/>
      <c r="F16" s="145"/>
      <c r="G16" s="145"/>
    </row>
  </sheetData>
  <mergeCells count="2">
    <mergeCell ref="A4:I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'21'!C3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'21'!C4</f>
        <v>21</v>
      </c>
      <c r="C8" s="4" t="s">
        <v>42</v>
      </c>
      <c r="D8" s="311" t="str">
        <f>'21'!F4</f>
        <v>バーティカルジャンプ７０</v>
      </c>
      <c r="E8" s="311"/>
      <c r="F8" s="311"/>
    </row>
    <row r="9" spans="1:7" ht="18.75" customHeight="1">
      <c r="C9" s="11" t="s">
        <v>11</v>
      </c>
      <c r="D9" s="247" t="str">
        <f>'21'!D5</f>
        <v>-</v>
      </c>
      <c r="E9" s="4" t="s">
        <v>9</v>
      </c>
      <c r="F9" s="250" t="str">
        <f>'21'!K4</f>
        <v>-</v>
      </c>
    </row>
    <row r="10" spans="1:7" ht="21" customHeight="1">
      <c r="A10" s="12" t="s">
        <v>43</v>
      </c>
      <c r="B10" s="12"/>
      <c r="C10" s="12"/>
      <c r="D10" s="248" t="str">
        <f>'21'!D6</f>
        <v>-</v>
      </c>
      <c r="E10" s="4" t="s">
        <v>12</v>
      </c>
      <c r="F10" s="251" t="str">
        <f>'21'!F5</f>
        <v>-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IF('21'!A14="","",'21'!A14)</f>
        <v>OP</v>
      </c>
      <c r="B14" s="16">
        <f>IF('21'!B14="","",'21'!B14)</f>
        <v>1</v>
      </c>
      <c r="C14" s="17" t="str">
        <f>IF('21'!C14="","",'21'!C14)</f>
        <v>川口　大輔</v>
      </c>
      <c r="D14" s="249">
        <f>IF('21'!D14="","",'21'!D14)</f>
        <v>13141</v>
      </c>
      <c r="E14" s="17" t="str">
        <f>IF('21'!E14="","",'21'!E14)</f>
        <v>ブルーダイヤ</v>
      </c>
      <c r="F14" s="249" t="str">
        <f>IF('21'!F14="","",'21'!F14)</f>
        <v>‐</v>
      </c>
      <c r="G14" s="17" t="str">
        <f>IF('21'!G14="","",'21'!G14)</f>
        <v>ライディングクラブフジファーム</v>
      </c>
    </row>
    <row r="15" spans="1:7" s="19" customFormat="1" ht="23.1" customHeight="1">
      <c r="A15" s="16" t="str">
        <f>IF('21'!A15="","",'21'!A15)</f>
        <v>ＯＰ</v>
      </c>
      <c r="B15" s="16">
        <f>IF('21'!B15="","",'21'!B15)</f>
        <v>2</v>
      </c>
      <c r="C15" s="17" t="str">
        <f>IF('21'!C15="","",'21'!C15)</f>
        <v>本間　唯純</v>
      </c>
      <c r="D15" s="249">
        <f>IF('21'!D15="","",'21'!D15)</f>
        <v>14546</v>
      </c>
      <c r="E15" s="17" t="str">
        <f>IF('21'!E15="","",'21'!E15)</f>
        <v>バニラジーヴァル</v>
      </c>
      <c r="F15" s="249" t="str">
        <f>IF('21'!F15="","",'21'!F15)</f>
        <v>-</v>
      </c>
      <c r="G15" s="17" t="str">
        <f>IF('21'!G15="","",'21'!G15)</f>
        <v>乗馬クラブクレイン神奈川</v>
      </c>
    </row>
    <row r="16" spans="1:7" s="19" customFormat="1" ht="23.1" customHeight="1">
      <c r="A16" s="16" t="str">
        <f>IF('21'!A16="","",'21'!A16)</f>
        <v>ＯＰ</v>
      </c>
      <c r="B16" s="16">
        <f>IF('21'!B16="","",'21'!B16)</f>
        <v>3</v>
      </c>
      <c r="C16" s="17" t="str">
        <f>IF('21'!C16="","",'21'!C16)</f>
        <v>鈴木　裕介</v>
      </c>
      <c r="D16" s="249">
        <f>IF('21'!D16="","",'21'!D16)</f>
        <v>23529</v>
      </c>
      <c r="E16" s="17" t="str">
        <f>IF('21'!E16="","",'21'!E16)</f>
        <v>ワンダークラッシー</v>
      </c>
      <c r="F16" s="249" t="str">
        <f>IF('21'!F16="","",'21'!F16)</f>
        <v>-</v>
      </c>
      <c r="G16" s="17" t="str">
        <f>IF('21'!G16="","",'21'!G16)</f>
        <v>北駿ホースヴィラ</v>
      </c>
    </row>
    <row r="17" spans="1:7" s="19" customFormat="1" ht="23.1" customHeight="1">
      <c r="A17" s="16" t="str">
        <f>IF('21'!A17="","",'21'!A17)</f>
        <v/>
      </c>
      <c r="B17" s="16">
        <f>IF('21'!B17="","",'21'!B17)</f>
        <v>4</v>
      </c>
      <c r="C17" s="17" t="str">
        <f>IF('21'!C17="","",'21'!C17)</f>
        <v>吉岡　容子</v>
      </c>
      <c r="D17" s="249">
        <f>IF('21'!D17="","",'21'!D17)</f>
        <v>32787</v>
      </c>
      <c r="E17" s="17" t="str">
        <f>IF('21'!E17="","",'21'!E17)</f>
        <v>ベルナルドI</v>
      </c>
      <c r="F17" s="249">
        <f>IF('21'!F17="","",'21'!F17)</f>
        <v>58347</v>
      </c>
      <c r="G17" s="17" t="str">
        <f>IF('21'!G17="","",'21'!G17)</f>
        <v>乗馬クラブクレイン伊奈</v>
      </c>
    </row>
    <row r="18" spans="1:7" s="19" customFormat="1" ht="23.1" customHeight="1">
      <c r="A18" s="16" t="str">
        <f>IF('21'!A18="","",'21'!A18)</f>
        <v/>
      </c>
      <c r="B18" s="16">
        <f>IF('21'!B18="","",'21'!B18)</f>
        <v>5</v>
      </c>
      <c r="C18" s="17" t="str">
        <f>IF('21'!C18="","",'21'!C18)</f>
        <v>小野　晴美</v>
      </c>
      <c r="D18" s="249" t="str">
        <f>IF('21'!D18="","",'21'!D18)</f>
        <v>-</v>
      </c>
      <c r="E18" s="17" t="str">
        <f>IF('21'!E18="","",'21'!E18)</f>
        <v>ミッキースピリット</v>
      </c>
      <c r="F18" s="249">
        <f>IF('21'!F18="","",'21'!F18)</f>
        <v>60192</v>
      </c>
      <c r="G18" s="17" t="str">
        <f>IF('21'!G18="","",'21'!G18)</f>
        <v>乗馬クラブクレイン東京</v>
      </c>
    </row>
    <row r="19" spans="1:7" s="19" customFormat="1" ht="23.1" customHeight="1">
      <c r="A19" s="16" t="str">
        <f>IF('21'!A19="","",'21'!A19)</f>
        <v/>
      </c>
      <c r="B19" s="16">
        <f>IF('21'!B19="","",'21'!B19)</f>
        <v>6</v>
      </c>
      <c r="C19" s="17" t="str">
        <f>IF('21'!C19="","",'21'!C19)</f>
        <v>渡邉　陽和</v>
      </c>
      <c r="D19" s="249" t="str">
        <f>IF('21'!D19="","",'21'!D19)</f>
        <v>-</v>
      </c>
      <c r="E19" s="17" t="str">
        <f>IF('21'!E19="","",'21'!E19)</f>
        <v>ブルーダイヤ</v>
      </c>
      <c r="F19" s="249" t="str">
        <f>IF('21'!F19="","",'21'!F19)</f>
        <v>‐</v>
      </c>
      <c r="G19" s="17" t="str">
        <f>IF('21'!G19="","",'21'!G19)</f>
        <v>ライディングクラブフジファーム</v>
      </c>
    </row>
    <row r="20" spans="1:7" s="19" customFormat="1" ht="23.1" customHeight="1">
      <c r="A20" s="16" t="str">
        <f>IF('21'!A20="","",'21'!A20)</f>
        <v/>
      </c>
      <c r="B20" s="16">
        <f>IF('21'!B20="","",'21'!B20)</f>
        <v>7</v>
      </c>
      <c r="C20" s="17" t="str">
        <f>IF('21'!C20="","",'21'!C20)</f>
        <v>内山　国宝</v>
      </c>
      <c r="D20" s="249" t="str">
        <f>IF('21'!D20="","",'21'!D20)</f>
        <v>-</v>
      </c>
      <c r="E20" s="17" t="str">
        <f>IF('21'!E20="","",'21'!E20)</f>
        <v>バニラジーヴァル</v>
      </c>
      <c r="F20" s="249" t="str">
        <f>IF('21'!F20="","",'21'!F20)</f>
        <v>-</v>
      </c>
      <c r="G20" s="17" t="str">
        <f>IF('21'!G20="","",'21'!G20)</f>
        <v>乗馬クラブクレイン神奈川</v>
      </c>
    </row>
    <row r="21" spans="1:7" s="19" customFormat="1" ht="23.1" customHeight="1">
      <c r="A21" s="16" t="str">
        <f>IF('21'!A21="","",'21'!A21)</f>
        <v/>
      </c>
      <c r="B21" s="16">
        <f>IF('21'!B21="","",'21'!B21)</f>
        <v>8</v>
      </c>
      <c r="C21" s="17" t="str">
        <f>IF('21'!C21="","",'21'!C21)</f>
        <v>緒方　あずさ</v>
      </c>
      <c r="D21" s="249">
        <f>IF('21'!D21="","",'21'!D21)</f>
        <v>32398</v>
      </c>
      <c r="E21" s="17" t="str">
        <f>IF('21'!E21="","",'21'!E21)</f>
        <v>ワンダークラッシー</v>
      </c>
      <c r="F21" s="249" t="str">
        <f>IF('21'!F21="","",'21'!F21)</f>
        <v>-</v>
      </c>
      <c r="G21" s="17" t="str">
        <f>IF('21'!G21="","",'21'!G21)</f>
        <v>北駿ホースヴィラ</v>
      </c>
    </row>
    <row r="22" spans="1:7" s="19" customFormat="1" ht="23.1" customHeight="1">
      <c r="A22" s="16" t="str">
        <f>IF('21'!A22="","",'21'!A22)</f>
        <v/>
      </c>
      <c r="B22" s="16">
        <f>IF('21'!B22="","",'21'!B22)</f>
        <v>9</v>
      </c>
      <c r="C22" s="17" t="str">
        <f>IF('21'!C22="","",'21'!C22)</f>
        <v>小川　秀生</v>
      </c>
      <c r="D22" s="249" t="str">
        <f>IF('21'!D22="","",'21'!D22)</f>
        <v>-</v>
      </c>
      <c r="E22" s="17" t="str">
        <f>IF('21'!E22="","",'21'!E22)</f>
        <v>ベルナルドI</v>
      </c>
      <c r="F22" s="249">
        <f>IF('21'!F22="","",'21'!F22)</f>
        <v>58347</v>
      </c>
      <c r="G22" s="17" t="str">
        <f>IF('21'!G22="","",'21'!G22)</f>
        <v>乗馬クラブクレイン伊奈</v>
      </c>
    </row>
    <row r="23" spans="1:7" s="19" customFormat="1" ht="23.1" customHeight="1">
      <c r="A23" s="16" t="str">
        <f>IF('21'!A23="","",'21'!A23)</f>
        <v>OP</v>
      </c>
      <c r="B23" s="16">
        <f>IF('21'!B23="","",'21'!B23)</f>
        <v>10</v>
      </c>
      <c r="C23" s="17" t="str">
        <f>IF('21'!C23="","",'21'!C23)</f>
        <v>川口　大輔</v>
      </c>
      <c r="D23" s="249">
        <f>IF('21'!D23="","",'21'!D23)</f>
        <v>13141</v>
      </c>
      <c r="E23" s="17" t="str">
        <f>IF('21'!E23="","",'21'!E23)</f>
        <v>スカイシーカー</v>
      </c>
      <c r="F23" s="249" t="str">
        <f>IF('21'!F23="","",'21'!F23)</f>
        <v>-</v>
      </c>
      <c r="G23" s="17" t="str">
        <f>IF('21'!G23="","",'21'!G23)</f>
        <v>ライディングクラブフジファーム</v>
      </c>
    </row>
    <row r="24" spans="1:7" s="19" customFormat="1" ht="23.1" customHeight="1">
      <c r="A24" s="16" t="str">
        <f>IF('21'!A24="","",'21'!A24)</f>
        <v/>
      </c>
      <c r="B24" s="16">
        <f>IF('21'!B24="","",'21'!B24)</f>
        <v>11</v>
      </c>
      <c r="C24" s="17" t="str">
        <f>IF('21'!C24="","",'21'!C24)</f>
        <v>川崎　真実</v>
      </c>
      <c r="D24" s="249" t="str">
        <f>IF('21'!D24="","",'21'!D24)</f>
        <v>-</v>
      </c>
      <c r="E24" s="17" t="str">
        <f>IF('21'!E24="","",'21'!E24)</f>
        <v>ミッキースピリット</v>
      </c>
      <c r="F24" s="249">
        <f>IF('21'!F24="","",'21'!F24)</f>
        <v>60192</v>
      </c>
      <c r="G24" s="17" t="str">
        <f>IF('21'!G24="","",'21'!G24)</f>
        <v>乗馬クラブクレイン東京</v>
      </c>
    </row>
    <row r="25" spans="1:7" s="19" customFormat="1" ht="23.1" customHeight="1">
      <c r="A25" s="16" t="str">
        <f>IF('21'!A25="","",'21'!A25)</f>
        <v/>
      </c>
      <c r="B25" s="16">
        <f>IF('21'!B25="","",'21'!B25)</f>
        <v>12</v>
      </c>
      <c r="C25" s="17" t="str">
        <f>IF('21'!C25="","",'21'!C25)</f>
        <v>岩崎　優希</v>
      </c>
      <c r="D25" s="249" t="str">
        <f>IF('21'!D25="","",'21'!D25)</f>
        <v>-</v>
      </c>
      <c r="E25" s="17" t="str">
        <f>IF('21'!E25="","",'21'!E25)</f>
        <v>バニラジーヴァル</v>
      </c>
      <c r="F25" s="249" t="str">
        <f>IF('21'!F25="","",'21'!F25)</f>
        <v>-</v>
      </c>
      <c r="G25" s="17" t="str">
        <f>IF('21'!G25="","",'21'!G25)</f>
        <v>乗馬クラブクレイン神奈川</v>
      </c>
    </row>
    <row r="26" spans="1:7" s="19" customFormat="1" ht="23.1" customHeight="1">
      <c r="A26" s="16" t="str">
        <f>IF('21'!A26="","",'21'!A26)</f>
        <v>ＯＰ</v>
      </c>
      <c r="B26" s="16">
        <f>IF('21'!B26="","",'21'!B26)</f>
        <v>13</v>
      </c>
      <c r="C26" s="17" t="str">
        <f>IF('21'!C26="","",'21'!C26)</f>
        <v>本間　唯純</v>
      </c>
      <c r="D26" s="249">
        <f>IF('21'!D26="","",'21'!D26)</f>
        <v>14546</v>
      </c>
      <c r="E26" s="17" t="str">
        <f>IF('21'!E26="","",'21'!E26)</f>
        <v>ティラミス</v>
      </c>
      <c r="F26" s="249" t="str">
        <f>IF('21'!F26="","",'21'!F26)</f>
        <v>-</v>
      </c>
      <c r="G26" s="17" t="str">
        <f>IF('21'!G26="","",'21'!G26)</f>
        <v>乗馬クラブクレイン神奈川</v>
      </c>
    </row>
    <row r="27" spans="1:7" s="19" customFormat="1" ht="23.1" customHeight="1">
      <c r="A27" s="16" t="str">
        <f>IF('21'!A27="","",'21'!A27)</f>
        <v/>
      </c>
      <c r="B27" s="16">
        <f>IF('21'!B27="","",'21'!B27)</f>
        <v>14</v>
      </c>
      <c r="C27" s="17" t="str">
        <f>IF('21'!C27="","",'21'!C27)</f>
        <v>福田　倫子</v>
      </c>
      <c r="D27" s="249">
        <f>IF('21'!D27="","",'21'!D27)</f>
        <v>20359</v>
      </c>
      <c r="E27" s="17" t="str">
        <f>IF('21'!E27="","",'21'!E27)</f>
        <v>ライジングシャイン</v>
      </c>
      <c r="F27" s="249" t="str">
        <f>IF('21'!F27="","",'21'!F27)</f>
        <v>-</v>
      </c>
      <c r="G27" s="17" t="str">
        <f>IF('21'!G27="","",'21'!G27)</f>
        <v>ライディングクラブモーヴァン</v>
      </c>
    </row>
    <row r="28" spans="1:7" s="19" customFormat="1" ht="23.1" customHeight="1">
      <c r="A28" s="16" t="str">
        <f>IF('21'!A28="","",'21'!A28)</f>
        <v/>
      </c>
      <c r="B28" s="16">
        <f>IF('21'!B28="","",'21'!B28)</f>
        <v>15</v>
      </c>
      <c r="C28" s="17" t="str">
        <f>IF('21'!C28="","",'21'!C28)</f>
        <v>星野　眞也子</v>
      </c>
      <c r="D28" s="249">
        <f>IF('21'!D28="","",'21'!D28)</f>
        <v>30373</v>
      </c>
      <c r="E28" s="17" t="str">
        <f>IF('21'!E28="","",'21'!E28)</f>
        <v>メアラス</v>
      </c>
      <c r="F28" s="249">
        <f>IF('21'!F28="","",'21'!F28)</f>
        <v>59173</v>
      </c>
      <c r="G28" s="17" t="str">
        <f>IF('21'!G28="","",'21'!G28)</f>
        <v>オリエント馬事センター</v>
      </c>
    </row>
    <row r="29" spans="1:7" s="19" customFormat="1" ht="23.1" customHeight="1">
      <c r="A29" s="16" t="str">
        <f>IF('21'!A29="","",'21'!A29)</f>
        <v/>
      </c>
      <c r="B29" s="16">
        <f>IF('21'!B29="","",'21'!B29)</f>
        <v>16</v>
      </c>
      <c r="C29" s="17" t="str">
        <f>IF('21'!C29="","",'21'!C29)</f>
        <v>吉川　隆</v>
      </c>
      <c r="D29" s="249" t="str">
        <f>IF('21'!D29="","",'21'!D29)</f>
        <v>-</v>
      </c>
      <c r="E29" s="17" t="str">
        <f>IF('21'!E29="","",'21'!E29)</f>
        <v>スカイシーカー</v>
      </c>
      <c r="F29" s="249" t="str">
        <f>IF('21'!F29="","",'21'!F29)</f>
        <v>-</v>
      </c>
      <c r="G29" s="17" t="str">
        <f>IF('21'!G29="","",'21'!G29)</f>
        <v>ライディングクラブフジファーム</v>
      </c>
    </row>
    <row r="30" spans="1:7" s="19" customFormat="1" ht="23.1" customHeight="1">
      <c r="A30" s="16" t="str">
        <f>IF('21'!A30="","",'21'!A30)</f>
        <v/>
      </c>
      <c r="B30" s="16">
        <f>IF('21'!B30="","",'21'!B30)</f>
        <v>17</v>
      </c>
      <c r="C30" s="17" t="str">
        <f>IF('21'!C30="","",'21'!C30)</f>
        <v>王　洋軒</v>
      </c>
      <c r="D30" s="249" t="str">
        <f>IF('21'!D30="","",'21'!D30)</f>
        <v>-</v>
      </c>
      <c r="E30" s="17" t="str">
        <f>IF('21'!E30="","",'21'!E30)</f>
        <v>クロニクルノヴァ</v>
      </c>
      <c r="F30" s="249" t="str">
        <f>IF('21'!F30="","",'21'!F30)</f>
        <v>-</v>
      </c>
      <c r="G30" s="17" t="str">
        <f>IF('21'!G30="","",'21'!G30)</f>
        <v>乗馬クラブクレイン東京</v>
      </c>
    </row>
    <row r="31" spans="1:7" s="19" customFormat="1" ht="23.1" customHeight="1">
      <c r="A31" s="16" t="str">
        <f>IF('21'!A31="","",'21'!A31)</f>
        <v/>
      </c>
      <c r="B31" s="16">
        <f>IF('21'!B31="","",'21'!B31)</f>
        <v>18</v>
      </c>
      <c r="C31" s="17" t="str">
        <f>IF('21'!C31="","",'21'!C31)</f>
        <v>黒石　秀紀</v>
      </c>
      <c r="D31" s="249" t="str">
        <f>IF('21'!D31="","",'21'!D31)</f>
        <v>-</v>
      </c>
      <c r="E31" s="17" t="str">
        <f>IF('21'!E31="","",'21'!E31)</f>
        <v>ティラミス</v>
      </c>
      <c r="F31" s="249" t="str">
        <f>IF('21'!F31="","",'21'!F31)</f>
        <v>-</v>
      </c>
      <c r="G31" s="17" t="str">
        <f>IF('21'!G31="","",'21'!G31)</f>
        <v>乗馬クラブクレイン神奈川</v>
      </c>
    </row>
    <row r="32" spans="1:7" s="19" customFormat="1" ht="23.1" customHeight="1">
      <c r="A32" s="16" t="str">
        <f>IF('21'!A32="","",'21'!A32)</f>
        <v/>
      </c>
      <c r="B32" s="16">
        <f>IF('21'!B32="","",'21'!B32)</f>
        <v>19</v>
      </c>
      <c r="C32" s="17" t="str">
        <f>IF('21'!C32="","",'21'!C32)</f>
        <v>高橋　陽美</v>
      </c>
      <c r="D32" s="249">
        <f>IF('21'!D32="","",'21'!D32)</f>
        <v>33226</v>
      </c>
      <c r="E32" s="17" t="str">
        <f>IF('21'!E32="","",'21'!E32)</f>
        <v>ライジングシャイン</v>
      </c>
      <c r="F32" s="249" t="str">
        <f>IF('21'!F32="","",'21'!F32)</f>
        <v>-</v>
      </c>
      <c r="G32" s="17" t="str">
        <f>IF('21'!G32="","",'21'!G32)</f>
        <v>ライディングクラブモーヴァン</v>
      </c>
    </row>
    <row r="33" spans="1:7" s="19" customFormat="1" ht="23.1" customHeight="1">
      <c r="A33" s="16" t="str">
        <f>IF('21'!A33="","",'21'!A33)</f>
        <v>ＯＰ</v>
      </c>
      <c r="B33" s="16">
        <f>IF('21'!B33="","",'21'!B33)</f>
        <v>20</v>
      </c>
      <c r="C33" s="17" t="str">
        <f>IF('21'!C33="","",'21'!C33)</f>
        <v>川口　大輔</v>
      </c>
      <c r="D33" s="249">
        <f>IF('21'!D33="","",'21'!D33)</f>
        <v>13141</v>
      </c>
      <c r="E33" s="17" t="str">
        <f>IF('21'!E33="","",'21'!E33)</f>
        <v>ライアン</v>
      </c>
      <c r="F33" s="249">
        <f>IF('21'!F33="","",'21'!F33)</f>
        <v>57848</v>
      </c>
      <c r="G33" s="17" t="str">
        <f>IF('21'!G33="","",'21'!G33)</f>
        <v>ライディングクラブフジファーム</v>
      </c>
    </row>
    <row r="34" spans="1:7" s="19" customFormat="1" ht="23.1" customHeight="1">
      <c r="A34" s="16" t="str">
        <f>IF('21'!A34="","",'21'!A34)</f>
        <v/>
      </c>
      <c r="B34" s="16">
        <f>IF('21'!B34="","",'21'!B34)</f>
        <v>21</v>
      </c>
      <c r="C34" s="17" t="str">
        <f>IF('21'!C34="","",'21'!C34)</f>
        <v>杉野　ゆみ</v>
      </c>
      <c r="D34" s="249" t="str">
        <f>IF('21'!D34="","",'21'!D34)</f>
        <v>-</v>
      </c>
      <c r="E34" s="17" t="str">
        <f>IF('21'!E34="","",'21'!E34)</f>
        <v>グラスター</v>
      </c>
      <c r="F34" s="249" t="str">
        <f>IF('21'!F34="","",'21'!F34)</f>
        <v>-</v>
      </c>
      <c r="G34" s="17" t="str">
        <f>IF('21'!G34="","",'21'!G34)</f>
        <v>フジホースライディングクラブ</v>
      </c>
    </row>
    <row r="35" spans="1:7" s="19" customFormat="1" ht="23.1" customHeight="1">
      <c r="A35" s="16" t="str">
        <f>IF('21'!A35="","",'21'!A35)</f>
        <v/>
      </c>
      <c r="B35" s="16">
        <f>IF('21'!B35="","",'21'!B35)</f>
        <v>22</v>
      </c>
      <c r="C35" s="17" t="str">
        <f>IF('21'!C35="","",'21'!C35)</f>
        <v>佐々木　愛</v>
      </c>
      <c r="D35" s="249" t="str">
        <f>IF('21'!D35="","",'21'!D35)</f>
        <v>-</v>
      </c>
      <c r="E35" s="17" t="str">
        <f>IF('21'!E35="","",'21'!E35)</f>
        <v>クロニクルノヴァ</v>
      </c>
      <c r="F35" s="249" t="str">
        <f>IF('21'!F35="","",'21'!F35)</f>
        <v>-</v>
      </c>
      <c r="G35" s="17" t="str">
        <f>IF('21'!G35="","",'21'!G35)</f>
        <v>乗馬クラブクレイン東京</v>
      </c>
    </row>
    <row r="36" spans="1:7" s="19" customFormat="1" ht="23.1" customHeight="1">
      <c r="A36" s="16" t="str">
        <f>IF('21'!A36="","",'21'!A36)</f>
        <v/>
      </c>
      <c r="B36" s="16">
        <f>IF('21'!B36="","",'21'!B36)</f>
        <v>23</v>
      </c>
      <c r="C36" s="17" t="str">
        <f>IF('21'!C36="","",'21'!C36)</f>
        <v>吉澤　春花</v>
      </c>
      <c r="D36" s="249" t="str">
        <f>IF('21'!D36="","",'21'!D36)</f>
        <v>-</v>
      </c>
      <c r="E36" s="17" t="str">
        <f>IF('21'!E36="","",'21'!E36)</f>
        <v>トイボックス</v>
      </c>
      <c r="F36" s="249" t="str">
        <f>IF('21'!F36="","",'21'!F36)</f>
        <v>-</v>
      </c>
      <c r="G36" s="17" t="str">
        <f>IF('21'!G36="","",'21'!G36)</f>
        <v>乗馬クラブクレイン東京</v>
      </c>
    </row>
    <row r="37" spans="1:7" s="19" customFormat="1" ht="23.1" customHeight="1">
      <c r="A37" s="16" t="str">
        <f>IF('21'!A37="","",'21'!A37)</f>
        <v>ＯＰ</v>
      </c>
      <c r="B37" s="16">
        <f>IF('21'!B37="","",'21'!B37)</f>
        <v>24</v>
      </c>
      <c r="C37" s="17" t="str">
        <f>IF('21'!C37="","",'21'!C37)</f>
        <v>本間　唯純</v>
      </c>
      <c r="D37" s="249">
        <f>IF('21'!D37="","",'21'!D37)</f>
        <v>14546</v>
      </c>
      <c r="E37" s="17" t="str">
        <f>IF('21'!E37="","",'21'!E37)</f>
        <v>ごま丸</v>
      </c>
      <c r="F37" s="249" t="str">
        <f>IF('21'!F37="","",'21'!F37)</f>
        <v>-</v>
      </c>
      <c r="G37" s="17" t="str">
        <f>IF('21'!G37="","",'21'!G37)</f>
        <v>乗馬クラブクレイン神奈川</v>
      </c>
    </row>
    <row r="38" spans="1:7" s="19" customFormat="1" ht="23.1" customHeight="1">
      <c r="A38" s="16" t="str">
        <f>IF('21'!A38="","",'21'!A38)</f>
        <v/>
      </c>
      <c r="B38" s="16">
        <f>IF('21'!B38="","",'21'!B38)</f>
        <v>25</v>
      </c>
      <c r="C38" s="17" t="str">
        <f>IF('21'!C38="","",'21'!C38)</f>
        <v>佐伯　未桜</v>
      </c>
      <c r="D38" s="249" t="str">
        <f>IF('21'!D38="","",'21'!D38)</f>
        <v>-</v>
      </c>
      <c r="E38" s="17" t="str">
        <f>IF('21'!E38="","",'21'!E38)</f>
        <v>ライアン</v>
      </c>
      <c r="F38" s="249">
        <f>IF('21'!F38="","",'21'!F38)</f>
        <v>57848</v>
      </c>
      <c r="G38" s="17" t="str">
        <f>IF('21'!G38="","",'21'!G38)</f>
        <v>ライディングクラブフジファーム</v>
      </c>
    </row>
    <row r="39" spans="1:7" s="19" customFormat="1" ht="23.1" customHeight="1">
      <c r="A39" s="16" t="str">
        <f>IF('21'!A39="","",'21'!A39)</f>
        <v>OP</v>
      </c>
      <c r="B39" s="16">
        <f>IF('21'!B39="","",'21'!B39)</f>
        <v>26</v>
      </c>
      <c r="C39" s="17" t="str">
        <f>IF('21'!C39="","",'21'!C39)</f>
        <v>川口　大輔</v>
      </c>
      <c r="D39" s="249">
        <f>IF('21'!D39="","",'21'!D39)</f>
        <v>13141</v>
      </c>
      <c r="E39" s="17" t="str">
        <f>IF('21'!E39="","",'21'!E39)</f>
        <v>クールモンテ</v>
      </c>
      <c r="F39" s="249" t="str">
        <f>IF('21'!F39="","",'21'!F39)</f>
        <v>‐</v>
      </c>
      <c r="G39" s="17" t="str">
        <f>IF('21'!G39="","",'21'!G39)</f>
        <v>ライディングクラブフジファーム</v>
      </c>
    </row>
    <row r="40" spans="1:7" s="19" customFormat="1" ht="23.1" customHeight="1">
      <c r="A40" s="16" t="str">
        <f>IF('21'!A40="","",'21'!A40)</f>
        <v/>
      </c>
      <c r="B40" s="16">
        <f>IF('21'!B40="","",'21'!B40)</f>
        <v>27</v>
      </c>
      <c r="C40" s="17" t="str">
        <f>IF('21'!C40="","",'21'!C40)</f>
        <v>山本　久美子</v>
      </c>
      <c r="D40" s="249" t="str">
        <f>IF('21'!D40="","",'21'!D40)</f>
        <v>-</v>
      </c>
      <c r="E40" s="17" t="str">
        <f>IF('21'!E40="","",'21'!E40)</f>
        <v>オーロラオジョウ</v>
      </c>
      <c r="F40" s="249" t="str">
        <f>IF('21'!F40="","",'21'!F40)</f>
        <v>-</v>
      </c>
      <c r="G40" s="17" t="str">
        <f>IF('21'!G40="","",'21'!G40)</f>
        <v>筑波スカイラインスティーブル</v>
      </c>
    </row>
    <row r="41" spans="1:7" s="19" customFormat="1" ht="23.1" customHeight="1">
      <c r="A41" s="16" t="str">
        <f>IF('21'!A41="","",'21'!A41)</f>
        <v/>
      </c>
      <c r="B41" s="16">
        <f>IF('21'!B41="","",'21'!B41)</f>
        <v>28</v>
      </c>
      <c r="C41" s="17" t="str">
        <f>IF('21'!C41="","",'21'!C41)</f>
        <v>林　清子</v>
      </c>
      <c r="D41" s="249" t="str">
        <f>IF('21'!D41="","",'21'!D41)</f>
        <v>-</v>
      </c>
      <c r="E41" s="17" t="str">
        <f>IF('21'!E41="","",'21'!E41)</f>
        <v>アタビズム</v>
      </c>
      <c r="F41" s="249" t="str">
        <f>IF('21'!F41="","",'21'!F41)</f>
        <v>-</v>
      </c>
      <c r="G41" s="17" t="str">
        <f>IF('21'!G41="","",'21'!G41)</f>
        <v>筑波スカイラインスティーブル</v>
      </c>
    </row>
    <row r="42" spans="1:7" s="19" customFormat="1" ht="23.1" customHeight="1">
      <c r="A42" s="16" t="str">
        <f>IF('21'!A42="","",'21'!A42)</f>
        <v/>
      </c>
      <c r="B42" s="16">
        <f>IF('21'!B42="","",'21'!B42)</f>
        <v>29</v>
      </c>
      <c r="C42" s="17" t="str">
        <f>IF('21'!C42="","",'21'!C42)</f>
        <v>佐藤　裕昭</v>
      </c>
      <c r="D42" s="249" t="str">
        <f>IF('21'!D42="","",'21'!D42)</f>
        <v>-</v>
      </c>
      <c r="E42" s="17" t="str">
        <f>IF('21'!E42="","",'21'!E42)</f>
        <v>トイボックス</v>
      </c>
      <c r="F42" s="249" t="str">
        <f>IF('21'!F42="","",'21'!F42)</f>
        <v>-</v>
      </c>
      <c r="G42" s="17" t="str">
        <f>IF('21'!G42="","",'21'!G42)</f>
        <v>乗馬クラブクレイン東京</v>
      </c>
    </row>
    <row r="43" spans="1:7" s="19" customFormat="1" ht="23.1" customHeight="1">
      <c r="A43" s="16" t="str">
        <f>IF('21'!A43="","",'21'!A43)</f>
        <v/>
      </c>
      <c r="B43" s="16">
        <f>IF('21'!B43="","",'21'!B43)</f>
        <v>30</v>
      </c>
      <c r="C43" s="17" t="str">
        <f>IF('21'!C43="","",'21'!C43)</f>
        <v>榎本　恵子</v>
      </c>
      <c r="D43" s="249" t="str">
        <f>IF('21'!D43="","",'21'!D43)</f>
        <v>-</v>
      </c>
      <c r="E43" s="17" t="str">
        <f>IF('21'!E43="","",'21'!E43)</f>
        <v>ごま丸</v>
      </c>
      <c r="F43" s="249" t="str">
        <f>IF('21'!F43="","",'21'!F43)</f>
        <v>-</v>
      </c>
      <c r="G43" s="17" t="str">
        <f>IF('21'!G43="","",'21'!G43)</f>
        <v>乗馬クラブクレイン神奈川</v>
      </c>
    </row>
    <row r="44" spans="1:7" ht="23.1" customHeight="1">
      <c r="A44" s="16" t="str">
        <f>IF('21'!A44="","",'21'!A44)</f>
        <v/>
      </c>
      <c r="B44" s="16">
        <f>IF('21'!B44="","",'21'!B44)</f>
        <v>31</v>
      </c>
      <c r="C44" s="17" t="str">
        <f>IF('21'!C44="","",'21'!C44)</f>
        <v>渡邉　陽和</v>
      </c>
      <c r="D44" s="249" t="str">
        <f>IF('21'!D44="","",'21'!D44)</f>
        <v>-</v>
      </c>
      <c r="E44" s="17" t="str">
        <f>IF('21'!E44="","",'21'!E44)</f>
        <v>クールモンテ</v>
      </c>
      <c r="F44" s="249" t="str">
        <f>IF('21'!F44="","",'21'!F44)</f>
        <v>‐</v>
      </c>
      <c r="G44" s="17" t="str">
        <f>IF('21'!G44="","",'21'!G44)</f>
        <v>ライディングクラブフジファーム</v>
      </c>
    </row>
    <row r="45" spans="1:7" ht="23.1" customHeight="1">
      <c r="A45" s="16" t="str">
        <f>IF('21'!A45="","",'21'!A45)</f>
        <v>WD</v>
      </c>
      <c r="B45" s="16">
        <f>IF('21'!B45="","",'21'!B45)</f>
        <v>32</v>
      </c>
      <c r="C45" s="17" t="str">
        <f>IF('21'!C45="","",'21'!C45)</f>
        <v>小野　敬司</v>
      </c>
      <c r="D45" s="249">
        <f>IF('21'!D45="","",'21'!D45)</f>
        <v>21867</v>
      </c>
      <c r="E45" s="17" t="str">
        <f>IF('21'!E45="","",'21'!E45)</f>
        <v>マグノオンゾウシ</v>
      </c>
      <c r="F45" s="249" t="str">
        <f>IF('21'!F45="","",'21'!F45)</f>
        <v>-</v>
      </c>
      <c r="G45" s="17" t="str">
        <f>IF('21'!G45="","",'21'!G45)</f>
        <v>乗馬クラブクレイン東京</v>
      </c>
    </row>
    <row r="46" spans="1:7" ht="23.1" customHeight="1">
      <c r="A46" s="16" t="str">
        <f>IF('21'!A46="","",'21'!A46)</f>
        <v>WD</v>
      </c>
      <c r="B46" s="16">
        <f>IF('21'!B46="","",'21'!B46)</f>
        <v>33</v>
      </c>
      <c r="C46" s="17" t="str">
        <f>IF('21'!C46="","",'21'!C46)</f>
        <v>七野　陽華</v>
      </c>
      <c r="D46" s="249" t="str">
        <f>IF('21'!D46="","",'21'!D46)</f>
        <v>-</v>
      </c>
      <c r="E46" s="17" t="str">
        <f>IF('21'!E46="","",'21'!E46)</f>
        <v>マグノオンゾウシ</v>
      </c>
      <c r="F46" s="249" t="str">
        <f>IF('21'!F46="","",'21'!F46)</f>
        <v>-</v>
      </c>
      <c r="G46" s="17" t="str">
        <f>IF('21'!G46="","",'21'!G46)</f>
        <v>乗馬クラブクレイン東京</v>
      </c>
    </row>
    <row r="47" spans="1:7" ht="23.1" customHeight="1">
      <c r="A47" s="16" t="str">
        <f>IF('21'!A47="","",'21'!A47)</f>
        <v>WD</v>
      </c>
      <c r="B47" s="16">
        <f>IF('21'!B47="","",'21'!B47)</f>
        <v>34</v>
      </c>
      <c r="C47" s="17" t="str">
        <f>IF('21'!C47="","",'21'!C47)</f>
        <v>梅澤　美和子</v>
      </c>
      <c r="D47" s="249">
        <f>IF('21'!D47="","",'21'!D47)</f>
        <v>6200</v>
      </c>
      <c r="E47" s="17" t="str">
        <f>IF('21'!E47="","",'21'!E47)</f>
        <v>マグノオンゾウシ</v>
      </c>
      <c r="F47" s="249" t="str">
        <f>IF('21'!F47="","",'21'!F47)</f>
        <v>-</v>
      </c>
      <c r="G47" s="17" t="str">
        <f>IF('21'!G47="","",'21'!G47)</f>
        <v>乗馬クラブクレイン東京</v>
      </c>
    </row>
    <row r="48" spans="1:7" ht="23.1" customHeight="1">
      <c r="A48" s="16" t="str">
        <f>IF('21'!A48="","",'21'!A48)</f>
        <v>WD</v>
      </c>
      <c r="B48" s="16">
        <f>IF('21'!B48="","",'21'!B48)</f>
        <v>35</v>
      </c>
      <c r="C48" s="17" t="str">
        <f>IF('21'!C48="","",'21'!C48)</f>
        <v>小野　敬司</v>
      </c>
      <c r="D48" s="249">
        <f>IF('21'!D48="","",'21'!D48)</f>
        <v>21867</v>
      </c>
      <c r="E48" s="17" t="str">
        <f>IF('21'!E48="","",'21'!E48)</f>
        <v>トイボックス</v>
      </c>
      <c r="F48" s="249" t="str">
        <f>IF('21'!F48="","",'21'!F48)</f>
        <v>-</v>
      </c>
      <c r="G48" s="17" t="str">
        <f>IF('21'!G48="","",'21'!G48)</f>
        <v>乗馬クラブクレイン東京</v>
      </c>
    </row>
    <row r="49" spans="1:7" ht="23.1" customHeight="1">
      <c r="A49" s="16" t="str">
        <f>IF('21'!A49="","",'21'!A49)</f>
        <v/>
      </c>
      <c r="B49" s="16">
        <f>IF('21'!B49="","",'21'!B49)</f>
        <v>36</v>
      </c>
      <c r="C49" s="17" t="str">
        <f>IF('21'!C49="","",'21'!C49)</f>
        <v/>
      </c>
      <c r="D49" s="249" t="str">
        <f>IF('21'!D49="","",'21'!D49)</f>
        <v/>
      </c>
      <c r="E49" s="17" t="str">
        <f>IF('21'!E49="","",'21'!E49)</f>
        <v/>
      </c>
      <c r="F49" s="249" t="str">
        <f>IF('21'!F49="","",'21'!F49)</f>
        <v/>
      </c>
      <c r="G49" s="17" t="str">
        <f>IF('21'!G49="","",'21'!G49)</f>
        <v/>
      </c>
    </row>
    <row r="50" spans="1:7" ht="23.1" customHeight="1">
      <c r="A50" s="16" t="str">
        <f>IF('21'!A50="","",'21'!A50)</f>
        <v/>
      </c>
      <c r="B50" s="16">
        <f>IF('21'!B50="","",'21'!B50)</f>
        <v>37</v>
      </c>
      <c r="C50" s="17" t="str">
        <f>IF('21'!C50="","",'21'!C50)</f>
        <v/>
      </c>
      <c r="D50" s="249" t="str">
        <f>IF('21'!D50="","",'21'!D50)</f>
        <v/>
      </c>
      <c r="E50" s="17" t="str">
        <f>IF('21'!E50="","",'21'!E50)</f>
        <v/>
      </c>
      <c r="F50" s="249" t="str">
        <f>IF('21'!F50="","",'21'!F50)</f>
        <v/>
      </c>
      <c r="G50" s="17" t="str">
        <f>IF('21'!G50="","",'21'!G50)</f>
        <v/>
      </c>
    </row>
    <row r="51" spans="1:7" ht="23.1" customHeight="1">
      <c r="A51" s="16" t="str">
        <f>IF('21'!A51="","",'21'!A51)</f>
        <v/>
      </c>
      <c r="B51" s="16">
        <f>IF('21'!B51="","",'21'!B51)</f>
        <v>38</v>
      </c>
      <c r="C51" s="17" t="str">
        <f>IF('21'!C51="","",'21'!C51)</f>
        <v/>
      </c>
      <c r="D51" s="249" t="str">
        <f>IF('21'!D51="","",'21'!D51)</f>
        <v/>
      </c>
      <c r="E51" s="17" t="str">
        <f>IF('21'!E51="","",'21'!E51)</f>
        <v/>
      </c>
      <c r="F51" s="249" t="str">
        <f>IF('21'!F51="","",'21'!F51)</f>
        <v/>
      </c>
      <c r="G51" s="17" t="str">
        <f>IF('21'!G51="","",'21'!G51)</f>
        <v/>
      </c>
    </row>
    <row r="52" spans="1:7" ht="23.1" customHeight="1">
      <c r="A52" s="16" t="str">
        <f>IF('21'!A52="","",'21'!A52)</f>
        <v/>
      </c>
      <c r="B52" s="16">
        <f>IF('21'!B52="","",'21'!B52)</f>
        <v>39</v>
      </c>
      <c r="C52" s="17" t="str">
        <f>IF('21'!C52="","",'21'!C52)</f>
        <v/>
      </c>
      <c r="D52" s="249" t="str">
        <f>IF('21'!D52="","",'21'!D52)</f>
        <v/>
      </c>
      <c r="E52" s="17" t="str">
        <f>IF('21'!E52="","",'21'!E52)</f>
        <v/>
      </c>
      <c r="F52" s="249" t="str">
        <f>IF('21'!F52="","",'21'!F52)</f>
        <v/>
      </c>
      <c r="G52" s="17" t="str">
        <f>IF('21'!G52="","",'21'!G52)</f>
        <v/>
      </c>
    </row>
    <row r="53" spans="1:7" ht="23.1" customHeight="1">
      <c r="A53" s="16" t="str">
        <f>IF('21'!A53="","",'21'!A53)</f>
        <v/>
      </c>
      <c r="B53" s="16">
        <f>IF('21'!B53="","",'21'!B53)</f>
        <v>40</v>
      </c>
      <c r="C53" s="17" t="str">
        <f>IF('21'!C53="","",'21'!C53)</f>
        <v/>
      </c>
      <c r="D53" s="249" t="str">
        <f>IF('21'!D53="","",'21'!D53)</f>
        <v/>
      </c>
      <c r="E53" s="17" t="str">
        <f>IF('21'!E53="","",'21'!E53)</f>
        <v/>
      </c>
      <c r="F53" s="249" t="str">
        <f>IF('21'!F53="","",'21'!F53)</f>
        <v/>
      </c>
      <c r="G53" s="17" t="str">
        <f>IF('21'!G53="","",'21'!G53)</f>
        <v/>
      </c>
    </row>
    <row r="54" spans="1:7" ht="23.1" customHeight="1">
      <c r="A54" s="16" t="str">
        <f>IF('21'!A54="","",'21'!A54)</f>
        <v/>
      </c>
      <c r="B54" s="16">
        <f>IF('21'!B54="","",'21'!B54)</f>
        <v>41</v>
      </c>
      <c r="C54" s="17" t="str">
        <f>IF('21'!C54="","",'21'!C54)</f>
        <v/>
      </c>
      <c r="D54" s="249" t="str">
        <f>IF('21'!D54="","",'21'!D54)</f>
        <v/>
      </c>
      <c r="E54" s="17" t="str">
        <f>IF('21'!E54="","",'21'!E54)</f>
        <v/>
      </c>
      <c r="F54" s="249" t="str">
        <f>IF('21'!F54="","",'21'!F54)</f>
        <v/>
      </c>
      <c r="G54" s="17" t="str">
        <f>IF('21'!G54="","",'21'!G54)</f>
        <v/>
      </c>
    </row>
    <row r="55" spans="1:7" ht="23.1" customHeight="1">
      <c r="A55" s="16" t="str">
        <f>IF('21'!A55="","",'21'!A55)</f>
        <v/>
      </c>
      <c r="B55" s="16">
        <f>IF('21'!B55="","",'21'!B55)</f>
        <v>42</v>
      </c>
      <c r="C55" s="17" t="str">
        <f>IF('21'!C55="","",'21'!C55)</f>
        <v/>
      </c>
      <c r="D55" s="249" t="str">
        <f>IF('21'!D55="","",'21'!D55)</f>
        <v/>
      </c>
      <c r="E55" s="17" t="str">
        <f>IF('21'!E55="","",'21'!E55)</f>
        <v/>
      </c>
      <c r="F55" s="249" t="str">
        <f>IF('21'!F55="","",'21'!F55)</f>
        <v/>
      </c>
      <c r="G55" s="17" t="str">
        <f>IF('21'!G55="","",'21'!G55)</f>
        <v/>
      </c>
    </row>
    <row r="56" spans="1:7" ht="23.1" customHeight="1">
      <c r="A56" s="16" t="str">
        <f>IF('21'!A56="","",'21'!A56)</f>
        <v/>
      </c>
      <c r="B56" s="16">
        <f>IF('21'!B56="","",'21'!B56)</f>
        <v>43</v>
      </c>
      <c r="C56" s="17" t="str">
        <f>IF('21'!C56="","",'21'!C56)</f>
        <v/>
      </c>
      <c r="D56" s="249" t="str">
        <f>IF('21'!D56="","",'21'!D56)</f>
        <v/>
      </c>
      <c r="E56" s="17" t="str">
        <f>IF('21'!E56="","",'21'!E56)</f>
        <v/>
      </c>
      <c r="F56" s="249" t="str">
        <f>IF('21'!F56="","",'21'!F56)</f>
        <v/>
      </c>
      <c r="G56" s="17" t="str">
        <f>IF('21'!G56="","",'21'!G56)</f>
        <v/>
      </c>
    </row>
    <row r="57" spans="1:7" ht="23.1" customHeight="1">
      <c r="A57" s="16" t="str">
        <f>IF('21'!A57="","",'21'!A57)</f>
        <v/>
      </c>
      <c r="B57" s="16">
        <f>IF('21'!B57="","",'21'!B57)</f>
        <v>44</v>
      </c>
      <c r="C57" s="17" t="str">
        <f>IF('21'!C57="","",'21'!C57)</f>
        <v/>
      </c>
      <c r="D57" s="249" t="str">
        <f>IF('21'!D57="","",'21'!D57)</f>
        <v/>
      </c>
      <c r="E57" s="17" t="str">
        <f>IF('21'!E57="","",'21'!E57)</f>
        <v/>
      </c>
      <c r="F57" s="249" t="str">
        <f>IF('21'!F57="","",'21'!F57)</f>
        <v/>
      </c>
      <c r="G57" s="17" t="str">
        <f>IF('21'!G57="","",'21'!G57)</f>
        <v/>
      </c>
    </row>
    <row r="58" spans="1:7" ht="23.1" customHeight="1">
      <c r="A58" s="16" t="str">
        <f>IF('21'!A58="","",'21'!A58)</f>
        <v/>
      </c>
      <c r="B58" s="16">
        <f>IF('21'!B58="","",'21'!B58)</f>
        <v>45</v>
      </c>
      <c r="C58" s="17" t="str">
        <f>IF('21'!C58="","",'21'!C58)</f>
        <v/>
      </c>
      <c r="D58" s="249" t="str">
        <f>IF('21'!D58="","",'21'!D58)</f>
        <v/>
      </c>
      <c r="E58" s="17" t="str">
        <f>IF('21'!E58="","",'21'!E58)</f>
        <v/>
      </c>
      <c r="F58" s="249" t="str">
        <f>IF('21'!F58="","",'21'!F58)</f>
        <v/>
      </c>
      <c r="G58" s="17" t="str">
        <f>IF('21'!G58="","",'21'!G58)</f>
        <v/>
      </c>
    </row>
    <row r="59" spans="1:7" ht="23.1" customHeight="1">
      <c r="A59" s="16" t="str">
        <f>IF('21'!A59="","",'21'!A59)</f>
        <v/>
      </c>
      <c r="B59" s="16">
        <f>IF('21'!B59="","",'21'!B59)</f>
        <v>46</v>
      </c>
      <c r="C59" s="17" t="str">
        <f>IF('21'!C59="","",'21'!C59)</f>
        <v/>
      </c>
      <c r="D59" s="249" t="str">
        <f>IF('21'!D59="","",'21'!D59)</f>
        <v/>
      </c>
      <c r="E59" s="17" t="str">
        <f>IF('21'!E59="","",'21'!E59)</f>
        <v/>
      </c>
      <c r="F59" s="249" t="str">
        <f>IF('21'!F59="","",'21'!F59)</f>
        <v/>
      </c>
      <c r="G59" s="17" t="str">
        <f>IF('21'!G59="","",'21'!G59)</f>
        <v/>
      </c>
    </row>
    <row r="60" spans="1:7" ht="23.1" customHeight="1">
      <c r="A60" s="16" t="str">
        <f>IF('21'!A60="","",'21'!A60)</f>
        <v/>
      </c>
      <c r="B60" s="16">
        <f>IF('21'!B60="","",'21'!B60)</f>
        <v>47</v>
      </c>
      <c r="C60" s="17" t="str">
        <f>IF('21'!C60="","",'21'!C60)</f>
        <v/>
      </c>
      <c r="D60" s="249" t="str">
        <f>IF('21'!D60="","",'21'!D60)</f>
        <v/>
      </c>
      <c r="E60" s="17" t="str">
        <f>IF('21'!E60="","",'21'!E60)</f>
        <v/>
      </c>
      <c r="F60" s="249" t="str">
        <f>IF('21'!F60="","",'21'!F60)</f>
        <v/>
      </c>
      <c r="G60" s="17" t="str">
        <f>IF('21'!G60="","",'21'!G60)</f>
        <v/>
      </c>
    </row>
    <row r="61" spans="1:7" ht="23.1" customHeight="1">
      <c r="A61" s="16" t="str">
        <f>IF('21'!A61="","",'21'!A61)</f>
        <v/>
      </c>
      <c r="B61" s="16">
        <f>IF('21'!B61="","",'21'!B61)</f>
        <v>48</v>
      </c>
      <c r="C61" s="17" t="str">
        <f>IF('21'!C61="","",'21'!C61)</f>
        <v/>
      </c>
      <c r="D61" s="249" t="str">
        <f>IF('21'!D61="","",'21'!D61)</f>
        <v/>
      </c>
      <c r="E61" s="17" t="str">
        <f>IF('21'!E61="","",'21'!E61)</f>
        <v/>
      </c>
      <c r="F61" s="249" t="str">
        <f>IF('21'!F61="","",'21'!F61)</f>
        <v/>
      </c>
      <c r="G61" s="17" t="str">
        <f>IF('21'!G61="","",'21'!G61)</f>
        <v/>
      </c>
    </row>
    <row r="62" spans="1:7" ht="23.1" customHeight="1">
      <c r="A62" s="16" t="str">
        <f>IF('21'!A62="","",'21'!A62)</f>
        <v/>
      </c>
      <c r="B62" s="16">
        <f>IF('21'!B62="","",'21'!B62)</f>
        <v>49</v>
      </c>
      <c r="C62" s="17" t="str">
        <f>IF('21'!C62="","",'21'!C62)</f>
        <v/>
      </c>
      <c r="D62" s="249" t="str">
        <f>IF('21'!D62="","",'21'!D62)</f>
        <v/>
      </c>
      <c r="E62" s="17" t="str">
        <f>IF('21'!E62="","",'21'!E62)</f>
        <v/>
      </c>
      <c r="F62" s="249" t="str">
        <f>IF('21'!F62="","",'21'!F62)</f>
        <v/>
      </c>
      <c r="G62" s="17" t="str">
        <f>IF('21'!G62="","",'21'!G62)</f>
        <v/>
      </c>
    </row>
    <row r="63" spans="1:7" ht="23.1" customHeight="1">
      <c r="A63" s="16" t="str">
        <f>IF('21'!A63="","",'21'!A63)</f>
        <v/>
      </c>
      <c r="B63" s="16">
        <f>IF('21'!B63="","",'21'!B63)</f>
        <v>50</v>
      </c>
      <c r="C63" s="17" t="str">
        <f>IF('21'!C63="","",'21'!C63)</f>
        <v/>
      </c>
      <c r="D63" s="249" t="str">
        <f>IF('21'!D63="","",'21'!D63)</f>
        <v/>
      </c>
      <c r="E63" s="17" t="str">
        <f>IF('21'!E63="","",'21'!E63)</f>
        <v/>
      </c>
      <c r="F63" s="249" t="str">
        <f>IF('21'!F63="","",'21'!F63)</f>
        <v/>
      </c>
      <c r="G63" s="17" t="str">
        <f>IF('21'!G63="","",'21'!G63)</f>
        <v/>
      </c>
    </row>
    <row r="64" spans="1:7" ht="23.1" customHeight="1">
      <c r="A64" s="16" t="str">
        <f>IF('21'!A64="","",'21'!A64)</f>
        <v/>
      </c>
      <c r="B64" s="16">
        <f>IF('21'!B64="","",'21'!B64)</f>
        <v>51</v>
      </c>
      <c r="C64" s="17" t="str">
        <f>IF('21'!C64="","",'21'!C64)</f>
        <v/>
      </c>
      <c r="D64" s="249" t="str">
        <f>IF('21'!D64="","",'21'!D64)</f>
        <v/>
      </c>
      <c r="E64" s="17" t="str">
        <f>IF('21'!E64="","",'21'!E64)</f>
        <v/>
      </c>
      <c r="F64" s="249" t="str">
        <f>IF('21'!F64="","",'21'!F64)</f>
        <v/>
      </c>
      <c r="G64" s="17" t="str">
        <f>IF('21'!G64="","",'21'!G64)</f>
        <v/>
      </c>
    </row>
    <row r="65" spans="1:7" ht="23.1" customHeight="1">
      <c r="A65" s="16" t="str">
        <f>IF('21'!A65="","",'21'!A65)</f>
        <v/>
      </c>
      <c r="B65" s="16">
        <f>IF('21'!B65="","",'21'!B65)</f>
        <v>52</v>
      </c>
      <c r="C65" s="17" t="str">
        <f>IF('21'!C65="","",'21'!C65)</f>
        <v/>
      </c>
      <c r="D65" s="249" t="str">
        <f>IF('21'!D65="","",'21'!D65)</f>
        <v/>
      </c>
      <c r="E65" s="17" t="str">
        <f>IF('21'!E65="","",'21'!E65)</f>
        <v/>
      </c>
      <c r="F65" s="249" t="str">
        <f>IF('21'!F65="","",'21'!F65)</f>
        <v/>
      </c>
      <c r="G65" s="17" t="str">
        <f>IF('21'!G65="","",'21'!G65)</f>
        <v/>
      </c>
    </row>
    <row r="66" spans="1:7" ht="23.1" customHeight="1">
      <c r="A66" s="16" t="str">
        <f>IF('21'!A66="","",'21'!A66)</f>
        <v/>
      </c>
      <c r="B66" s="16">
        <f>IF('21'!B66="","",'21'!B66)</f>
        <v>53</v>
      </c>
      <c r="C66" s="17" t="str">
        <f>IF('21'!C66="","",'21'!C66)</f>
        <v/>
      </c>
      <c r="D66" s="249" t="str">
        <f>IF('21'!D66="","",'21'!D66)</f>
        <v/>
      </c>
      <c r="E66" s="17" t="str">
        <f>IF('21'!E66="","",'21'!E66)</f>
        <v/>
      </c>
      <c r="F66" s="249" t="str">
        <f>IF('21'!F66="","",'21'!F66)</f>
        <v/>
      </c>
      <c r="G66" s="17" t="str">
        <f>IF('21'!G66="","",'21'!G66)</f>
        <v/>
      </c>
    </row>
    <row r="67" spans="1:7" ht="23.1" customHeight="1">
      <c r="A67" s="16" t="str">
        <f>IF('21'!A67="","",'21'!A67)</f>
        <v/>
      </c>
      <c r="B67" s="16">
        <f>IF('21'!B67="","",'21'!B67)</f>
        <v>54</v>
      </c>
      <c r="C67" s="17" t="str">
        <f>IF('21'!C67="","",'21'!C67)</f>
        <v/>
      </c>
      <c r="D67" s="249" t="str">
        <f>IF('21'!D67="","",'21'!D67)</f>
        <v/>
      </c>
      <c r="E67" s="17" t="str">
        <f>IF('21'!E67="","",'21'!E67)</f>
        <v/>
      </c>
      <c r="F67" s="249" t="str">
        <f>IF('21'!F67="","",'21'!F67)</f>
        <v/>
      </c>
      <c r="G67" s="17" t="str">
        <f>IF('21'!G67="","",'21'!G67)</f>
        <v/>
      </c>
    </row>
    <row r="68" spans="1:7" ht="23.1" customHeight="1">
      <c r="A68" s="16" t="str">
        <f>IF('21'!A68="","",'21'!A68)</f>
        <v/>
      </c>
      <c r="B68" s="16" t="str">
        <f>IF('21'!B68="","",'21'!B68)</f>
        <v/>
      </c>
      <c r="C68" s="17" t="str">
        <f>IF('21'!C68="","",'21'!C68)</f>
        <v/>
      </c>
      <c r="D68" s="249" t="str">
        <f>IF('21'!D68="","",'21'!D68)</f>
        <v/>
      </c>
      <c r="E68" s="17" t="str">
        <f>IF('21'!E68="","",'21'!E68)</f>
        <v/>
      </c>
      <c r="F68" s="249" t="str">
        <f>IF('21'!F68="","",'21'!F68)</f>
        <v/>
      </c>
      <c r="G68" s="17" t="str">
        <f>IF('21'!G68="","",'21'!G68)</f>
        <v/>
      </c>
    </row>
    <row r="69" spans="1:7" ht="23.1" customHeight="1">
      <c r="A69" s="16" t="str">
        <f>IF('21'!A69="","",'21'!A69)</f>
        <v/>
      </c>
      <c r="B69" s="16" t="str">
        <f>IF('21'!B69="","",'21'!B69)</f>
        <v/>
      </c>
      <c r="C69" s="17" t="str">
        <f>IF('21'!C69="","",'21'!C69)</f>
        <v/>
      </c>
      <c r="D69" s="249" t="str">
        <f>IF('21'!D69="","",'21'!D69)</f>
        <v/>
      </c>
      <c r="E69" s="17" t="str">
        <f>IF('21'!E69="","",'21'!E69)</f>
        <v/>
      </c>
      <c r="F69" s="249" t="str">
        <f>IF('21'!F69="","",'21'!F69)</f>
        <v/>
      </c>
      <c r="G69" s="17" t="str">
        <f>IF('21'!G69="","",'21'!G69)</f>
        <v/>
      </c>
    </row>
    <row r="70" spans="1:7" ht="23.1" customHeight="1">
      <c r="A70" s="16" t="str">
        <f>IF('21'!A70="","",'21'!A70)</f>
        <v/>
      </c>
      <c r="B70" s="16" t="str">
        <f>IF('21'!B70="","",'21'!B70)</f>
        <v/>
      </c>
      <c r="C70" s="17" t="str">
        <f>IF('21'!C70="","",'21'!C70)</f>
        <v/>
      </c>
      <c r="D70" s="249" t="str">
        <f>IF('21'!D70="","",'21'!D70)</f>
        <v/>
      </c>
      <c r="E70" s="17" t="str">
        <f>IF('21'!E70="","",'21'!E70)</f>
        <v/>
      </c>
      <c r="F70" s="249" t="str">
        <f>IF('21'!F70="","",'21'!F70)</f>
        <v/>
      </c>
      <c r="G70" s="17" t="str">
        <f>IF('21'!G70="","",'21'!G70)</f>
        <v/>
      </c>
    </row>
    <row r="71" spans="1:7" ht="23.1" customHeight="1">
      <c r="A71" s="16" t="str">
        <f>IF('21'!A71="","",'21'!A71)</f>
        <v/>
      </c>
      <c r="B71" s="16" t="str">
        <f>IF('21'!B71="","",'21'!B71)</f>
        <v/>
      </c>
      <c r="C71" s="17" t="str">
        <f>IF('21'!C71="","",'21'!C71)</f>
        <v/>
      </c>
      <c r="D71" s="249" t="str">
        <f>IF('21'!D71="","",'21'!D71)</f>
        <v/>
      </c>
      <c r="E71" s="17" t="str">
        <f>IF('21'!E71="","",'21'!E71)</f>
        <v/>
      </c>
      <c r="F71" s="249" t="str">
        <f>IF('21'!F71="","",'21'!F71)</f>
        <v/>
      </c>
      <c r="G71" s="17" t="str">
        <f>IF('21'!G71="","",'21'!G71)</f>
        <v/>
      </c>
    </row>
    <row r="72" spans="1:7" ht="23.1" customHeight="1">
      <c r="A72" s="16" t="str">
        <f>IF('21'!A72="","",'21'!A72)</f>
        <v/>
      </c>
      <c r="B72" s="16" t="str">
        <f>IF('21'!B72="","",'21'!B72)</f>
        <v/>
      </c>
      <c r="C72" s="17" t="str">
        <f>IF('21'!C72="","",'21'!C72)</f>
        <v/>
      </c>
      <c r="D72" s="249" t="str">
        <f>IF('21'!D72="","",'21'!D72)</f>
        <v/>
      </c>
      <c r="E72" s="17" t="str">
        <f>IF('21'!E72="","",'21'!E72)</f>
        <v/>
      </c>
      <c r="F72" s="249" t="str">
        <f>IF('21'!F72="","",'21'!F72)</f>
        <v/>
      </c>
      <c r="G72" s="17" t="str">
        <f>IF('21'!G72="","",'21'!G72)</f>
        <v/>
      </c>
    </row>
    <row r="73" spans="1:7" ht="23.1" customHeight="1">
      <c r="A73" s="16" t="str">
        <f>IF('21'!A73="","",'21'!A73)</f>
        <v/>
      </c>
      <c r="B73" s="16" t="str">
        <f>IF('21'!B73="","",'21'!B73)</f>
        <v/>
      </c>
      <c r="C73" s="17" t="str">
        <f>IF('21'!C73="","",'21'!C73)</f>
        <v/>
      </c>
      <c r="D73" s="249" t="str">
        <f>IF('21'!D73="","",'21'!D73)</f>
        <v/>
      </c>
      <c r="E73" s="17" t="str">
        <f>IF('21'!E73="","",'21'!E73)</f>
        <v/>
      </c>
      <c r="F73" s="249" t="str">
        <f>IF('21'!F73="","",'21'!F73)</f>
        <v/>
      </c>
      <c r="G73" s="17" t="str">
        <f>IF('21'!G73="","",'21'!G73)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11F6B-D452-4E5E-AB20-8ED8FB193E1C}">
  <sheetPr codeName="Sheet3">
    <tabColor rgb="FF0070C0"/>
  </sheetPr>
  <dimension ref="A4:J16"/>
  <sheetViews>
    <sheetView view="pageBreakPreview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6.6640625" style="142" customWidth="1"/>
    <col min="6" max="16384" width="8.88671875" style="142"/>
  </cols>
  <sheetData>
    <row r="4" spans="1:10" ht="30" customHeight="1">
      <c r="A4" s="318" t="str">
        <f>'22_A80 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'22_A80 '!B8</f>
        <v>22</v>
      </c>
      <c r="C6" s="142" t="s">
        <v>42</v>
      </c>
      <c r="D6" s="145" t="str">
        <f>'22_A80 '!D8:F8</f>
        <v>バーティカルジャンプ８０</v>
      </c>
    </row>
    <row r="8" spans="1:10" ht="30" customHeight="1">
      <c r="C8" s="142" t="s">
        <v>604</v>
      </c>
      <c r="E8" s="147" t="s">
        <v>629</v>
      </c>
    </row>
    <row r="9" spans="1:10" ht="30" customHeight="1">
      <c r="C9" s="142" t="s">
        <v>605</v>
      </c>
      <c r="E9" s="150" t="s">
        <v>631</v>
      </c>
      <c r="F9" s="142" t="s">
        <v>606</v>
      </c>
    </row>
    <row r="10" spans="1:10" ht="30" customHeight="1">
      <c r="A10" s="320" t="s">
        <v>615</v>
      </c>
      <c r="B10" s="320"/>
      <c r="C10" s="320"/>
      <c r="D10" s="320"/>
      <c r="E10" s="320"/>
      <c r="F10" s="320"/>
      <c r="G10" s="320"/>
      <c r="H10" s="320"/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3">
    <mergeCell ref="A4:J4"/>
    <mergeCell ref="C11:G11"/>
    <mergeCell ref="A10:H10"/>
  </mergeCells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7E1A-C847-4E36-B13D-2D773400E08C}">
  <sheetPr codeName="Sheet4">
    <tabColor rgb="FF0070C0"/>
  </sheetPr>
  <dimension ref="A4:H16"/>
  <sheetViews>
    <sheetView view="pageBreakPreview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24.33203125" style="146" customWidth="1"/>
    <col min="5" max="5" width="13.33203125" style="142" bestFit="1" customWidth="1"/>
    <col min="6" max="16384" width="8.88671875" style="142"/>
  </cols>
  <sheetData>
    <row r="4" spans="1:8" ht="30" customHeight="1">
      <c r="A4" s="318" t="str">
        <f>'22_A80 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</row>
    <row r="6" spans="1:8" ht="30" customHeight="1">
      <c r="A6" s="143" t="s">
        <v>41</v>
      </c>
      <c r="B6" s="144">
        <f>'22_A80 '!B8</f>
        <v>22</v>
      </c>
      <c r="C6" s="142" t="s">
        <v>42</v>
      </c>
      <c r="D6" s="145" t="str">
        <f>'22'!F4</f>
        <v>バーティカルジャンプ８０</v>
      </c>
    </row>
    <row r="8" spans="1:8" ht="30" customHeight="1">
      <c r="C8" s="142" t="s">
        <v>604</v>
      </c>
      <c r="E8" s="150" t="s">
        <v>700</v>
      </c>
    </row>
    <row r="9" spans="1:8" ht="30" customHeight="1">
      <c r="C9" s="142" t="s">
        <v>605</v>
      </c>
      <c r="E9" s="147" t="s">
        <v>631</v>
      </c>
      <c r="F9" s="142" t="s">
        <v>606</v>
      </c>
    </row>
    <row r="11" spans="1:8" ht="30" customHeight="1">
      <c r="A11" s="320" t="s">
        <v>615</v>
      </c>
      <c r="B11" s="320"/>
      <c r="C11" s="320"/>
      <c r="D11" s="320"/>
      <c r="E11" s="320"/>
      <c r="F11" s="320"/>
      <c r="G11" s="320"/>
      <c r="H11" s="320"/>
    </row>
    <row r="12" spans="1:8" ht="30" customHeight="1">
      <c r="D12" s="142"/>
      <c r="F12" s="146"/>
      <c r="G12" s="146"/>
    </row>
    <row r="13" spans="1:8" ht="30" customHeight="1">
      <c r="D13" s="142"/>
      <c r="F13" s="146"/>
      <c r="G13" s="146"/>
    </row>
    <row r="14" spans="1:8" ht="30" customHeight="1">
      <c r="D14" s="142"/>
      <c r="G14" s="146"/>
    </row>
    <row r="15" spans="1:8" ht="30" customHeight="1">
      <c r="D15" s="142"/>
      <c r="G15" s="146"/>
    </row>
    <row r="16" spans="1:8" ht="30" customHeight="1">
      <c r="D16" s="145"/>
      <c r="E16" s="145"/>
      <c r="F16" s="145"/>
      <c r="G16" s="145"/>
    </row>
  </sheetData>
  <mergeCells count="2">
    <mergeCell ref="A4:H4"/>
    <mergeCell ref="A11:H11"/>
  </mergeCells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'22'!C3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'22'!C4</f>
        <v>22</v>
      </c>
      <c r="C8" s="4" t="s">
        <v>42</v>
      </c>
      <c r="D8" s="311" t="str">
        <f>'22'!F4</f>
        <v>バーティカルジャンプ８０</v>
      </c>
      <c r="E8" s="311"/>
      <c r="F8" s="311"/>
    </row>
    <row r="9" spans="1:7" ht="18.75" customHeight="1">
      <c r="C9" s="11" t="s">
        <v>11</v>
      </c>
      <c r="D9" s="247" t="str">
        <f>'22'!D5</f>
        <v>-</v>
      </c>
      <c r="E9" s="4" t="s">
        <v>9</v>
      </c>
      <c r="F9" s="250" t="str">
        <f>'22'!K4</f>
        <v>-</v>
      </c>
    </row>
    <row r="10" spans="1:7" ht="21" customHeight="1">
      <c r="A10" s="12" t="s">
        <v>43</v>
      </c>
      <c r="B10" s="12"/>
      <c r="C10" s="12"/>
      <c r="D10" s="248" t="str">
        <f>'22'!D6</f>
        <v>-</v>
      </c>
      <c r="E10" s="4" t="s">
        <v>12</v>
      </c>
      <c r="F10" s="251" t="str">
        <f>'22'!F5</f>
        <v>-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IF('22'!A14="","",'22'!A14)</f>
        <v>OP</v>
      </c>
      <c r="B14" s="16">
        <f>IF('22'!B14="","",'22'!B14)</f>
        <v>1</v>
      </c>
      <c r="C14" s="17" t="str">
        <f>IF('22'!C14="","",'22'!C14)</f>
        <v>服部　亮太</v>
      </c>
      <c r="D14" s="249" t="str">
        <f>IF('22'!D14="","",'22'!D14)</f>
        <v>-</v>
      </c>
      <c r="E14" s="17" t="str">
        <f>IF('22'!E14="","",'22'!E14)</f>
        <v>ティラミス</v>
      </c>
      <c r="F14" s="249" t="str">
        <f>IF('22'!F14="","",'22'!F14)</f>
        <v>-</v>
      </c>
      <c r="G14" s="17" t="str">
        <f>IF('22'!G14="","",'22'!G14)</f>
        <v>乗馬クラブクレイン神奈川</v>
      </c>
    </row>
    <row r="15" spans="1:7" s="19" customFormat="1" ht="23.1" customHeight="1">
      <c r="A15" s="16" t="str">
        <f>IF('22'!A15="","",'22'!A15)</f>
        <v/>
      </c>
      <c r="B15" s="16">
        <f>IF('22'!B15="","",'22'!B15)</f>
        <v>2</v>
      </c>
      <c r="C15" s="17" t="str">
        <f>IF('22'!C15="","",'22'!C15)</f>
        <v>梅澤　美和子</v>
      </c>
      <c r="D15" s="249">
        <f>IF('22'!D15="","",'22'!D15)</f>
        <v>6200</v>
      </c>
      <c r="E15" s="17" t="str">
        <f>IF('22'!E15="","",'22'!E15)</f>
        <v>ミッキースピリット</v>
      </c>
      <c r="F15" s="249">
        <f>IF('22'!F15="","",'22'!F15)</f>
        <v>60192</v>
      </c>
      <c r="G15" s="17" t="str">
        <f>IF('22'!G15="","",'22'!G15)</f>
        <v>乗馬クラブクレイン東京</v>
      </c>
    </row>
    <row r="16" spans="1:7" s="19" customFormat="1" ht="23.1" customHeight="1">
      <c r="A16" s="16" t="str">
        <f>IF('22'!A16="","",'22'!A16)</f>
        <v>OP</v>
      </c>
      <c r="B16" s="16">
        <f>IF('22'!B16="","",'22'!B16)</f>
        <v>3</v>
      </c>
      <c r="C16" s="17" t="str">
        <f>IF('22'!C16="","",'22'!C16)</f>
        <v>鈴木　良明</v>
      </c>
      <c r="D16" s="249">
        <f>IF('22'!D16="","",'22'!D16)</f>
        <v>26433</v>
      </c>
      <c r="E16" s="17" t="str">
        <f>IF('22'!E16="","",'22'!E16)</f>
        <v>フォルティス</v>
      </c>
      <c r="F16" s="249">
        <f>IF('22'!F16="","",'22'!F16)</f>
        <v>61240</v>
      </c>
      <c r="G16" s="17" t="str">
        <f>IF('22'!G16="","",'22'!G16)</f>
        <v>乗馬クラブクレイン神奈川</v>
      </c>
    </row>
    <row r="17" spans="1:7" s="19" customFormat="1" ht="23.1" customHeight="1">
      <c r="A17" s="16" t="str">
        <f>IF('22'!A17="","",'22'!A17)</f>
        <v/>
      </c>
      <c r="B17" s="16">
        <f>IF('22'!B17="","",'22'!B17)</f>
        <v>4</v>
      </c>
      <c r="C17" s="17" t="str">
        <f>IF('22'!C17="","",'22'!C17)</f>
        <v>吉岡　容子</v>
      </c>
      <c r="D17" s="249">
        <f>IF('22'!D17="","",'22'!D17)</f>
        <v>32787</v>
      </c>
      <c r="E17" s="17" t="str">
        <f>IF('22'!E17="","",'22'!E17)</f>
        <v>ベルナルドI</v>
      </c>
      <c r="F17" s="249">
        <f>IF('22'!F17="","",'22'!F17)</f>
        <v>58347</v>
      </c>
      <c r="G17" s="17" t="str">
        <f>IF('22'!G17="","",'22'!G17)</f>
        <v>乗馬クラブクレイン伊奈</v>
      </c>
    </row>
    <row r="18" spans="1:7" s="19" customFormat="1" ht="23.1" customHeight="1">
      <c r="A18" s="16" t="str">
        <f>IF('22'!A18="","",'22'!A18)</f>
        <v/>
      </c>
      <c r="B18" s="16">
        <f>IF('22'!B18="","",'22'!B18)</f>
        <v>5</v>
      </c>
      <c r="C18" s="17" t="str">
        <f>IF('22'!C18="","",'22'!C18)</f>
        <v>野々川　颯華</v>
      </c>
      <c r="D18" s="249" t="str">
        <f>IF('22'!D18="","",'22'!D18)</f>
        <v>-</v>
      </c>
      <c r="E18" s="17" t="str">
        <f>IF('22'!E18="","",'22'!E18)</f>
        <v>紅鈴</v>
      </c>
      <c r="F18" s="249">
        <f>IF('22'!F18="","",'22'!F18)</f>
        <v>57863</v>
      </c>
      <c r="G18" s="17" t="str">
        <f>IF('22'!G18="","",'22'!G18)</f>
        <v>拓殖大学馬術部</v>
      </c>
    </row>
    <row r="19" spans="1:7" s="19" customFormat="1" ht="23.1" customHeight="1">
      <c r="A19" s="16" t="str">
        <f>IF('22'!A19="","",'22'!A19)</f>
        <v/>
      </c>
      <c r="B19" s="16">
        <f>IF('22'!B19="","",'22'!B19)</f>
        <v>6</v>
      </c>
      <c r="C19" s="17" t="str">
        <f>IF('22'!C19="","",'22'!C19)</f>
        <v>岩崎　優馬</v>
      </c>
      <c r="D19" s="249" t="str">
        <f>IF('22'!D19="","",'22'!D19)</f>
        <v>-</v>
      </c>
      <c r="E19" s="17" t="str">
        <f>IF('22'!E19="","",'22'!E19)</f>
        <v>ごま丸</v>
      </c>
      <c r="F19" s="249" t="str">
        <f>IF('22'!F19="","",'22'!F19)</f>
        <v>-</v>
      </c>
      <c r="G19" s="17" t="str">
        <f>IF('22'!G19="","",'22'!G19)</f>
        <v>乗馬クラブクレイン神奈川</v>
      </c>
    </row>
    <row r="20" spans="1:7" s="19" customFormat="1" ht="23.1" customHeight="1">
      <c r="A20" s="16" t="str">
        <f>IF('22'!A20="","",'22'!A20)</f>
        <v/>
      </c>
      <c r="B20" s="16">
        <f>IF('22'!B20="","",'22'!B20)</f>
        <v>7</v>
      </c>
      <c r="C20" s="17" t="str">
        <f>IF('22'!C20="","",'22'!C20)</f>
        <v>小林　暁子</v>
      </c>
      <c r="D20" s="249">
        <f>IF('22'!D20="","",'22'!D20)</f>
        <v>31486</v>
      </c>
      <c r="E20" s="17" t="str">
        <f>IF('22'!E20="","",'22'!E20)</f>
        <v>アデラヴィーナス</v>
      </c>
      <c r="F20" s="249">
        <f>IF('22'!F20="","",'22'!F20)</f>
        <v>60672</v>
      </c>
      <c r="G20" s="17" t="str">
        <f>IF('22'!G20="","",'22'!G20)</f>
        <v>STAR HORSES</v>
      </c>
    </row>
    <row r="21" spans="1:7" s="19" customFormat="1" ht="23.1" customHeight="1">
      <c r="A21" s="16" t="str">
        <f>IF('22'!A21="","",'22'!A21)</f>
        <v/>
      </c>
      <c r="B21" s="16">
        <f>IF('22'!B21="","",'22'!B21)</f>
        <v>8</v>
      </c>
      <c r="C21" s="17" t="str">
        <f>IF('22'!C21="","",'22'!C21)</f>
        <v>飯島　真紀</v>
      </c>
      <c r="D21" s="249" t="str">
        <f>IF('22'!D21="","",'22'!D21)</f>
        <v>-</v>
      </c>
      <c r="E21" s="17" t="str">
        <f>IF('22'!E21="","",'22'!E21)</f>
        <v>ティラミス</v>
      </c>
      <c r="F21" s="249" t="str">
        <f>IF('22'!F21="","",'22'!F21)</f>
        <v>-</v>
      </c>
      <c r="G21" s="17" t="str">
        <f>IF('22'!G21="","",'22'!G21)</f>
        <v>乗馬クラブクレイン神奈川</v>
      </c>
    </row>
    <row r="22" spans="1:7" s="19" customFormat="1" ht="23.1" customHeight="1">
      <c r="A22" s="16" t="str">
        <f>IF('22'!A22="","",'22'!A22)</f>
        <v/>
      </c>
      <c r="B22" s="16">
        <f>IF('22'!B22="","",'22'!B22)</f>
        <v>9</v>
      </c>
      <c r="C22" s="17" t="str">
        <f>IF('22'!C22="","",'22'!C22)</f>
        <v>七野　陽華</v>
      </c>
      <c r="D22" s="249" t="str">
        <f>IF('22'!D22="","",'22'!D22)</f>
        <v>-</v>
      </c>
      <c r="E22" s="17" t="str">
        <f>IF('22'!E22="","",'22'!E22)</f>
        <v>ミッキースピリット</v>
      </c>
      <c r="F22" s="249">
        <f>IF('22'!F22="","",'22'!F22)</f>
        <v>60192</v>
      </c>
      <c r="G22" s="17" t="str">
        <f>IF('22'!G22="","",'22'!G22)</f>
        <v>乗馬クラブクレイン東京</v>
      </c>
    </row>
    <row r="23" spans="1:7" s="19" customFormat="1" ht="23.1" customHeight="1">
      <c r="A23" s="16" t="str">
        <f>IF('22'!A23="","",'22'!A23)</f>
        <v/>
      </c>
      <c r="B23" s="16">
        <f>IF('22'!B23="","",'22'!B23)</f>
        <v>10</v>
      </c>
      <c r="C23" s="17" t="str">
        <f>IF('22'!C23="","",'22'!C23)</f>
        <v>伊藤　靖志</v>
      </c>
      <c r="D23" s="249" t="str">
        <f>IF('22'!D23="","",'22'!D23)</f>
        <v>-</v>
      </c>
      <c r="E23" s="17" t="str">
        <f>IF('22'!E23="","",'22'!E23)</f>
        <v>フォルティス</v>
      </c>
      <c r="F23" s="249">
        <f>IF('22'!F23="","",'22'!F23)</f>
        <v>61240</v>
      </c>
      <c r="G23" s="17" t="str">
        <f>IF('22'!G23="","",'22'!G23)</f>
        <v>乗馬クラブクレイン神奈川</v>
      </c>
    </row>
    <row r="24" spans="1:7" s="19" customFormat="1" ht="23.1" customHeight="1">
      <c r="A24" s="16" t="str">
        <f>IF('22'!A24="","",'22'!A24)</f>
        <v/>
      </c>
      <c r="B24" s="16">
        <f>IF('22'!B24="","",'22'!B24)</f>
        <v>11</v>
      </c>
      <c r="C24" s="17" t="str">
        <f>IF('22'!C24="","",'22'!C24)</f>
        <v>小川　秀生</v>
      </c>
      <c r="D24" s="249" t="str">
        <f>IF('22'!D24="","",'22'!D24)</f>
        <v>-</v>
      </c>
      <c r="E24" s="17" t="str">
        <f>IF('22'!E24="","",'22'!E24)</f>
        <v>ベルナルドI</v>
      </c>
      <c r="F24" s="249">
        <f>IF('22'!F24="","",'22'!F24)</f>
        <v>58347</v>
      </c>
      <c r="G24" s="17" t="str">
        <f>IF('22'!G24="","",'22'!G24)</f>
        <v>乗馬クラブクレイン伊奈</v>
      </c>
    </row>
    <row r="25" spans="1:7" s="19" customFormat="1" ht="23.1" customHeight="1">
      <c r="A25" s="16" t="str">
        <f>IF('22'!A25="","",'22'!A25)</f>
        <v/>
      </c>
      <c r="B25" s="16">
        <f>IF('22'!B25="","",'22'!B25)</f>
        <v>12</v>
      </c>
      <c r="C25" s="17" t="str">
        <f>IF('22'!C25="","",'22'!C25)</f>
        <v>渡辺　美羽</v>
      </c>
      <c r="D25" s="249" t="str">
        <f>IF('22'!D25="","",'22'!D25)</f>
        <v>-</v>
      </c>
      <c r="E25" s="17" t="str">
        <f>IF('22'!E25="","",'22'!E25)</f>
        <v>ジューン</v>
      </c>
      <c r="F25" s="249" t="str">
        <f>IF('22'!F25="","",'22'!F25)</f>
        <v>-</v>
      </c>
      <c r="G25" s="17" t="str">
        <f>IF('22'!G25="","",'22'!G25)</f>
        <v>岡本ライディングクラブJAPAN</v>
      </c>
    </row>
    <row r="26" spans="1:7" s="19" customFormat="1" ht="23.1" customHeight="1">
      <c r="A26" s="16" t="str">
        <f>IF('22'!A26="","",'22'!A26)</f>
        <v/>
      </c>
      <c r="B26" s="16">
        <f>IF('22'!B26="","",'22'!B26)</f>
        <v>13</v>
      </c>
      <c r="C26" s="17" t="str">
        <f>IF('22'!C26="","",'22'!C26)</f>
        <v>鈴木　絢子</v>
      </c>
      <c r="D26" s="249" t="str">
        <f>IF('22'!D26="","",'22'!D26)</f>
        <v>-</v>
      </c>
      <c r="E26" s="17" t="str">
        <f>IF('22'!E26="","",'22'!E26)</f>
        <v>リモーネ</v>
      </c>
      <c r="F26" s="249">
        <f>IF('22'!F26="","",'22'!F26)</f>
        <v>58308</v>
      </c>
      <c r="G26" s="17" t="str">
        <f>IF('22'!G26="","",'22'!G26)</f>
        <v>乗馬クラブクレイン東京</v>
      </c>
    </row>
    <row r="27" spans="1:7" s="19" customFormat="1" ht="23.1" customHeight="1">
      <c r="A27" s="16" t="str">
        <f>IF('22'!A27="","",'22'!A27)</f>
        <v/>
      </c>
      <c r="B27" s="16">
        <f>IF('22'!B27="","",'22'!B27)</f>
        <v>14</v>
      </c>
      <c r="C27" s="17" t="str">
        <f>IF('22'!C27="","",'22'!C27)</f>
        <v>鈴木　萌</v>
      </c>
      <c r="D27" s="249">
        <f>IF('22'!D27="","",'22'!D27)</f>
        <v>31292</v>
      </c>
      <c r="E27" s="17" t="str">
        <f>IF('22'!E27="","",'22'!E27)</f>
        <v>フェアレディー</v>
      </c>
      <c r="F27" s="249">
        <f>IF('22'!F27="","",'22'!F27)</f>
        <v>50565</v>
      </c>
      <c r="G27" s="17" t="str">
        <f>IF('22'!G27="","",'22'!G27)</f>
        <v>Horses' New Stage</v>
      </c>
    </row>
    <row r="28" spans="1:7" s="19" customFormat="1" ht="23.1" customHeight="1">
      <c r="A28" s="16" t="str">
        <f>IF('22'!A28="","",'22'!A28)</f>
        <v/>
      </c>
      <c r="B28" s="16">
        <f>IF('22'!B28="","",'22'!B28)</f>
        <v>15</v>
      </c>
      <c r="C28" s="17" t="str">
        <f>IF('22'!C28="","",'22'!C28)</f>
        <v>千田　陽菜</v>
      </c>
      <c r="D28" s="249" t="str">
        <f>IF('22'!D28="","",'22'!D28)</f>
        <v>-</v>
      </c>
      <c r="E28" s="17" t="str">
        <f>IF('22'!E28="","",'22'!E28)</f>
        <v>ティラミス</v>
      </c>
      <c r="F28" s="249" t="str">
        <f>IF('22'!F28="","",'22'!F28)</f>
        <v>-</v>
      </c>
      <c r="G28" s="17" t="str">
        <f>IF('22'!G28="","",'22'!G28)</f>
        <v>乗馬クラブクレイン神奈川</v>
      </c>
    </row>
    <row r="29" spans="1:7" s="19" customFormat="1" ht="23.1" customHeight="1">
      <c r="A29" s="16" t="str">
        <f>IF('22'!A29="","",'22'!A29)</f>
        <v>WD</v>
      </c>
      <c r="B29" s="16">
        <f>IF('22'!B29="","",'22'!B29)</f>
        <v>16</v>
      </c>
      <c r="C29" s="17" t="str">
        <f>IF('22'!C29="","",'22'!C29)</f>
        <v>小山　知美</v>
      </c>
      <c r="D29" s="249">
        <f>IF('22'!D29="","",'22'!D29)</f>
        <v>33226</v>
      </c>
      <c r="E29" s="17" t="str">
        <f>IF('22'!E29="","",'22'!E29)</f>
        <v>イクスプロージョン</v>
      </c>
      <c r="F29" s="249">
        <f>IF('22'!F29="","",'22'!F29)</f>
        <v>61773</v>
      </c>
      <c r="G29" s="17" t="str">
        <f>IF('22'!G29="","",'22'!G29)</f>
        <v>ライディングクラブモーヴァン</v>
      </c>
    </row>
    <row r="30" spans="1:7" s="19" customFormat="1" ht="23.1" customHeight="1">
      <c r="A30" s="16" t="str">
        <f>IF('22'!A30="","",'22'!A30)</f>
        <v>WD</v>
      </c>
      <c r="B30" s="16">
        <f>IF('22'!B30="","",'22'!B30)</f>
        <v>17</v>
      </c>
      <c r="C30" s="17" t="str">
        <f>IF('22'!C30="","",'22'!C30)</f>
        <v>櫻井　飛鳥</v>
      </c>
      <c r="D30" s="249">
        <f>IF('22'!D30="","",'22'!D30)</f>
        <v>32214</v>
      </c>
      <c r="E30" s="17" t="str">
        <f>IF('22'!E30="","",'22'!E30)</f>
        <v>ワンダークラッシー</v>
      </c>
      <c r="F30" s="249" t="str">
        <f>IF('22'!F30="","",'22'!F30)</f>
        <v>-</v>
      </c>
      <c r="G30" s="17" t="str">
        <f>IF('22'!G30="","",'22'!G30)</f>
        <v>北駿ホースヴィラ</v>
      </c>
    </row>
    <row r="31" spans="1:7" s="19" customFormat="1" ht="23.1" customHeight="1">
      <c r="A31" s="16" t="str">
        <f>IF('22'!A31="","",'22'!A31)</f>
        <v/>
      </c>
      <c r="B31" s="16">
        <f>IF('22'!B31="","",'22'!B31)</f>
        <v>18</v>
      </c>
      <c r="C31" s="17" t="str">
        <f>IF('22'!C31="","",'22'!C31)</f>
        <v/>
      </c>
      <c r="D31" s="249" t="str">
        <f>IF('22'!D31="","",'22'!D31)</f>
        <v/>
      </c>
      <c r="E31" s="17" t="str">
        <f>IF('22'!E31="","",'22'!E31)</f>
        <v/>
      </c>
      <c r="F31" s="249" t="str">
        <f>IF('22'!F31="","",'22'!F31)</f>
        <v/>
      </c>
      <c r="G31" s="17" t="str">
        <f>IF('22'!G31="","",'22'!G31)</f>
        <v/>
      </c>
    </row>
    <row r="32" spans="1:7" s="19" customFormat="1" ht="23.1" customHeight="1">
      <c r="A32" s="16" t="str">
        <f>IF('22'!A32="","",'22'!A32)</f>
        <v/>
      </c>
      <c r="B32" s="16">
        <f>IF('22'!B32="","",'22'!B32)</f>
        <v>19</v>
      </c>
      <c r="C32" s="17" t="str">
        <f>IF('22'!C32="","",'22'!C32)</f>
        <v/>
      </c>
      <c r="D32" s="249" t="str">
        <f>IF('22'!D32="","",'22'!D32)</f>
        <v/>
      </c>
      <c r="E32" s="17" t="str">
        <f>IF('22'!E32="","",'22'!E32)</f>
        <v/>
      </c>
      <c r="F32" s="249" t="str">
        <f>IF('22'!F32="","",'22'!F32)</f>
        <v/>
      </c>
      <c r="G32" s="17" t="str">
        <f>IF('22'!G32="","",'22'!G32)</f>
        <v/>
      </c>
    </row>
    <row r="33" spans="1:7" s="19" customFormat="1" ht="23.1" customHeight="1">
      <c r="A33" s="16" t="str">
        <f>IF('22'!A33="","",'22'!A33)</f>
        <v/>
      </c>
      <c r="B33" s="16">
        <f>IF('22'!B33="","",'22'!B33)</f>
        <v>20</v>
      </c>
      <c r="C33" s="17" t="str">
        <f>IF('22'!C33="","",'22'!C33)</f>
        <v/>
      </c>
      <c r="D33" s="249" t="str">
        <f>IF('22'!D33="","",'22'!D33)</f>
        <v/>
      </c>
      <c r="E33" s="17" t="str">
        <f>IF('22'!E33="","",'22'!E33)</f>
        <v/>
      </c>
      <c r="F33" s="249" t="str">
        <f>IF('22'!F33="","",'22'!F33)</f>
        <v/>
      </c>
      <c r="G33" s="17" t="str">
        <f>IF('22'!G33="","",'22'!G33)</f>
        <v/>
      </c>
    </row>
    <row r="34" spans="1:7" s="19" customFormat="1" ht="23.1" customHeight="1">
      <c r="A34" s="16" t="str">
        <f>IF('22'!A34="","",'22'!A34)</f>
        <v/>
      </c>
      <c r="B34" s="16">
        <f>IF('22'!B34="","",'22'!B34)</f>
        <v>21</v>
      </c>
      <c r="C34" s="17" t="str">
        <f>IF('22'!C34="","",'22'!C34)</f>
        <v/>
      </c>
      <c r="D34" s="249" t="str">
        <f>IF('22'!D34="","",'22'!D34)</f>
        <v/>
      </c>
      <c r="E34" s="17" t="str">
        <f>IF('22'!E34="","",'22'!E34)</f>
        <v/>
      </c>
      <c r="F34" s="249" t="str">
        <f>IF('22'!F34="","",'22'!F34)</f>
        <v/>
      </c>
      <c r="G34" s="17" t="str">
        <f>IF('22'!G34="","",'22'!G34)</f>
        <v/>
      </c>
    </row>
    <row r="35" spans="1:7" s="19" customFormat="1" ht="23.1" customHeight="1">
      <c r="A35" s="16" t="str">
        <f>IF('22'!A35="","",'22'!A35)</f>
        <v/>
      </c>
      <c r="B35" s="16">
        <f>IF('22'!B35="","",'22'!B35)</f>
        <v>22</v>
      </c>
      <c r="C35" s="17" t="str">
        <f>IF('22'!C35="","",'22'!C35)</f>
        <v/>
      </c>
      <c r="D35" s="249" t="str">
        <f>IF('22'!D35="","",'22'!D35)</f>
        <v/>
      </c>
      <c r="E35" s="17" t="str">
        <f>IF('22'!E35="","",'22'!E35)</f>
        <v/>
      </c>
      <c r="F35" s="249" t="str">
        <f>IF('22'!F35="","",'22'!F35)</f>
        <v/>
      </c>
      <c r="G35" s="17" t="str">
        <f>IF('22'!G35="","",'22'!G35)</f>
        <v/>
      </c>
    </row>
    <row r="36" spans="1:7" s="19" customFormat="1" ht="23.1" customHeight="1">
      <c r="A36" s="16" t="str">
        <f>IF('22'!A36="","",'22'!A36)</f>
        <v/>
      </c>
      <c r="B36" s="16">
        <f>IF('22'!B36="","",'22'!B36)</f>
        <v>23</v>
      </c>
      <c r="C36" s="17" t="str">
        <f>IF('22'!C36="","",'22'!C36)</f>
        <v/>
      </c>
      <c r="D36" s="249" t="str">
        <f>IF('22'!D36="","",'22'!D36)</f>
        <v/>
      </c>
      <c r="E36" s="17" t="str">
        <f>IF('22'!E36="","",'22'!E36)</f>
        <v/>
      </c>
      <c r="F36" s="249" t="str">
        <f>IF('22'!F36="","",'22'!F36)</f>
        <v/>
      </c>
      <c r="G36" s="17" t="str">
        <f>IF('22'!G36="","",'22'!G36)</f>
        <v/>
      </c>
    </row>
    <row r="37" spans="1:7" s="19" customFormat="1" ht="23.1" customHeight="1">
      <c r="A37" s="16" t="str">
        <f>IF('22'!A37="","",'22'!A37)</f>
        <v/>
      </c>
      <c r="B37" s="16">
        <f>IF('22'!B37="","",'22'!B37)</f>
        <v>24</v>
      </c>
      <c r="C37" s="17" t="str">
        <f>IF('22'!C37="","",'22'!C37)</f>
        <v/>
      </c>
      <c r="D37" s="249" t="str">
        <f>IF('22'!D37="","",'22'!D37)</f>
        <v/>
      </c>
      <c r="E37" s="17" t="str">
        <f>IF('22'!E37="","",'22'!E37)</f>
        <v/>
      </c>
      <c r="F37" s="249" t="str">
        <f>IF('22'!F37="","",'22'!F37)</f>
        <v/>
      </c>
      <c r="G37" s="17" t="str">
        <f>IF('22'!G37="","",'22'!G37)</f>
        <v/>
      </c>
    </row>
    <row r="38" spans="1:7" s="19" customFormat="1" ht="23.1" customHeight="1">
      <c r="A38" s="16" t="str">
        <f>IF('22'!A38="","",'22'!A38)</f>
        <v/>
      </c>
      <c r="B38" s="16">
        <f>IF('22'!B38="","",'22'!B38)</f>
        <v>25</v>
      </c>
      <c r="C38" s="17" t="str">
        <f>IF('22'!C38="","",'22'!C38)</f>
        <v/>
      </c>
      <c r="D38" s="249" t="str">
        <f>IF('22'!D38="","",'22'!D38)</f>
        <v/>
      </c>
      <c r="E38" s="17" t="str">
        <f>IF('22'!E38="","",'22'!E38)</f>
        <v/>
      </c>
      <c r="F38" s="249" t="str">
        <f>IF('22'!F38="","",'22'!F38)</f>
        <v/>
      </c>
      <c r="G38" s="17" t="str">
        <f>IF('22'!G38="","",'22'!G38)</f>
        <v/>
      </c>
    </row>
    <row r="39" spans="1:7" s="19" customFormat="1" ht="23.1" customHeight="1">
      <c r="A39" s="16" t="str">
        <f>IF('22'!A39="","",'22'!A39)</f>
        <v/>
      </c>
      <c r="B39" s="16">
        <f>IF('22'!B39="","",'22'!B39)</f>
        <v>26</v>
      </c>
      <c r="C39" s="17" t="str">
        <f>IF('22'!C39="","",'22'!C39)</f>
        <v/>
      </c>
      <c r="D39" s="249" t="str">
        <f>IF('22'!D39="","",'22'!D39)</f>
        <v/>
      </c>
      <c r="E39" s="17" t="str">
        <f>IF('22'!E39="","",'22'!E39)</f>
        <v/>
      </c>
      <c r="F39" s="249" t="str">
        <f>IF('22'!F39="","",'22'!F39)</f>
        <v/>
      </c>
      <c r="G39" s="17" t="str">
        <f>IF('22'!G39="","",'22'!G39)</f>
        <v/>
      </c>
    </row>
    <row r="40" spans="1:7" s="19" customFormat="1" ht="23.1" customHeight="1">
      <c r="A40" s="16" t="str">
        <f>IF('22'!A40="","",'22'!A40)</f>
        <v/>
      </c>
      <c r="B40" s="16">
        <f>IF('22'!B40="","",'22'!B40)</f>
        <v>27</v>
      </c>
      <c r="C40" s="17" t="str">
        <f>IF('22'!C40="","",'22'!C40)</f>
        <v/>
      </c>
      <c r="D40" s="249" t="str">
        <f>IF('22'!D40="","",'22'!D40)</f>
        <v/>
      </c>
      <c r="E40" s="17" t="str">
        <f>IF('22'!E40="","",'22'!E40)</f>
        <v/>
      </c>
      <c r="F40" s="249" t="str">
        <f>IF('22'!F40="","",'22'!F40)</f>
        <v/>
      </c>
      <c r="G40" s="17" t="str">
        <f>IF('22'!G40="","",'22'!G40)</f>
        <v/>
      </c>
    </row>
    <row r="41" spans="1:7" s="19" customFormat="1" ht="23.1" customHeight="1">
      <c r="A41" s="16" t="str">
        <f>IF('22'!A41="","",'22'!A41)</f>
        <v/>
      </c>
      <c r="B41" s="16">
        <f>IF('22'!B41="","",'22'!B41)</f>
        <v>28</v>
      </c>
      <c r="C41" s="17" t="str">
        <f>IF('22'!C41="","",'22'!C41)</f>
        <v/>
      </c>
      <c r="D41" s="249" t="str">
        <f>IF('22'!D41="","",'22'!D41)</f>
        <v/>
      </c>
      <c r="E41" s="17" t="str">
        <f>IF('22'!E41="","",'22'!E41)</f>
        <v/>
      </c>
      <c r="F41" s="249" t="str">
        <f>IF('22'!F41="","",'22'!F41)</f>
        <v/>
      </c>
      <c r="G41" s="17" t="str">
        <f>IF('22'!G41="","",'22'!G41)</f>
        <v/>
      </c>
    </row>
    <row r="42" spans="1:7" s="19" customFormat="1" ht="23.1" customHeight="1">
      <c r="A42" s="16" t="str">
        <f>IF('22'!A42="","",'22'!A42)</f>
        <v/>
      </c>
      <c r="B42" s="16">
        <f>IF('22'!B42="","",'22'!B42)</f>
        <v>29</v>
      </c>
      <c r="C42" s="17" t="str">
        <f>IF('22'!C42="","",'22'!C42)</f>
        <v/>
      </c>
      <c r="D42" s="249" t="str">
        <f>IF('22'!D42="","",'22'!D42)</f>
        <v/>
      </c>
      <c r="E42" s="17" t="str">
        <f>IF('22'!E42="","",'22'!E42)</f>
        <v/>
      </c>
      <c r="F42" s="249" t="str">
        <f>IF('22'!F42="","",'22'!F42)</f>
        <v/>
      </c>
      <c r="G42" s="17" t="str">
        <f>IF('22'!G42="","",'22'!G42)</f>
        <v/>
      </c>
    </row>
    <row r="43" spans="1:7" s="19" customFormat="1" ht="23.1" customHeight="1">
      <c r="A43" s="16" t="str">
        <f>IF('22'!A43="","",'22'!A43)</f>
        <v/>
      </c>
      <c r="B43" s="16">
        <f>IF('22'!B43="","",'22'!B43)</f>
        <v>30</v>
      </c>
      <c r="C43" s="17" t="str">
        <f>IF('22'!C43="","",'22'!C43)</f>
        <v/>
      </c>
      <c r="D43" s="249" t="str">
        <f>IF('22'!D43="","",'22'!D43)</f>
        <v/>
      </c>
      <c r="E43" s="17" t="str">
        <f>IF('22'!E43="","",'22'!E43)</f>
        <v/>
      </c>
      <c r="F43" s="249" t="str">
        <f>IF('22'!F43="","",'22'!F43)</f>
        <v/>
      </c>
      <c r="G43" s="17" t="str">
        <f>IF('22'!G43="","",'22'!G43)</f>
        <v/>
      </c>
    </row>
    <row r="44" spans="1:7" ht="23.1" customHeight="1">
      <c r="A44" s="16" t="str">
        <f>IF('22'!A44="","",'22'!A44)</f>
        <v/>
      </c>
      <c r="B44" s="16">
        <f>IF('22'!B44="","",'22'!B44)</f>
        <v>31</v>
      </c>
      <c r="C44" s="17" t="str">
        <f>IF('22'!C44="","",'22'!C44)</f>
        <v/>
      </c>
      <c r="D44" s="249" t="str">
        <f>IF('22'!D44="","",'22'!D44)</f>
        <v/>
      </c>
      <c r="E44" s="17" t="str">
        <f>IF('22'!E44="","",'22'!E44)</f>
        <v/>
      </c>
      <c r="F44" s="249" t="str">
        <f>IF('22'!F44="","",'22'!F44)</f>
        <v/>
      </c>
      <c r="G44" s="17" t="str">
        <f>IF('22'!G44="","",'22'!G44)</f>
        <v/>
      </c>
    </row>
    <row r="45" spans="1:7" ht="23.1" customHeight="1">
      <c r="A45" s="16" t="str">
        <f>IF('22'!A45="","",'22'!A45)</f>
        <v/>
      </c>
      <c r="B45" s="16">
        <f>IF('22'!B45="","",'22'!B45)</f>
        <v>32</v>
      </c>
      <c r="C45" s="17" t="str">
        <f>IF('22'!C45="","",'22'!C45)</f>
        <v/>
      </c>
      <c r="D45" s="249" t="str">
        <f>IF('22'!D45="","",'22'!D45)</f>
        <v/>
      </c>
      <c r="E45" s="17" t="str">
        <f>IF('22'!E45="","",'22'!E45)</f>
        <v/>
      </c>
      <c r="F45" s="249" t="str">
        <f>IF('22'!F45="","",'22'!F45)</f>
        <v/>
      </c>
      <c r="G45" s="17" t="str">
        <f>IF('22'!G45="","",'22'!G45)</f>
        <v/>
      </c>
    </row>
    <row r="46" spans="1:7" ht="23.1" customHeight="1">
      <c r="A46" s="16" t="str">
        <f>IF('22'!A46="","",'22'!A46)</f>
        <v/>
      </c>
      <c r="B46" s="16">
        <f>IF('22'!B46="","",'22'!B46)</f>
        <v>33</v>
      </c>
      <c r="C46" s="17" t="str">
        <f>IF('22'!C46="","",'22'!C46)</f>
        <v/>
      </c>
      <c r="D46" s="249" t="str">
        <f>IF('22'!D46="","",'22'!D46)</f>
        <v/>
      </c>
      <c r="E46" s="17" t="str">
        <f>IF('22'!E46="","",'22'!E46)</f>
        <v/>
      </c>
      <c r="F46" s="249" t="str">
        <f>IF('22'!F46="","",'22'!F46)</f>
        <v/>
      </c>
      <c r="G46" s="17" t="str">
        <f>IF('22'!G46="","",'22'!G46)</f>
        <v/>
      </c>
    </row>
    <row r="47" spans="1:7" ht="23.1" customHeight="1">
      <c r="A47" s="16" t="str">
        <f>IF('22'!A47="","",'22'!A47)</f>
        <v/>
      </c>
      <c r="B47" s="16">
        <f>IF('22'!B47="","",'22'!B47)</f>
        <v>34</v>
      </c>
      <c r="C47" s="17" t="str">
        <f>IF('22'!C47="","",'22'!C47)</f>
        <v/>
      </c>
      <c r="D47" s="249" t="str">
        <f>IF('22'!D47="","",'22'!D47)</f>
        <v/>
      </c>
      <c r="E47" s="17" t="str">
        <f>IF('22'!E47="","",'22'!E47)</f>
        <v/>
      </c>
      <c r="F47" s="249" t="str">
        <f>IF('22'!F47="","",'22'!F47)</f>
        <v/>
      </c>
      <c r="G47" s="17" t="str">
        <f>IF('22'!G47="","",'22'!G47)</f>
        <v/>
      </c>
    </row>
    <row r="48" spans="1:7" ht="23.1" customHeight="1">
      <c r="A48" s="16" t="str">
        <f>IF('22'!A48="","",'22'!A48)</f>
        <v/>
      </c>
      <c r="B48" s="16">
        <f>IF('22'!B48="","",'22'!B48)</f>
        <v>35</v>
      </c>
      <c r="C48" s="17" t="str">
        <f>IF('22'!C48="","",'22'!C48)</f>
        <v/>
      </c>
      <c r="D48" s="249" t="str">
        <f>IF('22'!D48="","",'22'!D48)</f>
        <v/>
      </c>
      <c r="E48" s="17" t="str">
        <f>IF('22'!E48="","",'22'!E48)</f>
        <v/>
      </c>
      <c r="F48" s="249" t="str">
        <f>IF('22'!F48="","",'22'!F48)</f>
        <v/>
      </c>
      <c r="G48" s="17" t="str">
        <f>IF('22'!G48="","",'22'!G48)</f>
        <v/>
      </c>
    </row>
    <row r="49" spans="1:7" ht="23.1" customHeight="1">
      <c r="A49" s="16" t="str">
        <f>IF('22'!A49="","",'22'!A49)</f>
        <v/>
      </c>
      <c r="B49" s="16">
        <f>IF('22'!B49="","",'22'!B49)</f>
        <v>36</v>
      </c>
      <c r="C49" s="17" t="str">
        <f>IF('22'!C49="","",'22'!C49)</f>
        <v/>
      </c>
      <c r="D49" s="249" t="str">
        <f>IF('22'!D49="","",'22'!D49)</f>
        <v/>
      </c>
      <c r="E49" s="17" t="str">
        <f>IF('22'!E49="","",'22'!E49)</f>
        <v/>
      </c>
      <c r="F49" s="249" t="str">
        <f>IF('22'!F49="","",'22'!F49)</f>
        <v/>
      </c>
      <c r="G49" s="17" t="str">
        <f>IF('22'!G49="","",'22'!G49)</f>
        <v/>
      </c>
    </row>
    <row r="50" spans="1:7" ht="23.1" customHeight="1">
      <c r="A50" s="16" t="str">
        <f>IF('22'!A50="","",'22'!A50)</f>
        <v/>
      </c>
      <c r="B50" s="16">
        <f>IF('22'!B50="","",'22'!B50)</f>
        <v>37</v>
      </c>
      <c r="C50" s="17" t="str">
        <f>IF('22'!C50="","",'22'!C50)</f>
        <v/>
      </c>
      <c r="D50" s="249" t="str">
        <f>IF('22'!D50="","",'22'!D50)</f>
        <v/>
      </c>
      <c r="E50" s="17" t="str">
        <f>IF('22'!E50="","",'22'!E50)</f>
        <v/>
      </c>
      <c r="F50" s="249" t="str">
        <f>IF('22'!F50="","",'22'!F50)</f>
        <v/>
      </c>
      <c r="G50" s="17" t="str">
        <f>IF('22'!G50="","",'22'!G50)</f>
        <v/>
      </c>
    </row>
    <row r="51" spans="1:7" ht="23.1" customHeight="1">
      <c r="A51" s="16" t="str">
        <f>IF('22'!A51="","",'22'!A51)</f>
        <v/>
      </c>
      <c r="B51" s="16">
        <f>IF('22'!B51="","",'22'!B51)</f>
        <v>38</v>
      </c>
      <c r="C51" s="17" t="str">
        <f>IF('22'!C51="","",'22'!C51)</f>
        <v/>
      </c>
      <c r="D51" s="249" t="str">
        <f>IF('22'!D51="","",'22'!D51)</f>
        <v/>
      </c>
      <c r="E51" s="17" t="str">
        <f>IF('22'!E51="","",'22'!E51)</f>
        <v/>
      </c>
      <c r="F51" s="249" t="str">
        <f>IF('22'!F51="","",'22'!F51)</f>
        <v/>
      </c>
      <c r="G51" s="17" t="str">
        <f>IF('22'!G51="","",'22'!G51)</f>
        <v/>
      </c>
    </row>
    <row r="52" spans="1:7" ht="23.1" customHeight="1">
      <c r="A52" s="16" t="str">
        <f>IF('22'!A52="","",'22'!A52)</f>
        <v/>
      </c>
      <c r="B52" s="16">
        <f>IF('22'!B52="","",'22'!B52)</f>
        <v>39</v>
      </c>
      <c r="C52" s="17" t="str">
        <f>IF('22'!C52="","",'22'!C52)</f>
        <v/>
      </c>
      <c r="D52" s="249" t="str">
        <f>IF('22'!D52="","",'22'!D52)</f>
        <v/>
      </c>
      <c r="E52" s="17" t="str">
        <f>IF('22'!E52="","",'22'!E52)</f>
        <v/>
      </c>
      <c r="F52" s="249" t="str">
        <f>IF('22'!F52="","",'22'!F52)</f>
        <v/>
      </c>
      <c r="G52" s="17" t="str">
        <f>IF('22'!G52="","",'22'!G52)</f>
        <v/>
      </c>
    </row>
    <row r="53" spans="1:7" ht="23.1" customHeight="1">
      <c r="A53" s="16" t="str">
        <f>IF('22'!A53="","",'22'!A53)</f>
        <v/>
      </c>
      <c r="B53" s="16">
        <f>IF('22'!B53="","",'22'!B53)</f>
        <v>40</v>
      </c>
      <c r="C53" s="17" t="str">
        <f>IF('22'!C53="","",'22'!C53)</f>
        <v/>
      </c>
      <c r="D53" s="249" t="str">
        <f>IF('22'!D53="","",'22'!D53)</f>
        <v/>
      </c>
      <c r="E53" s="17" t="str">
        <f>IF('22'!E53="","",'22'!E53)</f>
        <v/>
      </c>
      <c r="F53" s="249" t="str">
        <f>IF('22'!F53="","",'22'!F53)</f>
        <v/>
      </c>
      <c r="G53" s="17" t="str">
        <f>IF('22'!G53="","",'22'!G53)</f>
        <v/>
      </c>
    </row>
    <row r="54" spans="1:7" ht="23.1" customHeight="1">
      <c r="A54" s="16" t="str">
        <f>IF('22'!A54="","",'22'!A54)</f>
        <v/>
      </c>
      <c r="B54" s="16">
        <f>IF('22'!B54="","",'22'!B54)</f>
        <v>41</v>
      </c>
      <c r="C54" s="17" t="str">
        <f>IF('22'!C54="","",'22'!C54)</f>
        <v/>
      </c>
      <c r="D54" s="249" t="str">
        <f>IF('22'!D54="","",'22'!D54)</f>
        <v/>
      </c>
      <c r="E54" s="17" t="str">
        <f>IF('22'!E54="","",'22'!E54)</f>
        <v/>
      </c>
      <c r="F54" s="249" t="str">
        <f>IF('22'!F54="","",'22'!F54)</f>
        <v/>
      </c>
      <c r="G54" s="17" t="str">
        <f>IF('22'!G54="","",'22'!G54)</f>
        <v/>
      </c>
    </row>
    <row r="55" spans="1:7" ht="23.1" customHeight="1">
      <c r="A55" s="16" t="str">
        <f>IF('22'!A55="","",'22'!A55)</f>
        <v/>
      </c>
      <c r="B55" s="16">
        <f>IF('22'!B55="","",'22'!B55)</f>
        <v>42</v>
      </c>
      <c r="C55" s="17" t="str">
        <f>IF('22'!C55="","",'22'!C55)</f>
        <v/>
      </c>
      <c r="D55" s="249" t="str">
        <f>IF('22'!D55="","",'22'!D55)</f>
        <v/>
      </c>
      <c r="E55" s="17" t="str">
        <f>IF('22'!E55="","",'22'!E55)</f>
        <v/>
      </c>
      <c r="F55" s="249" t="str">
        <f>IF('22'!F55="","",'22'!F55)</f>
        <v/>
      </c>
      <c r="G55" s="17" t="str">
        <f>IF('22'!G55="","",'22'!G55)</f>
        <v/>
      </c>
    </row>
    <row r="56" spans="1:7" ht="23.1" customHeight="1">
      <c r="A56" s="16" t="str">
        <f>IF('22'!A56="","",'22'!A56)</f>
        <v/>
      </c>
      <c r="B56" s="16">
        <f>IF('22'!B56="","",'22'!B56)</f>
        <v>43</v>
      </c>
      <c r="C56" s="17" t="str">
        <f>IF('22'!C56="","",'22'!C56)</f>
        <v/>
      </c>
      <c r="D56" s="249" t="str">
        <f>IF('22'!D56="","",'22'!D56)</f>
        <v/>
      </c>
      <c r="E56" s="17" t="str">
        <f>IF('22'!E56="","",'22'!E56)</f>
        <v/>
      </c>
      <c r="F56" s="249" t="str">
        <f>IF('22'!F56="","",'22'!F56)</f>
        <v/>
      </c>
      <c r="G56" s="17" t="str">
        <f>IF('22'!G56="","",'22'!G56)</f>
        <v/>
      </c>
    </row>
    <row r="57" spans="1:7" ht="23.1" customHeight="1">
      <c r="A57" s="16" t="str">
        <f>IF('22'!A57="","",'22'!A57)</f>
        <v/>
      </c>
      <c r="B57" s="16">
        <f>IF('22'!B57="","",'22'!B57)</f>
        <v>44</v>
      </c>
      <c r="C57" s="17" t="str">
        <f>IF('22'!C57="","",'22'!C57)</f>
        <v/>
      </c>
      <c r="D57" s="249" t="str">
        <f>IF('22'!D57="","",'22'!D57)</f>
        <v/>
      </c>
      <c r="E57" s="17" t="str">
        <f>IF('22'!E57="","",'22'!E57)</f>
        <v/>
      </c>
      <c r="F57" s="249" t="str">
        <f>IF('22'!F57="","",'22'!F57)</f>
        <v/>
      </c>
      <c r="G57" s="17" t="str">
        <f>IF('22'!G57="","",'22'!G57)</f>
        <v/>
      </c>
    </row>
    <row r="58" spans="1:7" ht="23.1" customHeight="1">
      <c r="A58" s="16" t="str">
        <f>IF('22'!A58="","",'22'!A58)</f>
        <v/>
      </c>
      <c r="B58" s="16">
        <f>IF('22'!B58="","",'22'!B58)</f>
        <v>45</v>
      </c>
      <c r="C58" s="17" t="str">
        <f>IF('22'!C58="","",'22'!C58)</f>
        <v/>
      </c>
      <c r="D58" s="249" t="str">
        <f>IF('22'!D58="","",'22'!D58)</f>
        <v/>
      </c>
      <c r="E58" s="17" t="str">
        <f>IF('22'!E58="","",'22'!E58)</f>
        <v/>
      </c>
      <c r="F58" s="249" t="str">
        <f>IF('22'!F58="","",'22'!F58)</f>
        <v/>
      </c>
      <c r="G58" s="17" t="str">
        <f>IF('22'!G58="","",'22'!G58)</f>
        <v/>
      </c>
    </row>
    <row r="59" spans="1:7" ht="23.1" customHeight="1">
      <c r="A59" s="16" t="str">
        <f>IF('22'!A59="","",'22'!A59)</f>
        <v/>
      </c>
      <c r="B59" s="16" t="str">
        <f>IF('22'!B59="","",'22'!B59)</f>
        <v/>
      </c>
      <c r="C59" s="17" t="str">
        <f>IF('22'!C59="","",'22'!C59)</f>
        <v/>
      </c>
      <c r="D59" s="249" t="str">
        <f>IF('22'!D59="","",'22'!D59)</f>
        <v/>
      </c>
      <c r="E59" s="17" t="str">
        <f>IF('22'!E59="","",'22'!E59)</f>
        <v/>
      </c>
      <c r="F59" s="249" t="str">
        <f>IF('22'!F59="","",'22'!F59)</f>
        <v/>
      </c>
      <c r="G59" s="17" t="str">
        <f>IF('22'!G59="","",'22'!G59)</f>
        <v/>
      </c>
    </row>
    <row r="60" spans="1:7" ht="23.1" customHeight="1">
      <c r="A60" s="16" t="str">
        <f>IF('22'!A60="","",'22'!A60)</f>
        <v/>
      </c>
      <c r="B60" s="16" t="str">
        <f>IF('22'!B60="","",'22'!B60)</f>
        <v/>
      </c>
      <c r="C60" s="17" t="str">
        <f>IF('22'!C60="","",'22'!C60)</f>
        <v/>
      </c>
      <c r="D60" s="249" t="str">
        <f>IF('22'!D60="","",'22'!D60)</f>
        <v/>
      </c>
      <c r="E60" s="17" t="str">
        <f>IF('22'!E60="","",'22'!E60)</f>
        <v/>
      </c>
      <c r="F60" s="249" t="str">
        <f>IF('22'!F60="","",'22'!F60)</f>
        <v/>
      </c>
      <c r="G60" s="17" t="str">
        <f>IF('22'!G60="","",'22'!G60)</f>
        <v/>
      </c>
    </row>
    <row r="61" spans="1:7" ht="23.1" customHeight="1">
      <c r="A61" s="16" t="str">
        <f>IF('22'!A61="","",'22'!A61)</f>
        <v/>
      </c>
      <c r="B61" s="16" t="str">
        <f>IF('22'!B61="","",'22'!B61)</f>
        <v/>
      </c>
      <c r="C61" s="17" t="str">
        <f>IF('22'!C61="","",'22'!C61)</f>
        <v/>
      </c>
      <c r="D61" s="249" t="str">
        <f>IF('22'!D61="","",'22'!D61)</f>
        <v/>
      </c>
      <c r="E61" s="17" t="str">
        <f>IF('22'!E61="","",'22'!E61)</f>
        <v/>
      </c>
      <c r="F61" s="249" t="str">
        <f>IF('22'!F61="","",'22'!F61)</f>
        <v/>
      </c>
      <c r="G61" s="17" t="str">
        <f>IF('22'!G61="","",'22'!G61)</f>
        <v/>
      </c>
    </row>
    <row r="62" spans="1:7" ht="23.1" customHeight="1">
      <c r="A62" s="16" t="str">
        <f>IF('22'!A62="","",'22'!A62)</f>
        <v/>
      </c>
      <c r="B62" s="16" t="str">
        <f>IF('22'!B62="","",'22'!B62)</f>
        <v/>
      </c>
      <c r="C62" s="17" t="str">
        <f>IF('22'!C62="","",'22'!C62)</f>
        <v/>
      </c>
      <c r="D62" s="249" t="str">
        <f>IF('22'!D62="","",'22'!D62)</f>
        <v/>
      </c>
      <c r="E62" s="17" t="str">
        <f>IF('22'!E62="","",'22'!E62)</f>
        <v/>
      </c>
      <c r="F62" s="249" t="str">
        <f>IF('22'!F62="","",'22'!F62)</f>
        <v/>
      </c>
      <c r="G62" s="17" t="str">
        <f>IF('22'!G62="","",'22'!G62)</f>
        <v/>
      </c>
    </row>
    <row r="63" spans="1:7" ht="23.1" customHeight="1">
      <c r="A63" s="16" t="str">
        <f>IF('22'!A63="","",'22'!A63)</f>
        <v/>
      </c>
      <c r="B63" s="16" t="str">
        <f>IF('22'!B63="","",'22'!B63)</f>
        <v/>
      </c>
      <c r="C63" s="17" t="str">
        <f>IF('22'!C63="","",'22'!C63)</f>
        <v/>
      </c>
      <c r="D63" s="249" t="str">
        <f>IF('22'!D63="","",'22'!D63)</f>
        <v/>
      </c>
      <c r="E63" s="17" t="str">
        <f>IF('22'!E63="","",'22'!E63)</f>
        <v/>
      </c>
      <c r="F63" s="249" t="str">
        <f>IF('22'!F63="","",'22'!F63)</f>
        <v/>
      </c>
      <c r="G63" s="17" t="str">
        <f>IF('22'!G63="","",'22'!G63)</f>
        <v/>
      </c>
    </row>
    <row r="64" spans="1:7" ht="23.1" customHeight="1">
      <c r="A64" s="16" t="str">
        <f>IF('22'!A64="","",'22'!A64)</f>
        <v/>
      </c>
      <c r="B64" s="16" t="str">
        <f>IF('22'!B64="","",'22'!B64)</f>
        <v/>
      </c>
      <c r="C64" s="17" t="str">
        <f>IF('22'!C64="","",'22'!C64)</f>
        <v/>
      </c>
      <c r="D64" s="249" t="str">
        <f>IF('22'!D64="","",'22'!D64)</f>
        <v/>
      </c>
      <c r="E64" s="17" t="str">
        <f>IF('22'!E64="","",'22'!E64)</f>
        <v/>
      </c>
      <c r="F64" s="249" t="str">
        <f>IF('22'!F64="","",'22'!F64)</f>
        <v/>
      </c>
      <c r="G64" s="17" t="str">
        <f>IF('22'!G64="","",'22'!G64)</f>
        <v/>
      </c>
    </row>
    <row r="65" spans="1:7" ht="23.1" customHeight="1">
      <c r="A65" s="16" t="str">
        <f>IF('22'!A65="","",'22'!A65)</f>
        <v/>
      </c>
      <c r="B65" s="16" t="str">
        <f>IF('22'!B65="","",'22'!B65)</f>
        <v/>
      </c>
      <c r="C65" s="17" t="str">
        <f>IF('22'!C65="","",'22'!C65)</f>
        <v/>
      </c>
      <c r="D65" s="249" t="str">
        <f>IF('22'!D65="","",'22'!D65)</f>
        <v/>
      </c>
      <c r="E65" s="17" t="str">
        <f>IF('22'!E65="","",'22'!E65)</f>
        <v/>
      </c>
      <c r="F65" s="249" t="str">
        <f>IF('22'!F65="","",'22'!F65)</f>
        <v/>
      </c>
      <c r="G65" s="17" t="str">
        <f>IF('22'!G65="","",'22'!G65)</f>
        <v/>
      </c>
    </row>
    <row r="66" spans="1:7" ht="23.1" customHeight="1">
      <c r="A66" s="16" t="str">
        <f>IF('22'!A66="","",'22'!A66)</f>
        <v/>
      </c>
      <c r="B66" s="16" t="str">
        <f>IF('22'!B66="","",'22'!B66)</f>
        <v/>
      </c>
      <c r="C66" s="17" t="str">
        <f>IF('22'!C66="","",'22'!C66)</f>
        <v/>
      </c>
      <c r="D66" s="249" t="str">
        <f>IF('22'!D66="","",'22'!D66)</f>
        <v/>
      </c>
      <c r="E66" s="17" t="str">
        <f>IF('22'!E66="","",'22'!E66)</f>
        <v/>
      </c>
      <c r="F66" s="249" t="str">
        <f>IF('22'!F66="","",'22'!F66)</f>
        <v/>
      </c>
      <c r="G66" s="17" t="str">
        <f>IF('22'!G66="","",'22'!G66)</f>
        <v/>
      </c>
    </row>
    <row r="67" spans="1:7" ht="23.1" customHeight="1">
      <c r="A67" s="16" t="str">
        <f>IF('22'!A67="","",'22'!A67)</f>
        <v/>
      </c>
      <c r="B67" s="16" t="str">
        <f>IF('22'!B67="","",'22'!B67)</f>
        <v/>
      </c>
      <c r="C67" s="17" t="str">
        <f>IF('22'!C67="","",'22'!C67)</f>
        <v/>
      </c>
      <c r="D67" s="249" t="str">
        <f>IF('22'!D67="","",'22'!D67)</f>
        <v/>
      </c>
      <c r="E67" s="17" t="str">
        <f>IF('22'!E67="","",'22'!E67)</f>
        <v/>
      </c>
      <c r="F67" s="249" t="str">
        <f>IF('22'!F67="","",'22'!F67)</f>
        <v/>
      </c>
      <c r="G67" s="17" t="str">
        <f>IF('22'!G67="","",'22'!G67)</f>
        <v/>
      </c>
    </row>
    <row r="68" spans="1:7" ht="23.1" customHeight="1">
      <c r="A68" s="16" t="str">
        <f>IF('22'!A68="","",'22'!A68)</f>
        <v/>
      </c>
      <c r="B68" s="16" t="str">
        <f>IF('22'!B68="","",'22'!B68)</f>
        <v/>
      </c>
      <c r="C68" s="17" t="str">
        <f>IF('22'!C68="","",'22'!C68)</f>
        <v/>
      </c>
      <c r="D68" s="249" t="str">
        <f>IF('22'!D68="","",'22'!D68)</f>
        <v/>
      </c>
      <c r="E68" s="17" t="str">
        <f>IF('22'!E68="","",'22'!E68)</f>
        <v/>
      </c>
      <c r="F68" s="249" t="str">
        <f>IF('22'!F68="","",'22'!F68)</f>
        <v/>
      </c>
      <c r="G68" s="17" t="str">
        <f>IF('22'!G68="","",'22'!G68)</f>
        <v/>
      </c>
    </row>
    <row r="69" spans="1:7" ht="23.1" customHeight="1">
      <c r="A69" s="16" t="str">
        <f>IF('22'!A69="","",'22'!A69)</f>
        <v/>
      </c>
      <c r="B69" s="16" t="str">
        <f>IF('22'!B69="","",'22'!B69)</f>
        <v/>
      </c>
      <c r="C69" s="17" t="str">
        <f>IF('22'!C69="","",'22'!C69)</f>
        <v/>
      </c>
      <c r="D69" s="249" t="str">
        <f>IF('22'!D69="","",'22'!D69)</f>
        <v/>
      </c>
      <c r="E69" s="17" t="str">
        <f>IF('22'!E69="","",'22'!E69)</f>
        <v/>
      </c>
      <c r="F69" s="249" t="str">
        <f>IF('22'!F69="","",'22'!F69)</f>
        <v/>
      </c>
      <c r="G69" s="17" t="str">
        <f>IF('22'!G69="","",'22'!G69)</f>
        <v/>
      </c>
    </row>
    <row r="70" spans="1:7" ht="23.1" customHeight="1">
      <c r="A70" s="16" t="str">
        <f>IF('22'!A70="","",'22'!A70)</f>
        <v/>
      </c>
      <c r="B70" s="16" t="str">
        <f>IF('22'!B70="","",'22'!B70)</f>
        <v/>
      </c>
      <c r="C70" s="17" t="str">
        <f>IF('22'!C70="","",'22'!C70)</f>
        <v/>
      </c>
      <c r="D70" s="249" t="str">
        <f>IF('22'!D70="","",'22'!D70)</f>
        <v/>
      </c>
      <c r="E70" s="17" t="str">
        <f>IF('22'!E70="","",'22'!E70)</f>
        <v/>
      </c>
      <c r="F70" s="249" t="str">
        <f>IF('22'!F70="","",'22'!F70)</f>
        <v/>
      </c>
      <c r="G70" s="17" t="str">
        <f>IF('22'!G70="","",'22'!G70)</f>
        <v/>
      </c>
    </row>
    <row r="71" spans="1:7" ht="23.1" customHeight="1">
      <c r="A71" s="16" t="str">
        <f>IF('22'!A71="","",'22'!A71)</f>
        <v/>
      </c>
      <c r="B71" s="16" t="str">
        <f>IF('22'!B71="","",'22'!B71)</f>
        <v/>
      </c>
      <c r="C71" s="17" t="str">
        <f>IF('22'!C71="","",'22'!C71)</f>
        <v/>
      </c>
      <c r="D71" s="249" t="str">
        <f>IF('22'!D71="","",'22'!D71)</f>
        <v/>
      </c>
      <c r="E71" s="17" t="str">
        <f>IF('22'!E71="","",'22'!E71)</f>
        <v/>
      </c>
      <c r="F71" s="249" t="str">
        <f>IF('22'!F71="","",'22'!F71)</f>
        <v/>
      </c>
      <c r="G71" s="17" t="str">
        <f>IF('22'!G71="","",'22'!G71)</f>
        <v/>
      </c>
    </row>
    <row r="72" spans="1:7" ht="23.1" customHeight="1">
      <c r="A72" s="16" t="str">
        <f>IF('22'!A72="","",'22'!A72)</f>
        <v/>
      </c>
      <c r="B72" s="16" t="str">
        <f>IF('22'!B72="","",'22'!B72)</f>
        <v/>
      </c>
      <c r="C72" s="17" t="str">
        <f>IF('22'!C72="","",'22'!C72)</f>
        <v/>
      </c>
      <c r="D72" s="249" t="str">
        <f>IF('22'!D72="","",'22'!D72)</f>
        <v/>
      </c>
      <c r="E72" s="17" t="str">
        <f>IF('22'!E72="","",'22'!E72)</f>
        <v/>
      </c>
      <c r="F72" s="249" t="str">
        <f>IF('22'!F72="","",'22'!F72)</f>
        <v/>
      </c>
      <c r="G72" s="17" t="str">
        <f>IF('22'!G72="","",'22'!G72)</f>
        <v/>
      </c>
    </row>
    <row r="73" spans="1:7" ht="23.1" customHeight="1">
      <c r="A73" s="16" t="str">
        <f>IF('22'!A73="","",'22'!A73)</f>
        <v/>
      </c>
      <c r="B73" s="16" t="str">
        <f>IF('22'!B73="","",'22'!B73)</f>
        <v/>
      </c>
      <c r="C73" s="17" t="str">
        <f>IF('22'!C73="","",'22'!C73)</f>
        <v/>
      </c>
      <c r="D73" s="249" t="str">
        <f>IF('22'!D73="","",'22'!D73)</f>
        <v/>
      </c>
      <c r="E73" s="17" t="str">
        <f>IF('22'!E73="","",'22'!E73)</f>
        <v/>
      </c>
      <c r="F73" s="249" t="str">
        <f>IF('22'!F73="","",'22'!F73)</f>
        <v/>
      </c>
      <c r="G73" s="17" t="str">
        <f>IF('22'!G73="","",'22'!G73)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30051-45CA-4D6E-958C-EC722D5EEB83}">
  <sheetPr codeName="Sheet6">
    <tabColor rgb="FF0070C0"/>
  </sheetPr>
  <dimension ref="A4:J16"/>
  <sheetViews>
    <sheetView view="pageBreakPreview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'23_LB'!C7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'23_LB'!B8</f>
        <v>23</v>
      </c>
      <c r="C6" s="142" t="s">
        <v>42</v>
      </c>
      <c r="D6" s="145" t="str">
        <f>'23_LB'!D8:F8</f>
        <v>Ｌ－Ｂ級障害飛越競技</v>
      </c>
    </row>
    <row r="8" spans="1:10" ht="30" customHeight="1">
      <c r="C8" s="142" t="s">
        <v>604</v>
      </c>
      <c r="E8" s="147" t="e">
        <f>#REF!</f>
        <v>#REF!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94CC-B078-4DED-B96D-3616A90DE0F9}">
  <sheetPr codeName="Sheet7">
    <tabColor rgb="FF0070C0"/>
  </sheetPr>
  <dimension ref="A4:J16"/>
  <sheetViews>
    <sheetView view="pageBreakPreview" topLeftCell="A3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9" width="8.88671875" style="142"/>
    <col min="10" max="10" width="10.33203125" style="142" customWidth="1"/>
    <col min="11" max="16384" width="8.88671875" style="142"/>
  </cols>
  <sheetData>
    <row r="4" spans="1:10" ht="30" customHeight="1">
      <c r="A4" s="318" t="str">
        <f>'23_LB'!C7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'23_LB'!B8</f>
        <v>23</v>
      </c>
      <c r="C6" s="142" t="s">
        <v>42</v>
      </c>
      <c r="D6" s="145" t="str">
        <f>'23'!F4</f>
        <v>Ｌ－Ｂ級障害飛越競技</v>
      </c>
    </row>
    <row r="8" spans="1:10" ht="30" customHeight="1">
      <c r="C8" s="142" t="s">
        <v>604</v>
      </c>
      <c r="E8" s="149">
        <v>0.36458333333333331</v>
      </c>
    </row>
    <row r="9" spans="1:10" ht="30" customHeight="1">
      <c r="C9" s="142" t="s">
        <v>605</v>
      </c>
      <c r="E9" s="147">
        <v>0.375</v>
      </c>
      <c r="F9" s="142" t="s">
        <v>606</v>
      </c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'23'!C3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'23'!C4</f>
        <v>23</v>
      </c>
      <c r="C8" s="4" t="s">
        <v>42</v>
      </c>
      <c r="D8" s="311" t="str">
        <f>'23'!F4</f>
        <v>Ｌ－Ｂ級障害飛越競技</v>
      </c>
      <c r="E8" s="311"/>
      <c r="F8" s="311"/>
    </row>
    <row r="9" spans="1:7" ht="18.75" customHeight="1">
      <c r="C9" s="11" t="s">
        <v>11</v>
      </c>
      <c r="D9" s="247" t="str">
        <f>'23'!D5</f>
        <v>-</v>
      </c>
      <c r="E9" s="4" t="s">
        <v>9</v>
      </c>
      <c r="F9" s="250" t="str">
        <f>'23'!K4</f>
        <v>-</v>
      </c>
    </row>
    <row r="10" spans="1:7" ht="21" customHeight="1">
      <c r="A10" s="12" t="s">
        <v>43</v>
      </c>
      <c r="B10" s="12"/>
      <c r="C10" s="12"/>
      <c r="D10" s="248" t="str">
        <f>'23'!D6</f>
        <v>-</v>
      </c>
      <c r="E10" s="4" t="s">
        <v>12</v>
      </c>
      <c r="F10" s="251" t="str">
        <f>'23'!F5</f>
        <v>-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IF('23'!A14="","",'23'!A14)</f>
        <v>OP</v>
      </c>
      <c r="B14" s="16">
        <f>IF('23'!B14="","",'23'!B14)</f>
        <v>1</v>
      </c>
      <c r="C14" s="17" t="str">
        <f>IF('23'!C14="","",'23'!C14)</f>
        <v>桑原　咲季</v>
      </c>
      <c r="D14" s="249">
        <f>IF('23'!D14="","",'23'!D14)</f>
        <v>28809</v>
      </c>
      <c r="E14" s="17" t="str">
        <f>IF('23'!E14="","",'23'!E14)</f>
        <v>コレガー</v>
      </c>
      <c r="F14" s="249">
        <f>IF('23'!F14="","",'23'!F14)</f>
        <v>61600</v>
      </c>
      <c r="G14" s="17" t="str">
        <f>IF('23'!G14="","",'23'!G14)</f>
        <v>八王子乗馬倶楽部</v>
      </c>
    </row>
    <row r="15" spans="1:7" s="19" customFormat="1" ht="23.1" customHeight="1">
      <c r="A15" s="16" t="str">
        <f>IF('23'!A15="","",'23'!A15)</f>
        <v/>
      </c>
      <c r="B15" s="16">
        <f>IF('23'!B15="","",'23'!B15)</f>
        <v>2</v>
      </c>
      <c r="C15" s="17" t="str">
        <f>IF('23'!C15="","",'23'!C15)</f>
        <v>西村　愛由</v>
      </c>
      <c r="D15" s="249" t="str">
        <f>IF('23'!D15="","",'23'!D15)</f>
        <v>-</v>
      </c>
      <c r="E15" s="17" t="str">
        <f>IF('23'!E15="","",'23'!E15)</f>
        <v>フレデリカ</v>
      </c>
      <c r="F15" s="249" t="str">
        <f>IF('23'!F15="","",'23'!F15)</f>
        <v>-</v>
      </c>
      <c r="G15" s="17" t="str">
        <f>IF('23'!G15="","",'23'!G15)</f>
        <v>乗馬クラブクレイン神奈川</v>
      </c>
    </row>
    <row r="16" spans="1:7" s="19" customFormat="1" ht="23.1" customHeight="1">
      <c r="A16" s="16" t="str">
        <f>IF('23'!A16="","",'23'!A16)</f>
        <v>OP</v>
      </c>
      <c r="B16" s="16">
        <f>IF('23'!B16="","",'23'!B16)</f>
        <v>3</v>
      </c>
      <c r="C16" s="17" t="str">
        <f>IF('23'!C16="","",'23'!C16)</f>
        <v>福島　大輔</v>
      </c>
      <c r="D16" s="249">
        <f>IF('23'!D16="","",'23'!D16)</f>
        <v>7270</v>
      </c>
      <c r="E16" s="17" t="str">
        <f>IF('23'!E16="","",'23'!E16)</f>
        <v>アデラヴィーナス</v>
      </c>
      <c r="F16" s="249">
        <f>IF('23'!F16="","",'23'!F16)</f>
        <v>60672</v>
      </c>
      <c r="G16" s="17" t="str">
        <f>IF('23'!G16="","",'23'!G16)</f>
        <v>STAR HORSES</v>
      </c>
    </row>
    <row r="17" spans="1:7" s="19" customFormat="1" ht="23.1" customHeight="1">
      <c r="A17" s="16" t="str">
        <f>IF('23'!A17="","",'23'!A17)</f>
        <v>OP</v>
      </c>
      <c r="B17" s="16">
        <f>IF('23'!B17="","",'23'!B17)</f>
        <v>4</v>
      </c>
      <c r="C17" s="17" t="str">
        <f>IF('23'!C17="","",'23'!C17)</f>
        <v>岡本　雅海</v>
      </c>
      <c r="D17" s="249">
        <f>IF('23'!D17="","",'23'!D17)</f>
        <v>19572</v>
      </c>
      <c r="E17" s="17" t="str">
        <f>IF('23'!E17="","",'23'!E17)</f>
        <v>馬夢世</v>
      </c>
      <c r="F17" s="249">
        <f>IF('23'!F17="","",'23'!F17)</f>
        <v>61394</v>
      </c>
      <c r="G17" s="17" t="str">
        <f>IF('23'!G17="","",'23'!G17)</f>
        <v>岡本ライディングクラブJAPAN</v>
      </c>
    </row>
    <row r="18" spans="1:7" s="19" customFormat="1" ht="23.1" customHeight="1">
      <c r="A18" s="16" t="str">
        <f>IF('23'!A18="","",'23'!A18)</f>
        <v/>
      </c>
      <c r="B18" s="16">
        <f>IF('23'!B18="","",'23'!B18)</f>
        <v>5</v>
      </c>
      <c r="C18" s="17" t="str">
        <f>IF('23'!C18="","",'23'!C18)</f>
        <v>鈴木　絢子</v>
      </c>
      <c r="D18" s="249" t="str">
        <f>IF('23'!D18="","",'23'!D18)</f>
        <v>-</v>
      </c>
      <c r="E18" s="17" t="str">
        <f>IF('23'!E18="","",'23'!E18)</f>
        <v>リモーネ</v>
      </c>
      <c r="F18" s="249">
        <f>IF('23'!F18="","",'23'!F18)</f>
        <v>58308</v>
      </c>
      <c r="G18" s="17" t="str">
        <f>IF('23'!G18="","",'23'!G18)</f>
        <v>乗馬クラブクレイン東京</v>
      </c>
    </row>
    <row r="19" spans="1:7" s="19" customFormat="1" ht="23.1" customHeight="1">
      <c r="A19" s="16" t="str">
        <f>IF('23'!A19="","",'23'!A19)</f>
        <v>OP</v>
      </c>
      <c r="B19" s="16">
        <f>IF('23'!B19="","",'23'!B19)</f>
        <v>6</v>
      </c>
      <c r="C19" s="17" t="str">
        <f>IF('23'!C19="","",'23'!C19)</f>
        <v>林　義昌</v>
      </c>
      <c r="D19" s="249">
        <f>IF('23'!D19="","",'23'!D19)</f>
        <v>18717</v>
      </c>
      <c r="E19" s="17" t="str">
        <f>IF('23'!E19="","",'23'!E19)</f>
        <v>熊野八咫烏</v>
      </c>
      <c r="F19" s="249" t="str">
        <f>IF('23'!F19="","",'23'!F19)</f>
        <v>‐</v>
      </c>
      <c r="G19" s="17" t="str">
        <f>IF('23'!G19="","",'23'!G19)</f>
        <v>北総乗馬クラブ</v>
      </c>
    </row>
    <row r="20" spans="1:7" s="19" customFormat="1" ht="23.1" customHeight="1">
      <c r="A20" s="16" t="str">
        <f>IF('23'!A20="","",'23'!A20)</f>
        <v/>
      </c>
      <c r="B20" s="16">
        <f>IF('23'!B20="","",'23'!B20)</f>
        <v>7</v>
      </c>
      <c r="C20" s="17" t="str">
        <f>IF('23'!C20="","",'23'!C20)</f>
        <v>宇佐美　真澄</v>
      </c>
      <c r="D20" s="249" t="str">
        <f>IF('23'!D20="","",'23'!D20)</f>
        <v>-</v>
      </c>
      <c r="E20" s="17" t="str">
        <f>IF('23'!E20="","",'23'!E20)</f>
        <v>遠宝17</v>
      </c>
      <c r="F20" s="249" t="str">
        <f>IF('23'!F20="","",'23'!F20)</f>
        <v>‐</v>
      </c>
      <c r="G20" s="17" t="str">
        <f>IF('23'!G20="","",'23'!G20)</f>
        <v>ペガサス乗馬クラブ</v>
      </c>
    </row>
    <row r="21" spans="1:7" s="19" customFormat="1" ht="23.1" customHeight="1">
      <c r="A21" s="16" t="str">
        <f>IF('23'!A21="","",'23'!A21)</f>
        <v/>
      </c>
      <c r="B21" s="16">
        <f>IF('23'!B21="","",'23'!B21)</f>
        <v>8</v>
      </c>
      <c r="C21" s="17" t="str">
        <f>IF('23'!C21="","",'23'!C21)</f>
        <v>伊藤　正平</v>
      </c>
      <c r="D21" s="249">
        <f>IF('23'!D21="","",'23'!D21)</f>
        <v>11976</v>
      </c>
      <c r="E21" s="17" t="str">
        <f>IF('23'!E21="","",'23'!E21)</f>
        <v>ブルーカップ</v>
      </c>
      <c r="F21" s="249" t="str">
        <f>IF('23'!F21="","",'23'!F21)</f>
        <v>-</v>
      </c>
      <c r="G21" s="17" t="str">
        <f>IF('23'!G21="","",'23'!G21)</f>
        <v>乗馬クラブクレイン伊奈</v>
      </c>
    </row>
    <row r="22" spans="1:7" s="19" customFormat="1" ht="23.1" customHeight="1">
      <c r="A22" s="16" t="str">
        <f>IF('23'!A22="","",'23'!A22)</f>
        <v/>
      </c>
      <c r="B22" s="16">
        <f>IF('23'!B22="","",'23'!B22)</f>
        <v>9</v>
      </c>
      <c r="C22" s="17" t="str">
        <f>IF('23'!C22="","",'23'!C22)</f>
        <v>西浦　芽生</v>
      </c>
      <c r="D22" s="249" t="str">
        <f>IF('23'!D22="","",'23'!D22)</f>
        <v>-</v>
      </c>
      <c r="E22" s="17" t="str">
        <f>IF('23'!E22="","",'23'!E22)</f>
        <v>オーロラオジョウ</v>
      </c>
      <c r="F22" s="249" t="str">
        <f>IF('23'!F22="","",'23'!F22)</f>
        <v>-</v>
      </c>
      <c r="G22" s="17" t="str">
        <f>IF('23'!G22="","",'23'!G22)</f>
        <v>筑波スカイラインスティーブル</v>
      </c>
    </row>
    <row r="23" spans="1:7" s="19" customFormat="1" ht="23.1" customHeight="1">
      <c r="A23" s="16" t="str">
        <f>IF('23'!A23="","",'23'!A23)</f>
        <v/>
      </c>
      <c r="B23" s="16">
        <f>IF('23'!B23="","",'23'!B23)</f>
        <v>10</v>
      </c>
      <c r="C23" s="17" t="str">
        <f>IF('23'!C23="","",'23'!C23)</f>
        <v>坪田　正輝</v>
      </c>
      <c r="D23" s="249">
        <f>IF('23'!D23="","",'23'!D23)</f>
        <v>33314</v>
      </c>
      <c r="E23" s="17" t="str">
        <f>IF('23'!E23="","",'23'!E23)</f>
        <v>コレガー</v>
      </c>
      <c r="F23" s="249">
        <f>IF('23'!F23="","",'23'!F23)</f>
        <v>61600</v>
      </c>
      <c r="G23" s="17" t="str">
        <f>IF('23'!G23="","",'23'!G23)</f>
        <v>八王子乗馬倶楽部</v>
      </c>
    </row>
    <row r="24" spans="1:7" s="19" customFormat="1" ht="23.1" customHeight="1">
      <c r="A24" s="16" t="str">
        <f>IF('23'!A24="","",'23'!A24)</f>
        <v/>
      </c>
      <c r="B24" s="16">
        <f>IF('23'!B24="","",'23'!B24)</f>
        <v>11</v>
      </c>
      <c r="C24" s="17" t="str">
        <f>IF('23'!C24="","",'23'!C24)</f>
        <v>弘岡　明夢</v>
      </c>
      <c r="D24" s="249">
        <f>IF('23'!D24="","",'23'!D24)</f>
        <v>17971</v>
      </c>
      <c r="E24" s="17" t="str">
        <f>IF('23'!E24="","",'23'!E24)</f>
        <v>馬夢世</v>
      </c>
      <c r="F24" s="249">
        <f>IF('23'!F24="","",'23'!F24)</f>
        <v>61394</v>
      </c>
      <c r="G24" s="17" t="str">
        <f>IF('23'!G24="","",'23'!G24)</f>
        <v>岡本ライディングクラブJAPAN</v>
      </c>
    </row>
    <row r="25" spans="1:7" s="19" customFormat="1" ht="23.1" customHeight="1">
      <c r="A25" s="16" t="str">
        <f>IF('23'!A25="","",'23'!A25)</f>
        <v/>
      </c>
      <c r="B25" s="16">
        <f>IF('23'!B25="","",'23'!B25)</f>
        <v>12</v>
      </c>
      <c r="C25" s="17" t="str">
        <f>IF('23'!C25="","",'23'!C25)</f>
        <v>中塚　昌利</v>
      </c>
      <c r="D25" s="249" t="str">
        <f>IF('23'!D25="","",'23'!D25)</f>
        <v>-</v>
      </c>
      <c r="E25" s="17" t="str">
        <f>IF('23'!E25="","",'23'!E25)</f>
        <v>フレデリカ</v>
      </c>
      <c r="F25" s="249" t="str">
        <f>IF('23'!F25="","",'23'!F25)</f>
        <v>-</v>
      </c>
      <c r="G25" s="17" t="str">
        <f>IF('23'!G25="","",'23'!G25)</f>
        <v>乗馬クラブクレイン神奈川</v>
      </c>
    </row>
    <row r="26" spans="1:7" s="19" customFormat="1" ht="23.1" customHeight="1">
      <c r="A26" s="16" t="str">
        <f>IF('23'!A26="","",'23'!A26)</f>
        <v/>
      </c>
      <c r="B26" s="16">
        <f>IF('23'!B26="","",'23'!B26)</f>
        <v>13</v>
      </c>
      <c r="C26" s="17" t="str">
        <f>IF('23'!C26="","",'23'!C26)</f>
        <v>小林　暁子</v>
      </c>
      <c r="D26" s="249">
        <f>IF('23'!D26="","",'23'!D26)</f>
        <v>31486</v>
      </c>
      <c r="E26" s="17" t="str">
        <f>IF('23'!E26="","",'23'!E26)</f>
        <v>アデラヴィーナス</v>
      </c>
      <c r="F26" s="249">
        <f>IF('23'!F26="","",'23'!F26)</f>
        <v>60672</v>
      </c>
      <c r="G26" s="17" t="str">
        <f>IF('23'!G26="","",'23'!G26)</f>
        <v>STAR HORSES</v>
      </c>
    </row>
    <row r="27" spans="1:7" s="19" customFormat="1" ht="23.1" customHeight="1">
      <c r="A27" s="16" t="str">
        <f>IF('23'!A27="","",'23'!A27)</f>
        <v/>
      </c>
      <c r="B27" s="16">
        <f>IF('23'!B27="","",'23'!B27)</f>
        <v>14</v>
      </c>
      <c r="C27" s="17" t="str">
        <f>IF('23'!C27="","",'23'!C27)</f>
        <v>林　高志</v>
      </c>
      <c r="D27" s="249">
        <f>IF('23'!D27="","",'23'!D27)</f>
        <v>32890</v>
      </c>
      <c r="E27" s="17" t="str">
        <f>IF('23'!E27="","",'23'!E27)</f>
        <v>ガライヤ</v>
      </c>
      <c r="F27" s="249">
        <f>IF('23'!F27="","",'23'!F27)</f>
        <v>58668</v>
      </c>
      <c r="G27" s="17" t="str">
        <f>IF('23'!G27="","",'23'!G27)</f>
        <v>ペガサス乗馬クラブ</v>
      </c>
    </row>
    <row r="28" spans="1:7" s="19" customFormat="1" ht="23.1" customHeight="1">
      <c r="A28" s="16" t="str">
        <f>IF('23'!A28="","",'23'!A28)</f>
        <v/>
      </c>
      <c r="B28" s="16">
        <f>IF('23'!B28="","",'23'!B28)</f>
        <v>15</v>
      </c>
      <c r="C28" s="17" t="str">
        <f>IF('23'!C28="","",'23'!C28)</f>
        <v>谷崎　和寿</v>
      </c>
      <c r="D28" s="249">
        <f>IF('23'!D28="","",'23'!D28)</f>
        <v>32494</v>
      </c>
      <c r="E28" s="17" t="str">
        <f>IF('23'!E28="","",'23'!E28)</f>
        <v>トモロスリリング</v>
      </c>
      <c r="F28" s="249" t="str">
        <f>IF('23'!F28="","",'23'!F28)</f>
        <v>‐</v>
      </c>
      <c r="G28" s="17" t="str">
        <f>IF('23'!G28="","",'23'!G28)</f>
        <v>北総乗馬クラブ</v>
      </c>
    </row>
    <row r="29" spans="1:7" s="19" customFormat="1" ht="23.1" customHeight="1">
      <c r="A29" s="16" t="str">
        <f>IF('23'!A29="","",'23'!A29)</f>
        <v/>
      </c>
      <c r="B29" s="16">
        <f>IF('23'!B29="","",'23'!B29)</f>
        <v>16</v>
      </c>
      <c r="C29" s="17" t="str">
        <f>IF('23'!C29="","",'23'!C29)</f>
        <v>吉岡　容子</v>
      </c>
      <c r="D29" s="249">
        <f>IF('23'!D29="","",'23'!D29)</f>
        <v>32787</v>
      </c>
      <c r="E29" s="17" t="str">
        <f>IF('23'!E29="","",'23'!E29)</f>
        <v>アカペラ</v>
      </c>
      <c r="F29" s="249">
        <f>IF('23'!F29="","",'23'!F29)</f>
        <v>61272</v>
      </c>
      <c r="G29" s="17" t="str">
        <f>IF('23'!G29="","",'23'!G29)</f>
        <v>乗馬クラブクレイン伊奈</v>
      </c>
    </row>
    <row r="30" spans="1:7" s="19" customFormat="1" ht="23.1" customHeight="1">
      <c r="A30" s="16" t="str">
        <f>IF('23'!A30="","",'23'!A30)</f>
        <v/>
      </c>
      <c r="B30" s="16">
        <f>IF('23'!B30="","",'23'!B30)</f>
        <v>17</v>
      </c>
      <c r="C30" s="17" t="str">
        <f>IF('23'!C30="","",'23'!C30)</f>
        <v>堀内　志奈</v>
      </c>
      <c r="D30" s="249">
        <f>IF('23'!D30="","",'23'!D30)</f>
        <v>31690</v>
      </c>
      <c r="E30" s="17" t="str">
        <f>IF('23'!E30="","",'23'!E30)</f>
        <v>サクソンブルー</v>
      </c>
      <c r="F30" s="249">
        <f>IF('23'!F30="","",'23'!F30)</f>
        <v>59650</v>
      </c>
      <c r="G30" s="17" t="str">
        <f>IF('23'!G30="","",'23'!G30)</f>
        <v>岡本ライディングクラブJAPAN</v>
      </c>
    </row>
    <row r="31" spans="1:7" s="19" customFormat="1" ht="23.1" customHeight="1">
      <c r="A31" s="16" t="str">
        <f>IF('23'!A31="","",'23'!A31)</f>
        <v/>
      </c>
      <c r="B31" s="16">
        <f>IF('23'!B31="","",'23'!B31)</f>
        <v>18</v>
      </c>
      <c r="C31" s="17" t="str">
        <f>IF('23'!C31="","",'23'!C31)</f>
        <v>山下　永聖</v>
      </c>
      <c r="D31" s="249">
        <f>IF('23'!D31="","",'23'!D31)</f>
        <v>34299</v>
      </c>
      <c r="E31" s="17" t="str">
        <f>IF('23'!E31="","",'23'!E31)</f>
        <v>ジェノベーゼ</v>
      </c>
      <c r="F31" s="249">
        <f>IF('23'!F31="","",'23'!F31)</f>
        <v>62092</v>
      </c>
      <c r="G31" s="17" t="str">
        <f>IF('23'!G31="","",'23'!G31)</f>
        <v>拓殖大学馬術部</v>
      </c>
    </row>
    <row r="32" spans="1:7" s="19" customFormat="1" ht="23.1" customHeight="1">
      <c r="A32" s="16" t="str">
        <f>IF('23'!A32="","",'23'!A32)</f>
        <v/>
      </c>
      <c r="B32" s="16">
        <f>IF('23'!B32="","",'23'!B32)</f>
        <v>19</v>
      </c>
      <c r="C32" s="17" t="str">
        <f>IF('23'!C32="","",'23'!C32)</f>
        <v>谷崎　文寿</v>
      </c>
      <c r="D32" s="249" t="str">
        <f>IF('23'!D32="","",'23'!D32)</f>
        <v>-</v>
      </c>
      <c r="E32" s="17" t="str">
        <f>IF('23'!E32="","",'23'!E32)</f>
        <v>ホクソウラン</v>
      </c>
      <c r="F32" s="249" t="str">
        <f>IF('23'!F32="","",'23'!F32)</f>
        <v>‐</v>
      </c>
      <c r="G32" s="17" t="str">
        <f>IF('23'!G32="","",'23'!G32)</f>
        <v>北総乗馬クラブ</v>
      </c>
    </row>
    <row r="33" spans="1:7" s="19" customFormat="1" ht="23.1" customHeight="1">
      <c r="A33" s="16" t="str">
        <f>IF('23'!A33="","",'23'!A33)</f>
        <v/>
      </c>
      <c r="B33" s="16">
        <f>IF('23'!B33="","",'23'!B33)</f>
        <v>20</v>
      </c>
      <c r="C33" s="17" t="str">
        <f>IF('23'!C33="","",'23'!C33)</f>
        <v>星野　眞也子</v>
      </c>
      <c r="D33" s="249">
        <f>IF('23'!D33="","",'23'!D33)</f>
        <v>30373</v>
      </c>
      <c r="E33" s="17" t="str">
        <f>IF('23'!E33="","",'23'!E33)</f>
        <v>ブリッツ</v>
      </c>
      <c r="F33" s="249">
        <f>IF('23'!F33="","",'23'!F33)</f>
        <v>58339</v>
      </c>
      <c r="G33" s="17" t="str">
        <f>IF('23'!G33="","",'23'!G33)</f>
        <v>オリエント馬事センター</v>
      </c>
    </row>
    <row r="34" spans="1:7" s="19" customFormat="1" ht="23.1" customHeight="1">
      <c r="A34" s="16" t="str">
        <f>IF('23'!A34="","",'23'!A34)</f>
        <v/>
      </c>
      <c r="B34" s="16">
        <f>IF('23'!B34="","",'23'!B34)</f>
        <v>21</v>
      </c>
      <c r="C34" s="17" t="str">
        <f>IF('23'!C34="","",'23'!C34)</f>
        <v>大森　康行</v>
      </c>
      <c r="D34" s="249" t="str">
        <f>IF('23'!D34="","",'23'!D34)</f>
        <v>-</v>
      </c>
      <c r="E34" s="17" t="str">
        <f>IF('23'!E34="","",'23'!E34)</f>
        <v>フレデリカ</v>
      </c>
      <c r="F34" s="249" t="str">
        <f>IF('23'!F34="","",'23'!F34)</f>
        <v>-</v>
      </c>
      <c r="G34" s="17" t="str">
        <f>IF('23'!G34="","",'23'!G34)</f>
        <v>乗馬クラブクレイン神奈川</v>
      </c>
    </row>
    <row r="35" spans="1:7" s="19" customFormat="1" ht="23.1" customHeight="1">
      <c r="A35" s="16" t="str">
        <f>IF('23'!A35="","",'23'!A35)</f>
        <v/>
      </c>
      <c r="B35" s="16">
        <f>IF('23'!B35="","",'23'!B35)</f>
        <v>22</v>
      </c>
      <c r="C35" s="17" t="str">
        <f>IF('23'!C35="","",'23'!C35)</f>
        <v>蒋　心宇</v>
      </c>
      <c r="D35" s="249" t="str">
        <f>IF('23'!D35="","",'23'!D35)</f>
        <v>-</v>
      </c>
      <c r="E35" s="17" t="str">
        <f>IF('23'!E35="","",'23'!E35)</f>
        <v>ブラックバタフライ</v>
      </c>
      <c r="F35" s="249" t="str">
        <f>IF('23'!F35="","",'23'!F35)</f>
        <v>‐</v>
      </c>
      <c r="G35" s="17" t="str">
        <f>IF('23'!G35="","",'23'!G35)</f>
        <v>ペガサス乗馬クラブ</v>
      </c>
    </row>
    <row r="36" spans="1:7" s="19" customFormat="1" ht="23.1" customHeight="1">
      <c r="A36" s="16" t="str">
        <f>IF('23'!A36="","",'23'!A36)</f>
        <v/>
      </c>
      <c r="B36" s="16">
        <f>IF('23'!B36="","",'23'!B36)</f>
        <v>23</v>
      </c>
      <c r="C36" s="17" t="str">
        <f>IF('23'!C36="","",'23'!C36)</f>
        <v>古賀　有希</v>
      </c>
      <c r="D36" s="249" t="str">
        <f>IF('23'!D36="","",'23'!D36)</f>
        <v>-</v>
      </c>
      <c r="E36" s="17" t="str">
        <f>IF('23'!E36="","",'23'!E36)</f>
        <v>遠宝16</v>
      </c>
      <c r="F36" s="249">
        <f>IF('23'!F36="","",'23'!F36)</f>
        <v>57574</v>
      </c>
      <c r="G36" s="17" t="str">
        <f>IF('23'!G36="","",'23'!G36)</f>
        <v>ペガサス乗馬クラブ</v>
      </c>
    </row>
    <row r="37" spans="1:7" s="19" customFormat="1" ht="23.1" customHeight="1">
      <c r="A37" s="16" t="str">
        <f>IF('23'!A37="","",'23'!A37)</f>
        <v/>
      </c>
      <c r="B37" s="16">
        <f>IF('23'!B37="","",'23'!B37)</f>
        <v>24</v>
      </c>
      <c r="C37" s="17" t="str">
        <f>IF('23'!C37="","",'23'!C37)</f>
        <v>小山　知美</v>
      </c>
      <c r="D37" s="249">
        <f>IF('23'!D37="","",'23'!D37)</f>
        <v>33226</v>
      </c>
      <c r="E37" s="17" t="str">
        <f>IF('23'!E37="","",'23'!E37)</f>
        <v>イクスプロージョン</v>
      </c>
      <c r="F37" s="249">
        <f>IF('23'!F37="","",'23'!F37)</f>
        <v>61773</v>
      </c>
      <c r="G37" s="17" t="str">
        <f>IF('23'!G37="","",'23'!G37)</f>
        <v>ライディングクラブモーヴァン</v>
      </c>
    </row>
    <row r="38" spans="1:7" s="19" customFormat="1" ht="23.1" customHeight="1">
      <c r="A38" s="16" t="str">
        <f>IF('23'!A38="","",'23'!A38)</f>
        <v/>
      </c>
      <c r="B38" s="16">
        <f>IF('23'!B38="","",'23'!B38)</f>
        <v>25</v>
      </c>
      <c r="C38" s="17" t="str">
        <f>IF('23'!C38="","",'23'!C38)</f>
        <v>中村　沙也加</v>
      </c>
      <c r="D38" s="249" t="str">
        <f>IF('23'!D38="","",'23'!D38)</f>
        <v>-</v>
      </c>
      <c r="E38" s="17" t="str">
        <f>IF('23'!E38="","",'23'!E38)</f>
        <v>紅鈴</v>
      </c>
      <c r="F38" s="249">
        <f>IF('23'!F38="","",'23'!F38)</f>
        <v>57863</v>
      </c>
      <c r="G38" s="17" t="str">
        <f>IF('23'!G38="","",'23'!G38)</f>
        <v>拓殖大学馬術部</v>
      </c>
    </row>
    <row r="39" spans="1:7" s="19" customFormat="1" ht="23.1" customHeight="1">
      <c r="A39" s="16" t="str">
        <f>IF('23'!A39="","",'23'!A39)</f>
        <v>WD</v>
      </c>
      <c r="B39" s="16">
        <f>IF('23'!B39="","",'23'!B39)</f>
        <v>26</v>
      </c>
      <c r="C39" s="17" t="str">
        <f>IF('23'!C39="","",'23'!C39)</f>
        <v>小野　敬司</v>
      </c>
      <c r="D39" s="249">
        <f>IF('23'!D39="","",'23'!D39)</f>
        <v>21867</v>
      </c>
      <c r="E39" s="17" t="str">
        <f>IF('23'!E39="","",'23'!E39)</f>
        <v>リモーネ</v>
      </c>
      <c r="F39" s="249">
        <f>IF('23'!F39="","",'23'!F39)</f>
        <v>58308</v>
      </c>
      <c r="G39" s="17" t="str">
        <f>IF('23'!G39="","",'23'!G39)</f>
        <v>乗馬クラブクレイン東京</v>
      </c>
    </row>
    <row r="40" spans="1:7" s="19" customFormat="1" ht="23.1" customHeight="1">
      <c r="A40" s="16" t="str">
        <f>IF('23'!A40="","",'23'!A40)</f>
        <v/>
      </c>
      <c r="B40" s="16">
        <f>IF('23'!B40="","",'23'!B40)</f>
        <v>27</v>
      </c>
      <c r="C40" s="17" t="str">
        <f>IF('23'!C40="","",'23'!C40)</f>
        <v/>
      </c>
      <c r="D40" s="249" t="str">
        <f>IF('23'!D40="","",'23'!D40)</f>
        <v/>
      </c>
      <c r="E40" s="17" t="str">
        <f>IF('23'!E40="","",'23'!E40)</f>
        <v/>
      </c>
      <c r="F40" s="249" t="str">
        <f>IF('23'!F40="","",'23'!F40)</f>
        <v/>
      </c>
      <c r="G40" s="17" t="str">
        <f>IF('23'!G40="","",'23'!G40)</f>
        <v/>
      </c>
    </row>
    <row r="41" spans="1:7" s="19" customFormat="1" ht="23.1" customHeight="1">
      <c r="A41" s="16" t="str">
        <f>IF('23'!A41="","",'23'!A41)</f>
        <v/>
      </c>
      <c r="B41" s="16">
        <f>IF('23'!B41="","",'23'!B41)</f>
        <v>28</v>
      </c>
      <c r="C41" s="17" t="str">
        <f>IF('23'!C41="","",'23'!C41)</f>
        <v/>
      </c>
      <c r="D41" s="249" t="str">
        <f>IF('23'!D41="","",'23'!D41)</f>
        <v/>
      </c>
      <c r="E41" s="17" t="str">
        <f>IF('23'!E41="","",'23'!E41)</f>
        <v/>
      </c>
      <c r="F41" s="249" t="str">
        <f>IF('23'!F41="","",'23'!F41)</f>
        <v/>
      </c>
      <c r="G41" s="17" t="str">
        <f>IF('23'!G41="","",'23'!G41)</f>
        <v/>
      </c>
    </row>
    <row r="42" spans="1:7" s="19" customFormat="1" ht="23.1" customHeight="1">
      <c r="A42" s="16" t="str">
        <f>IF('23'!A42="","",'23'!A42)</f>
        <v/>
      </c>
      <c r="B42" s="16">
        <f>IF('23'!B42="","",'23'!B42)</f>
        <v>29</v>
      </c>
      <c r="C42" s="17" t="str">
        <f>IF('23'!C42="","",'23'!C42)</f>
        <v/>
      </c>
      <c r="D42" s="249" t="str">
        <f>IF('23'!D42="","",'23'!D42)</f>
        <v/>
      </c>
      <c r="E42" s="17" t="str">
        <f>IF('23'!E42="","",'23'!E42)</f>
        <v/>
      </c>
      <c r="F42" s="249" t="str">
        <f>IF('23'!F42="","",'23'!F42)</f>
        <v/>
      </c>
      <c r="G42" s="17" t="str">
        <f>IF('23'!G42="","",'23'!G42)</f>
        <v/>
      </c>
    </row>
    <row r="43" spans="1:7" s="19" customFormat="1" ht="23.1" customHeight="1">
      <c r="A43" s="16" t="str">
        <f>IF('23'!A43="","",'23'!A43)</f>
        <v/>
      </c>
      <c r="B43" s="16">
        <f>IF('23'!B43="","",'23'!B43)</f>
        <v>30</v>
      </c>
      <c r="C43" s="17" t="str">
        <f>IF('23'!C43="","",'23'!C43)</f>
        <v/>
      </c>
      <c r="D43" s="249" t="str">
        <f>IF('23'!D43="","",'23'!D43)</f>
        <v/>
      </c>
      <c r="E43" s="17" t="str">
        <f>IF('23'!E43="","",'23'!E43)</f>
        <v/>
      </c>
      <c r="F43" s="249" t="str">
        <f>IF('23'!F43="","",'23'!F43)</f>
        <v/>
      </c>
      <c r="G43" s="17" t="str">
        <f>IF('23'!G43="","",'23'!G43)</f>
        <v/>
      </c>
    </row>
    <row r="44" spans="1:7" ht="23.1" customHeight="1">
      <c r="A44" s="16" t="str">
        <f>IF('23'!A44="","",'23'!A44)</f>
        <v/>
      </c>
      <c r="B44" s="16">
        <f>IF('23'!B44="","",'23'!B44)</f>
        <v>31</v>
      </c>
      <c r="C44" s="17" t="str">
        <f>IF('23'!C44="","",'23'!C44)</f>
        <v/>
      </c>
      <c r="D44" s="249" t="str">
        <f>IF('23'!D44="","",'23'!D44)</f>
        <v/>
      </c>
      <c r="E44" s="17" t="str">
        <f>IF('23'!E44="","",'23'!E44)</f>
        <v/>
      </c>
      <c r="F44" s="249" t="str">
        <f>IF('23'!F44="","",'23'!F44)</f>
        <v/>
      </c>
      <c r="G44" s="17" t="str">
        <f>IF('23'!G44="","",'23'!G44)</f>
        <v/>
      </c>
    </row>
    <row r="45" spans="1:7" ht="23.1" customHeight="1">
      <c r="A45" s="16" t="str">
        <f>IF('23'!A45="","",'23'!A45)</f>
        <v/>
      </c>
      <c r="B45" s="16">
        <f>IF('23'!B45="","",'23'!B45)</f>
        <v>32</v>
      </c>
      <c r="C45" s="17" t="str">
        <f>IF('23'!C45="","",'23'!C45)</f>
        <v/>
      </c>
      <c r="D45" s="249" t="str">
        <f>IF('23'!D45="","",'23'!D45)</f>
        <v/>
      </c>
      <c r="E45" s="17" t="str">
        <f>IF('23'!E45="","",'23'!E45)</f>
        <v/>
      </c>
      <c r="F45" s="249" t="str">
        <f>IF('23'!F45="","",'23'!F45)</f>
        <v/>
      </c>
      <c r="G45" s="17" t="str">
        <f>IF('23'!G45="","",'23'!G45)</f>
        <v/>
      </c>
    </row>
    <row r="46" spans="1:7" ht="23.1" customHeight="1">
      <c r="A46" s="16" t="str">
        <f>IF('23'!A46="","",'23'!A46)</f>
        <v/>
      </c>
      <c r="B46" s="16">
        <f>IF('23'!B46="","",'23'!B46)</f>
        <v>33</v>
      </c>
      <c r="C46" s="17" t="str">
        <f>IF('23'!C46="","",'23'!C46)</f>
        <v/>
      </c>
      <c r="D46" s="249" t="str">
        <f>IF('23'!D46="","",'23'!D46)</f>
        <v/>
      </c>
      <c r="E46" s="17" t="str">
        <f>IF('23'!E46="","",'23'!E46)</f>
        <v/>
      </c>
      <c r="F46" s="249" t="str">
        <f>IF('23'!F46="","",'23'!F46)</f>
        <v/>
      </c>
      <c r="G46" s="17" t="str">
        <f>IF('23'!G46="","",'23'!G46)</f>
        <v/>
      </c>
    </row>
    <row r="47" spans="1:7" ht="23.1" customHeight="1">
      <c r="A47" s="16" t="str">
        <f>IF('23'!A47="","",'23'!A47)</f>
        <v/>
      </c>
      <c r="B47" s="16">
        <f>IF('23'!B47="","",'23'!B47)</f>
        <v>34</v>
      </c>
      <c r="C47" s="17" t="str">
        <f>IF('23'!C47="","",'23'!C47)</f>
        <v/>
      </c>
      <c r="D47" s="249" t="str">
        <f>IF('23'!D47="","",'23'!D47)</f>
        <v/>
      </c>
      <c r="E47" s="17" t="str">
        <f>IF('23'!E47="","",'23'!E47)</f>
        <v/>
      </c>
      <c r="F47" s="249" t="str">
        <f>IF('23'!F47="","",'23'!F47)</f>
        <v/>
      </c>
      <c r="G47" s="17" t="str">
        <f>IF('23'!G47="","",'23'!G47)</f>
        <v/>
      </c>
    </row>
    <row r="48" spans="1:7" ht="23.1" customHeight="1">
      <c r="A48" s="16" t="str">
        <f>IF('23'!A48="","",'23'!A48)</f>
        <v/>
      </c>
      <c r="B48" s="16">
        <f>IF('23'!B48="","",'23'!B48)</f>
        <v>35</v>
      </c>
      <c r="C48" s="17" t="str">
        <f>IF('23'!C48="","",'23'!C48)</f>
        <v/>
      </c>
      <c r="D48" s="249" t="str">
        <f>IF('23'!D48="","",'23'!D48)</f>
        <v/>
      </c>
      <c r="E48" s="17" t="str">
        <f>IF('23'!E48="","",'23'!E48)</f>
        <v/>
      </c>
      <c r="F48" s="249" t="str">
        <f>IF('23'!F48="","",'23'!F48)</f>
        <v/>
      </c>
      <c r="G48" s="17" t="str">
        <f>IF('23'!G48="","",'23'!G48)</f>
        <v/>
      </c>
    </row>
    <row r="49" spans="1:7" ht="23.1" customHeight="1">
      <c r="A49" s="16" t="str">
        <f>IF('23'!A49="","",'23'!A49)</f>
        <v/>
      </c>
      <c r="B49" s="16">
        <f>IF('23'!B49="","",'23'!B49)</f>
        <v>36</v>
      </c>
      <c r="C49" s="17" t="str">
        <f>IF('23'!C49="","",'23'!C49)</f>
        <v/>
      </c>
      <c r="D49" s="249" t="str">
        <f>IF('23'!D49="","",'23'!D49)</f>
        <v/>
      </c>
      <c r="E49" s="17" t="str">
        <f>IF('23'!E49="","",'23'!E49)</f>
        <v/>
      </c>
      <c r="F49" s="249" t="str">
        <f>IF('23'!F49="","",'23'!F49)</f>
        <v/>
      </c>
      <c r="G49" s="17" t="str">
        <f>IF('23'!G49="","",'23'!G49)</f>
        <v/>
      </c>
    </row>
    <row r="50" spans="1:7" ht="23.1" customHeight="1">
      <c r="A50" s="16" t="str">
        <f>IF('23'!A50="","",'23'!A50)</f>
        <v/>
      </c>
      <c r="B50" s="16">
        <f>IF('23'!B50="","",'23'!B50)</f>
        <v>37</v>
      </c>
      <c r="C50" s="17" t="str">
        <f>IF('23'!C50="","",'23'!C50)</f>
        <v/>
      </c>
      <c r="D50" s="249" t="str">
        <f>IF('23'!D50="","",'23'!D50)</f>
        <v/>
      </c>
      <c r="E50" s="17" t="str">
        <f>IF('23'!E50="","",'23'!E50)</f>
        <v/>
      </c>
      <c r="F50" s="249" t="str">
        <f>IF('23'!F50="","",'23'!F50)</f>
        <v/>
      </c>
      <c r="G50" s="17" t="str">
        <f>IF('23'!G50="","",'23'!G50)</f>
        <v/>
      </c>
    </row>
    <row r="51" spans="1:7" ht="23.1" customHeight="1">
      <c r="A51" s="16" t="str">
        <f>IF('23'!A51="","",'23'!A51)</f>
        <v/>
      </c>
      <c r="B51" s="16">
        <f>IF('23'!B51="","",'23'!B51)</f>
        <v>38</v>
      </c>
      <c r="C51" s="17" t="str">
        <f>IF('23'!C51="","",'23'!C51)</f>
        <v/>
      </c>
      <c r="D51" s="249" t="str">
        <f>IF('23'!D51="","",'23'!D51)</f>
        <v/>
      </c>
      <c r="E51" s="17" t="str">
        <f>IF('23'!E51="","",'23'!E51)</f>
        <v/>
      </c>
      <c r="F51" s="249" t="str">
        <f>IF('23'!F51="","",'23'!F51)</f>
        <v/>
      </c>
      <c r="G51" s="17" t="str">
        <f>IF('23'!G51="","",'23'!G51)</f>
        <v/>
      </c>
    </row>
    <row r="52" spans="1:7" ht="23.1" customHeight="1">
      <c r="A52" s="16" t="str">
        <f>IF('23'!A52="","",'23'!A52)</f>
        <v/>
      </c>
      <c r="B52" s="16">
        <f>IF('23'!B52="","",'23'!B52)</f>
        <v>39</v>
      </c>
      <c r="C52" s="17" t="str">
        <f>IF('23'!C52="","",'23'!C52)</f>
        <v/>
      </c>
      <c r="D52" s="249" t="str">
        <f>IF('23'!D52="","",'23'!D52)</f>
        <v/>
      </c>
      <c r="E52" s="17" t="str">
        <f>IF('23'!E52="","",'23'!E52)</f>
        <v/>
      </c>
      <c r="F52" s="249" t="str">
        <f>IF('23'!F52="","",'23'!F52)</f>
        <v/>
      </c>
      <c r="G52" s="17" t="str">
        <f>IF('23'!G52="","",'23'!G52)</f>
        <v/>
      </c>
    </row>
    <row r="53" spans="1:7" ht="23.1" customHeight="1">
      <c r="A53" s="16" t="str">
        <f>IF('23'!A53="","",'23'!A53)</f>
        <v/>
      </c>
      <c r="B53" s="16">
        <f>IF('23'!B53="","",'23'!B53)</f>
        <v>40</v>
      </c>
      <c r="C53" s="17" t="str">
        <f>IF('23'!C53="","",'23'!C53)</f>
        <v/>
      </c>
      <c r="D53" s="249" t="str">
        <f>IF('23'!D53="","",'23'!D53)</f>
        <v/>
      </c>
      <c r="E53" s="17" t="str">
        <f>IF('23'!E53="","",'23'!E53)</f>
        <v/>
      </c>
      <c r="F53" s="249" t="str">
        <f>IF('23'!F53="","",'23'!F53)</f>
        <v/>
      </c>
      <c r="G53" s="17" t="str">
        <f>IF('23'!G53="","",'23'!G53)</f>
        <v/>
      </c>
    </row>
    <row r="54" spans="1:7" ht="23.1" customHeight="1">
      <c r="A54" s="16" t="str">
        <f>IF('23'!A54="","",'23'!A54)</f>
        <v/>
      </c>
      <c r="B54" s="16">
        <f>IF('23'!B54="","",'23'!B54)</f>
        <v>41</v>
      </c>
      <c r="C54" s="17" t="str">
        <f>IF('23'!C54="","",'23'!C54)</f>
        <v/>
      </c>
      <c r="D54" s="249" t="str">
        <f>IF('23'!D54="","",'23'!D54)</f>
        <v/>
      </c>
      <c r="E54" s="17" t="str">
        <f>IF('23'!E54="","",'23'!E54)</f>
        <v/>
      </c>
      <c r="F54" s="249" t="str">
        <f>IF('23'!F54="","",'23'!F54)</f>
        <v/>
      </c>
      <c r="G54" s="17" t="str">
        <f>IF('23'!G54="","",'23'!G54)</f>
        <v/>
      </c>
    </row>
    <row r="55" spans="1:7" ht="23.1" customHeight="1">
      <c r="A55" s="16" t="str">
        <f>IF('23'!A55="","",'23'!A55)</f>
        <v/>
      </c>
      <c r="B55" s="16">
        <f>IF('23'!B55="","",'23'!B55)</f>
        <v>42</v>
      </c>
      <c r="C55" s="17" t="str">
        <f>IF('23'!C55="","",'23'!C55)</f>
        <v/>
      </c>
      <c r="D55" s="249" t="str">
        <f>IF('23'!D55="","",'23'!D55)</f>
        <v/>
      </c>
      <c r="E55" s="17" t="str">
        <f>IF('23'!E55="","",'23'!E55)</f>
        <v/>
      </c>
      <c r="F55" s="249" t="str">
        <f>IF('23'!F55="","",'23'!F55)</f>
        <v/>
      </c>
      <c r="G55" s="17" t="str">
        <f>IF('23'!G55="","",'23'!G55)</f>
        <v/>
      </c>
    </row>
    <row r="56" spans="1:7" ht="23.1" customHeight="1">
      <c r="A56" s="16" t="str">
        <f>IF('23'!A56="","",'23'!A56)</f>
        <v/>
      </c>
      <c r="B56" s="16">
        <f>IF('23'!B56="","",'23'!B56)</f>
        <v>43</v>
      </c>
      <c r="C56" s="17" t="str">
        <f>IF('23'!C56="","",'23'!C56)</f>
        <v/>
      </c>
      <c r="D56" s="249" t="str">
        <f>IF('23'!D56="","",'23'!D56)</f>
        <v/>
      </c>
      <c r="E56" s="17" t="str">
        <f>IF('23'!E56="","",'23'!E56)</f>
        <v/>
      </c>
      <c r="F56" s="249" t="str">
        <f>IF('23'!F56="","",'23'!F56)</f>
        <v/>
      </c>
      <c r="G56" s="17" t="str">
        <f>IF('23'!G56="","",'23'!G56)</f>
        <v/>
      </c>
    </row>
    <row r="57" spans="1:7" ht="23.1" customHeight="1">
      <c r="A57" s="16" t="str">
        <f>IF('23'!A57="","",'23'!A57)</f>
        <v/>
      </c>
      <c r="B57" s="16">
        <f>IF('23'!B57="","",'23'!B57)</f>
        <v>44</v>
      </c>
      <c r="C57" s="17" t="str">
        <f>IF('23'!C57="","",'23'!C57)</f>
        <v/>
      </c>
      <c r="D57" s="249" t="str">
        <f>IF('23'!D57="","",'23'!D57)</f>
        <v/>
      </c>
      <c r="E57" s="17" t="str">
        <f>IF('23'!E57="","",'23'!E57)</f>
        <v/>
      </c>
      <c r="F57" s="249" t="str">
        <f>IF('23'!F57="","",'23'!F57)</f>
        <v/>
      </c>
      <c r="G57" s="17" t="str">
        <f>IF('23'!G57="","",'23'!G57)</f>
        <v/>
      </c>
    </row>
    <row r="58" spans="1:7" ht="23.1" customHeight="1">
      <c r="A58" s="16" t="str">
        <f>IF('23'!A58="","",'23'!A58)</f>
        <v/>
      </c>
      <c r="B58" s="16">
        <f>IF('23'!B58="","",'23'!B58)</f>
        <v>45</v>
      </c>
      <c r="C58" s="17" t="str">
        <f>IF('23'!C58="","",'23'!C58)</f>
        <v/>
      </c>
      <c r="D58" s="249" t="str">
        <f>IF('23'!D58="","",'23'!D58)</f>
        <v/>
      </c>
      <c r="E58" s="17" t="str">
        <f>IF('23'!E58="","",'23'!E58)</f>
        <v/>
      </c>
      <c r="F58" s="249" t="str">
        <f>IF('23'!F58="","",'23'!F58)</f>
        <v/>
      </c>
      <c r="G58" s="17" t="str">
        <f>IF('23'!G58="","",'23'!G58)</f>
        <v/>
      </c>
    </row>
    <row r="59" spans="1:7" ht="23.1" customHeight="1">
      <c r="A59" s="16" t="str">
        <f>IF('23'!A59="","",'23'!A59)</f>
        <v/>
      </c>
      <c r="B59" s="16">
        <f>IF('23'!B59="","",'23'!B59)</f>
        <v>46</v>
      </c>
      <c r="C59" s="17" t="str">
        <f>IF('23'!C59="","",'23'!C59)</f>
        <v/>
      </c>
      <c r="D59" s="249" t="str">
        <f>IF('23'!D59="","",'23'!D59)</f>
        <v/>
      </c>
      <c r="E59" s="17" t="str">
        <f>IF('23'!E59="","",'23'!E59)</f>
        <v/>
      </c>
      <c r="F59" s="249" t="str">
        <f>IF('23'!F59="","",'23'!F59)</f>
        <v/>
      </c>
      <c r="G59" s="17" t="str">
        <f>IF('23'!G59="","",'23'!G59)</f>
        <v/>
      </c>
    </row>
    <row r="60" spans="1:7" ht="23.1" customHeight="1">
      <c r="A60" s="16" t="str">
        <f>IF('23'!A60="","",'23'!A60)</f>
        <v/>
      </c>
      <c r="B60" s="16">
        <f>IF('23'!B60="","",'23'!B60)</f>
        <v>47</v>
      </c>
      <c r="C60" s="17" t="str">
        <f>IF('23'!C60="","",'23'!C60)</f>
        <v/>
      </c>
      <c r="D60" s="249" t="str">
        <f>IF('23'!D60="","",'23'!D60)</f>
        <v/>
      </c>
      <c r="E60" s="17" t="str">
        <f>IF('23'!E60="","",'23'!E60)</f>
        <v/>
      </c>
      <c r="F60" s="249" t="str">
        <f>IF('23'!F60="","",'23'!F60)</f>
        <v/>
      </c>
      <c r="G60" s="17" t="str">
        <f>IF('23'!G60="","",'23'!G60)</f>
        <v/>
      </c>
    </row>
    <row r="61" spans="1:7" ht="23.1" customHeight="1">
      <c r="A61" s="16" t="str">
        <f>IF('23'!A61="","",'23'!A61)</f>
        <v/>
      </c>
      <c r="B61" s="16">
        <f>IF('23'!B61="","",'23'!B61)</f>
        <v>48</v>
      </c>
      <c r="C61" s="17" t="str">
        <f>IF('23'!C61="","",'23'!C61)</f>
        <v/>
      </c>
      <c r="D61" s="249" t="str">
        <f>IF('23'!D61="","",'23'!D61)</f>
        <v/>
      </c>
      <c r="E61" s="17" t="str">
        <f>IF('23'!E61="","",'23'!E61)</f>
        <v/>
      </c>
      <c r="F61" s="249" t="str">
        <f>IF('23'!F61="","",'23'!F61)</f>
        <v/>
      </c>
      <c r="G61" s="17" t="str">
        <f>IF('23'!G61="","",'23'!G61)</f>
        <v/>
      </c>
    </row>
    <row r="62" spans="1:7" ht="23.1" customHeight="1">
      <c r="A62" s="16" t="str">
        <f>IF('23'!A62="","",'23'!A62)</f>
        <v/>
      </c>
      <c r="B62" s="16">
        <f>IF('23'!B62="","",'23'!B62)</f>
        <v>49</v>
      </c>
      <c r="C62" s="17" t="str">
        <f>IF('23'!C62="","",'23'!C62)</f>
        <v/>
      </c>
      <c r="D62" s="249" t="str">
        <f>IF('23'!D62="","",'23'!D62)</f>
        <v/>
      </c>
      <c r="E62" s="17" t="str">
        <f>IF('23'!E62="","",'23'!E62)</f>
        <v/>
      </c>
      <c r="F62" s="249" t="str">
        <f>IF('23'!F62="","",'23'!F62)</f>
        <v/>
      </c>
      <c r="G62" s="17" t="str">
        <f>IF('23'!G62="","",'23'!G62)</f>
        <v/>
      </c>
    </row>
    <row r="63" spans="1:7" ht="23.1" customHeight="1">
      <c r="A63" s="16" t="str">
        <f>IF('23'!A63="","",'23'!A63)</f>
        <v/>
      </c>
      <c r="B63" s="16">
        <f>IF('23'!B63="","",'23'!B63)</f>
        <v>50</v>
      </c>
      <c r="C63" s="17" t="str">
        <f>IF('23'!C63="","",'23'!C63)</f>
        <v/>
      </c>
      <c r="D63" s="249" t="str">
        <f>IF('23'!D63="","",'23'!D63)</f>
        <v/>
      </c>
      <c r="E63" s="17" t="str">
        <f>IF('23'!E63="","",'23'!E63)</f>
        <v/>
      </c>
      <c r="F63" s="249" t="str">
        <f>IF('23'!F63="","",'23'!F63)</f>
        <v/>
      </c>
      <c r="G63" s="17" t="str">
        <f>IF('23'!G63="","",'23'!G63)</f>
        <v/>
      </c>
    </row>
    <row r="64" spans="1:7" ht="23.1" customHeight="1">
      <c r="A64" s="16" t="str">
        <f>IF('23'!A64="","",'23'!A64)</f>
        <v/>
      </c>
      <c r="B64" s="16">
        <f>IF('23'!B64="","",'23'!B64)</f>
        <v>51</v>
      </c>
      <c r="C64" s="17" t="str">
        <f>IF('23'!C64="","",'23'!C64)</f>
        <v/>
      </c>
      <c r="D64" s="249" t="str">
        <f>IF('23'!D64="","",'23'!D64)</f>
        <v/>
      </c>
      <c r="E64" s="17" t="str">
        <f>IF('23'!E64="","",'23'!E64)</f>
        <v/>
      </c>
      <c r="F64" s="249" t="str">
        <f>IF('23'!F64="","",'23'!F64)</f>
        <v/>
      </c>
      <c r="G64" s="17" t="str">
        <f>IF('23'!G64="","",'23'!G64)</f>
        <v/>
      </c>
    </row>
    <row r="65" spans="1:7" ht="23.1" customHeight="1">
      <c r="A65" s="16" t="str">
        <f>IF('23'!A65="","",'23'!A65)</f>
        <v/>
      </c>
      <c r="B65" s="16">
        <f>IF('23'!B65="","",'23'!B65)</f>
        <v>52</v>
      </c>
      <c r="C65" s="17" t="str">
        <f>IF('23'!C65="","",'23'!C65)</f>
        <v/>
      </c>
      <c r="D65" s="249" t="str">
        <f>IF('23'!D65="","",'23'!D65)</f>
        <v/>
      </c>
      <c r="E65" s="17" t="str">
        <f>IF('23'!E65="","",'23'!E65)</f>
        <v/>
      </c>
      <c r="F65" s="249" t="str">
        <f>IF('23'!F65="","",'23'!F65)</f>
        <v/>
      </c>
      <c r="G65" s="17" t="str">
        <f>IF('23'!G65="","",'23'!G65)</f>
        <v/>
      </c>
    </row>
    <row r="66" spans="1:7" ht="23.1" customHeight="1">
      <c r="A66" s="16" t="str">
        <f>IF('23'!A66="","",'23'!A66)</f>
        <v/>
      </c>
      <c r="B66" s="16">
        <f>IF('23'!B66="","",'23'!B66)</f>
        <v>53</v>
      </c>
      <c r="C66" s="17" t="str">
        <f>IF('23'!C66="","",'23'!C66)</f>
        <v/>
      </c>
      <c r="D66" s="249" t="str">
        <f>IF('23'!D66="","",'23'!D66)</f>
        <v/>
      </c>
      <c r="E66" s="17" t="str">
        <f>IF('23'!E66="","",'23'!E66)</f>
        <v/>
      </c>
      <c r="F66" s="249" t="str">
        <f>IF('23'!F66="","",'23'!F66)</f>
        <v/>
      </c>
      <c r="G66" s="17" t="str">
        <f>IF('23'!G66="","",'23'!G66)</f>
        <v/>
      </c>
    </row>
    <row r="67" spans="1:7" ht="23.1" customHeight="1">
      <c r="A67" s="16" t="str">
        <f>IF('23'!A67="","",'23'!A67)</f>
        <v/>
      </c>
      <c r="B67" s="16">
        <f>IF('23'!B67="","",'23'!B67)</f>
        <v>54</v>
      </c>
      <c r="C67" s="17" t="str">
        <f>IF('23'!C67="","",'23'!C67)</f>
        <v/>
      </c>
      <c r="D67" s="249" t="str">
        <f>IF('23'!D67="","",'23'!D67)</f>
        <v/>
      </c>
      <c r="E67" s="17" t="str">
        <f>IF('23'!E67="","",'23'!E67)</f>
        <v/>
      </c>
      <c r="F67" s="249" t="str">
        <f>IF('23'!F67="","",'23'!F67)</f>
        <v/>
      </c>
      <c r="G67" s="17" t="str">
        <f>IF('23'!G67="","",'23'!G67)</f>
        <v/>
      </c>
    </row>
    <row r="68" spans="1:7" ht="23.1" customHeight="1">
      <c r="A68" s="16" t="str">
        <f>IF('23'!A68="","",'23'!A68)</f>
        <v/>
      </c>
      <c r="B68" s="16">
        <f>IF('23'!B68="","",'23'!B68)</f>
        <v>55</v>
      </c>
      <c r="C68" s="17" t="str">
        <f>IF('23'!C68="","",'23'!C68)</f>
        <v/>
      </c>
      <c r="D68" s="249" t="str">
        <f>IF('23'!D68="","",'23'!D68)</f>
        <v/>
      </c>
      <c r="E68" s="17" t="str">
        <f>IF('23'!E68="","",'23'!E68)</f>
        <v/>
      </c>
      <c r="F68" s="249" t="str">
        <f>IF('23'!F68="","",'23'!F68)</f>
        <v/>
      </c>
      <c r="G68" s="17" t="str">
        <f>IF('23'!G68="","",'23'!G68)</f>
        <v/>
      </c>
    </row>
    <row r="69" spans="1:7" ht="23.1" customHeight="1">
      <c r="A69" s="16" t="str">
        <f>IF('23'!A69="","",'23'!A69)</f>
        <v/>
      </c>
      <c r="B69" s="16">
        <f>IF('23'!B69="","",'23'!B69)</f>
        <v>56</v>
      </c>
      <c r="C69" s="17" t="str">
        <f>IF('23'!C69="","",'23'!C69)</f>
        <v/>
      </c>
      <c r="D69" s="249" t="str">
        <f>IF('23'!D69="","",'23'!D69)</f>
        <v/>
      </c>
      <c r="E69" s="17" t="str">
        <f>IF('23'!E69="","",'23'!E69)</f>
        <v/>
      </c>
      <c r="F69" s="249" t="str">
        <f>IF('23'!F69="","",'23'!F69)</f>
        <v/>
      </c>
      <c r="G69" s="17" t="str">
        <f>IF('23'!G69="","",'23'!G69)</f>
        <v/>
      </c>
    </row>
    <row r="70" spans="1:7" ht="23.1" customHeight="1">
      <c r="A70" s="16" t="str">
        <f>IF('23'!A70="","",'23'!A70)</f>
        <v/>
      </c>
      <c r="B70" s="16">
        <f>IF('23'!B70="","",'23'!B70)</f>
        <v>57</v>
      </c>
      <c r="C70" s="17" t="str">
        <f>IF('23'!C70="","",'23'!C70)</f>
        <v/>
      </c>
      <c r="D70" s="249" t="str">
        <f>IF('23'!D70="","",'23'!D70)</f>
        <v/>
      </c>
      <c r="E70" s="17" t="str">
        <f>IF('23'!E70="","",'23'!E70)</f>
        <v/>
      </c>
      <c r="F70" s="249" t="str">
        <f>IF('23'!F70="","",'23'!F70)</f>
        <v/>
      </c>
      <c r="G70" s="17" t="str">
        <f>IF('23'!G70="","",'23'!G70)</f>
        <v/>
      </c>
    </row>
    <row r="71" spans="1:7" ht="23.1" customHeight="1">
      <c r="A71" s="16" t="str">
        <f>IF('23'!A71="","",'23'!A71)</f>
        <v/>
      </c>
      <c r="B71" s="16">
        <f>IF('23'!B71="","",'23'!B71)</f>
        <v>58</v>
      </c>
      <c r="C71" s="17" t="str">
        <f>IF('23'!C71="","",'23'!C71)</f>
        <v/>
      </c>
      <c r="D71" s="249" t="str">
        <f>IF('23'!D71="","",'23'!D71)</f>
        <v/>
      </c>
      <c r="E71" s="17" t="str">
        <f>IF('23'!E71="","",'23'!E71)</f>
        <v/>
      </c>
      <c r="F71" s="249" t="str">
        <f>IF('23'!F71="","",'23'!F71)</f>
        <v/>
      </c>
      <c r="G71" s="17" t="str">
        <f>IF('23'!G71="","",'23'!G71)</f>
        <v/>
      </c>
    </row>
    <row r="72" spans="1:7" ht="23.1" customHeight="1">
      <c r="A72" s="16" t="str">
        <f>IF('23'!A72="","",'23'!A72)</f>
        <v/>
      </c>
      <c r="B72" s="16">
        <f>IF('23'!B72="","",'23'!B72)</f>
        <v>59</v>
      </c>
      <c r="C72" s="17" t="str">
        <f>IF('23'!C72="","",'23'!C72)</f>
        <v/>
      </c>
      <c r="D72" s="249" t="str">
        <f>IF('23'!D72="","",'23'!D72)</f>
        <v/>
      </c>
      <c r="E72" s="17" t="str">
        <f>IF('23'!E72="","",'23'!E72)</f>
        <v/>
      </c>
      <c r="F72" s="249" t="str">
        <f>IF('23'!F72="","",'23'!F72)</f>
        <v/>
      </c>
      <c r="G72" s="17" t="str">
        <f>IF('23'!G72="","",'23'!G72)</f>
        <v/>
      </c>
    </row>
    <row r="73" spans="1:7" ht="23.1" customHeight="1">
      <c r="A73" s="16" t="str">
        <f>IF('23'!A73="","",'23'!A73)</f>
        <v/>
      </c>
      <c r="B73" s="16">
        <f>IF('23'!B73="","",'23'!B73)</f>
        <v>60</v>
      </c>
      <c r="C73" s="17" t="str">
        <f>IF('23'!C73="","",'23'!C73)</f>
        <v/>
      </c>
      <c r="D73" s="249" t="str">
        <f>IF('23'!D73="","",'23'!D73)</f>
        <v/>
      </c>
      <c r="E73" s="17" t="str">
        <f>IF('23'!E73="","",'23'!E73)</f>
        <v/>
      </c>
      <c r="F73" s="249" t="str">
        <f>IF('23'!F73="","",'23'!F73)</f>
        <v/>
      </c>
      <c r="G73" s="17" t="str">
        <f>IF('23'!G73="","",'23'!G73)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B369-0DCC-4C82-A0DE-BA1F324C6227}">
  <sheetPr codeName="Sheet8">
    <tabColor rgb="FF0070C0"/>
  </sheetPr>
  <dimension ref="A4:J16"/>
  <sheetViews>
    <sheetView view="pageBreakPreview" topLeftCell="A4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20.109375" style="142" customWidth="1"/>
    <col min="6" max="16384" width="8.88671875" style="142"/>
  </cols>
  <sheetData>
    <row r="4" spans="1:10" ht="30" customHeight="1">
      <c r="A4" s="321" t="str">
        <f>'24_LA'!C7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'24_LA'!B8</f>
        <v>24</v>
      </c>
      <c r="C6" s="142" t="s">
        <v>42</v>
      </c>
      <c r="D6" s="145" t="str">
        <f>'24_LA'!D8:F8</f>
        <v>Ｌ－Ａ級障害飛越競技</v>
      </c>
    </row>
    <row r="8" spans="1:10" ht="30" customHeight="1">
      <c r="C8" s="142" t="s">
        <v>604</v>
      </c>
      <c r="E8" s="147" t="s">
        <v>630</v>
      </c>
    </row>
    <row r="9" spans="1:10" ht="30" customHeight="1">
      <c r="C9" s="142" t="s">
        <v>605</v>
      </c>
      <c r="E9" s="150" t="s">
        <v>631</v>
      </c>
      <c r="F9" s="142" t="s">
        <v>606</v>
      </c>
    </row>
    <row r="10" spans="1:10" ht="30" customHeight="1">
      <c r="A10" s="320" t="s">
        <v>615</v>
      </c>
      <c r="B10" s="320"/>
      <c r="C10" s="320"/>
      <c r="D10" s="320"/>
      <c r="E10" s="320"/>
      <c r="F10" s="320"/>
      <c r="G10" s="320"/>
      <c r="H10" s="320"/>
    </row>
    <row r="11" spans="1:10" ht="30" customHeight="1">
      <c r="A11" s="320"/>
      <c r="B11" s="320"/>
      <c r="C11" s="320"/>
      <c r="D11" s="320"/>
      <c r="E11" s="320"/>
      <c r="F11" s="320"/>
      <c r="G11" s="320"/>
      <c r="H11" s="320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A10:H11"/>
  </mergeCells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E184D-EA85-4588-86DC-0D965C5F7861}">
  <sheetPr codeName="Sheet9">
    <tabColor rgb="FF0070C0"/>
  </sheetPr>
  <dimension ref="A4:J16"/>
  <sheetViews>
    <sheetView view="pageBreakPreview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'24_LA'!C7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'24_LA'!B8</f>
        <v>24</v>
      </c>
      <c r="C6" s="142" t="s">
        <v>42</v>
      </c>
      <c r="D6" s="145" t="str">
        <f>'24'!F4</f>
        <v>Ｌ－Ａ級障害飛越競技</v>
      </c>
    </row>
    <row r="8" spans="1:10" ht="30" customHeight="1">
      <c r="C8" s="142" t="s">
        <v>604</v>
      </c>
      <c r="E8" s="150" t="s">
        <v>700</v>
      </c>
    </row>
    <row r="9" spans="1:10" ht="30" customHeight="1">
      <c r="C9" s="142" t="s">
        <v>605</v>
      </c>
      <c r="E9" s="147" t="s">
        <v>631</v>
      </c>
      <c r="F9" s="142" t="s">
        <v>606</v>
      </c>
    </row>
    <row r="11" spans="1:10" ht="30" customHeight="1">
      <c r="A11" s="320" t="s">
        <v>615</v>
      </c>
      <c r="B11" s="320"/>
      <c r="C11" s="320"/>
      <c r="D11" s="320"/>
      <c r="E11" s="320"/>
      <c r="F11" s="320"/>
      <c r="G11" s="320"/>
      <c r="H11" s="320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A11:H11"/>
  </mergeCells>
  <phoneticPr fontId="6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1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'24'!C3</f>
        <v xml:space="preserve">2026 Fuji Horse Show Autumn Grand Prix </v>
      </c>
      <c r="D7" s="9"/>
      <c r="E7" s="9"/>
      <c r="F7" s="9"/>
      <c r="G7" s="308" t="s">
        <v>1526</v>
      </c>
    </row>
    <row r="8" spans="1:7" ht="21" customHeight="1">
      <c r="A8" s="10" t="s">
        <v>41</v>
      </c>
      <c r="B8" s="70">
        <f>'24'!C4</f>
        <v>24</v>
      </c>
      <c r="C8" s="4" t="s">
        <v>42</v>
      </c>
      <c r="D8" s="311" t="str">
        <f>'24'!F4</f>
        <v>Ｌ－Ａ級障害飛越競技</v>
      </c>
      <c r="E8" s="311"/>
      <c r="F8" s="311"/>
    </row>
    <row r="9" spans="1:7" ht="18.75" customHeight="1">
      <c r="C9" s="11" t="s">
        <v>11</v>
      </c>
      <c r="D9" s="247" t="str">
        <f>'24'!D5</f>
        <v>-</v>
      </c>
      <c r="E9" s="4" t="s">
        <v>9</v>
      </c>
      <c r="F9" s="250" t="str">
        <f>'24'!K4</f>
        <v>-</v>
      </c>
    </row>
    <row r="10" spans="1:7" ht="21" customHeight="1">
      <c r="A10" s="12" t="s">
        <v>43</v>
      </c>
      <c r="B10" s="12"/>
      <c r="C10" s="12"/>
      <c r="D10" s="248" t="str">
        <f>'24'!D6</f>
        <v>-</v>
      </c>
      <c r="E10" s="4" t="s">
        <v>12</v>
      </c>
      <c r="F10" s="251" t="str">
        <f>'24'!F5</f>
        <v>-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IF('24'!A14="","",'24'!A14)</f>
        <v/>
      </c>
      <c r="B14" s="16">
        <f>IF('24'!B14="","",'24'!B14)</f>
        <v>1</v>
      </c>
      <c r="C14" s="17" t="str">
        <f>IF('24'!C14="","",'24'!C14)</f>
        <v>渡邊　菜々美</v>
      </c>
      <c r="D14" s="249" t="str">
        <f>IF('24'!D14="","",'24'!D14)</f>
        <v>-</v>
      </c>
      <c r="E14" s="17" t="str">
        <f>IF('24'!E14="","",'24'!E14)</f>
        <v>紅陵</v>
      </c>
      <c r="F14" s="249">
        <f>IF('24'!F14="","",'24'!F14)</f>
        <v>58208</v>
      </c>
      <c r="G14" s="17" t="str">
        <f>IF('24'!G14="","",'24'!G14)</f>
        <v>拓殖大学馬術部</v>
      </c>
    </row>
    <row r="15" spans="1:7" s="19" customFormat="1" ht="23.1" customHeight="1">
      <c r="A15" s="16" t="str">
        <f>IF('24'!A15="","",'24'!A15)</f>
        <v/>
      </c>
      <c r="B15" s="16">
        <f>IF('24'!B15="","",'24'!B15)</f>
        <v>2</v>
      </c>
      <c r="C15" s="17" t="str">
        <f>IF('24'!C15="","",'24'!C15)</f>
        <v>松田　泰明</v>
      </c>
      <c r="D15" s="249">
        <f>IF('24'!D15="","",'24'!D15)</f>
        <v>28108</v>
      </c>
      <c r="E15" s="17" t="str">
        <f>IF('24'!E15="","",'24'!E15)</f>
        <v>シャトレ</v>
      </c>
      <c r="F15" s="249">
        <f>IF('24'!F15="","",'24'!F15)</f>
        <v>61681</v>
      </c>
      <c r="G15" s="17" t="str">
        <f>IF('24'!G15="","",'24'!G15)</f>
        <v>小山乗馬クラブ</v>
      </c>
    </row>
    <row r="16" spans="1:7" s="19" customFormat="1" ht="23.1" customHeight="1">
      <c r="A16" s="16" t="str">
        <f>IF('24'!A16="","",'24'!A16)</f>
        <v>ＯＰ</v>
      </c>
      <c r="B16" s="16">
        <f>IF('24'!B16="","",'24'!B16)</f>
        <v>3</v>
      </c>
      <c r="C16" s="17" t="str">
        <f>IF('24'!C16="","",'24'!C16)</f>
        <v>鈴木　裕介</v>
      </c>
      <c r="D16" s="249">
        <f>IF('24'!D16="","",'24'!D16)</f>
        <v>23529</v>
      </c>
      <c r="E16" s="17" t="str">
        <f>IF('24'!E16="","",'24'!E16)</f>
        <v>スプレンディッド・アーク</v>
      </c>
      <c r="F16" s="249">
        <f>IF('24'!F16="","",'24'!F16)</f>
        <v>60111</v>
      </c>
      <c r="G16" s="17" t="str">
        <f>IF('24'!G16="","",'24'!G16)</f>
        <v>北駿ホースヴィラ</v>
      </c>
    </row>
    <row r="17" spans="1:7" s="19" customFormat="1" ht="23.1" customHeight="1">
      <c r="A17" s="16" t="str">
        <f>IF('24'!A17="","",'24'!A17)</f>
        <v/>
      </c>
      <c r="B17" s="16">
        <f>IF('24'!B17="","",'24'!B17)</f>
        <v>4</v>
      </c>
      <c r="C17" s="17" t="str">
        <f>IF('24'!C17="","",'24'!C17)</f>
        <v>津田　保乃香</v>
      </c>
      <c r="D17" s="249">
        <f>IF('24'!D17="","",'24'!D17)</f>
        <v>25255</v>
      </c>
      <c r="E17" s="17" t="str">
        <f>IF('24'!E17="","",'24'!E17)</f>
        <v>ドゥラメンタ</v>
      </c>
      <c r="F17" s="249" t="str">
        <f>IF('24'!F17="","",'24'!F17)</f>
        <v>‐</v>
      </c>
      <c r="G17" s="17" t="str">
        <f>IF('24'!G17="","",'24'!G17)</f>
        <v>乗馬クラブニューシーズン御殿場</v>
      </c>
    </row>
    <row r="18" spans="1:7" s="19" customFormat="1" ht="23.1" customHeight="1">
      <c r="A18" s="16" t="str">
        <f>IF('24'!A18="","",'24'!A18)</f>
        <v/>
      </c>
      <c r="B18" s="16">
        <f>IF('24'!B18="","",'24'!B18)</f>
        <v>5</v>
      </c>
      <c r="C18" s="17" t="str">
        <f>IF('24'!C18="","",'24'!C18)</f>
        <v>松浦　英一</v>
      </c>
      <c r="D18" s="249">
        <f>IF('24'!D18="","",'24'!D18)</f>
        <v>33052</v>
      </c>
      <c r="E18" s="17" t="str">
        <f>IF('24'!E18="","",'24'!E18)</f>
        <v>ハイネケン</v>
      </c>
      <c r="F18" s="249">
        <f>IF('24'!F18="","",'24'!F18)</f>
        <v>59064</v>
      </c>
      <c r="G18" s="17" t="str">
        <f>IF('24'!G18="","",'24'!G18)</f>
        <v>筑波スカイラインスティーブル</v>
      </c>
    </row>
    <row r="19" spans="1:7" s="19" customFormat="1" ht="23.1" customHeight="1">
      <c r="A19" s="16" t="str">
        <f>IF('24'!A19="","",'24'!A19)</f>
        <v/>
      </c>
      <c r="B19" s="16">
        <f>IF('24'!B19="","",'24'!B19)</f>
        <v>6</v>
      </c>
      <c r="C19" s="17" t="str">
        <f>IF('24'!C19="","",'24'!C19)</f>
        <v>服部　亮太</v>
      </c>
      <c r="D19" s="249" t="str">
        <f>IF('24'!D19="","",'24'!D19)</f>
        <v>-</v>
      </c>
      <c r="E19" s="17" t="str">
        <f>IF('24'!E19="","",'24'!E19)</f>
        <v>フレデリカ</v>
      </c>
      <c r="F19" s="249" t="str">
        <f>IF('24'!F19="","",'24'!F19)</f>
        <v>-</v>
      </c>
      <c r="G19" s="17" t="str">
        <f>IF('24'!G19="","",'24'!G19)</f>
        <v>乗馬クラブクレイン神奈川</v>
      </c>
    </row>
    <row r="20" spans="1:7" s="19" customFormat="1" ht="23.1" customHeight="1">
      <c r="A20" s="16" t="str">
        <f>IF('24'!A20="","",'24'!A20)</f>
        <v>OP</v>
      </c>
      <c r="B20" s="16">
        <f>IF('24'!B20="","",'24'!B20)</f>
        <v>7</v>
      </c>
      <c r="C20" s="17" t="str">
        <f>IF('24'!C20="","",'24'!C20)</f>
        <v>林　義昌</v>
      </c>
      <c r="D20" s="249">
        <f>IF('24'!D20="","",'24'!D20)</f>
        <v>18717</v>
      </c>
      <c r="E20" s="17" t="str">
        <f>IF('24'!E20="","",'24'!E20)</f>
        <v>ラーグルフ</v>
      </c>
      <c r="F20" s="249" t="str">
        <f>IF('24'!F20="","",'24'!F20)</f>
        <v>‐</v>
      </c>
      <c r="G20" s="17" t="str">
        <f>IF('24'!G20="","",'24'!G20)</f>
        <v>北総乗馬クラブ</v>
      </c>
    </row>
    <row r="21" spans="1:7" s="19" customFormat="1" ht="23.1" customHeight="1">
      <c r="A21" s="16" t="str">
        <f>IF('24'!A21="","",'24'!A21)</f>
        <v/>
      </c>
      <c r="B21" s="16">
        <f>IF('24'!B21="","",'24'!B21)</f>
        <v>8</v>
      </c>
      <c r="C21" s="17" t="str">
        <f>IF('24'!C21="","",'24'!C21)</f>
        <v>米山　志乃</v>
      </c>
      <c r="D21" s="249">
        <f>IF('24'!D21="","",'24'!D21)</f>
        <v>14007</v>
      </c>
      <c r="E21" s="17" t="str">
        <f>IF('24'!E21="","",'24'!E21)</f>
        <v>ウィングマン</v>
      </c>
      <c r="F21" s="249">
        <f>IF('24'!F21="","",'24'!F21)</f>
        <v>60439</v>
      </c>
      <c r="G21" s="17" t="str">
        <f>IF('24'!G21="","",'24'!G21)</f>
        <v>小山乗馬クラブ</v>
      </c>
    </row>
    <row r="22" spans="1:7" s="19" customFormat="1" ht="23.1" customHeight="1">
      <c r="A22" s="16" t="str">
        <f>IF('24'!A22="","",'24'!A22)</f>
        <v/>
      </c>
      <c r="B22" s="16">
        <f>IF('24'!B22="","",'24'!B22)</f>
        <v>9</v>
      </c>
      <c r="C22" s="17" t="str">
        <f>IF('24'!C22="","",'24'!C22)</f>
        <v>陳　最</v>
      </c>
      <c r="D22" s="249">
        <f>IF('24'!D22="","",'24'!D22)</f>
        <v>33843</v>
      </c>
      <c r="E22" s="17" t="str">
        <f>IF('24'!E22="","",'24'!E22)</f>
        <v>コスタブラバ</v>
      </c>
      <c r="F22" s="249">
        <f>IF('24'!F22="","",'24'!F22)</f>
        <v>55915</v>
      </c>
      <c r="G22" s="17" t="str">
        <f>IF('24'!G22="","",'24'!G22)</f>
        <v>八王子乗馬倶楽部</v>
      </c>
    </row>
    <row r="23" spans="1:7" s="19" customFormat="1" ht="23.1" customHeight="1">
      <c r="A23" s="16" t="str">
        <f>IF('24'!A23="","",'24'!A23)</f>
        <v/>
      </c>
      <c r="B23" s="16">
        <f>IF('24'!B23="","",'24'!B23)</f>
        <v>10</v>
      </c>
      <c r="C23" s="17" t="str">
        <f>IF('24'!C23="","",'24'!C23)</f>
        <v>三田村　忍</v>
      </c>
      <c r="D23" s="249" t="str">
        <f>IF('24'!D23="","",'24'!D23)</f>
        <v>-</v>
      </c>
      <c r="E23" s="17" t="str">
        <f>IF('24'!E23="","",'24'!E23)</f>
        <v>エヴァンダ</v>
      </c>
      <c r="F23" s="249">
        <f>IF('24'!F23="","",'24'!F23)</f>
        <v>57887</v>
      </c>
      <c r="G23" s="17" t="str">
        <f>IF('24'!G23="","",'24'!G23)</f>
        <v>ペガサス乗馬クラブ</v>
      </c>
    </row>
    <row r="24" spans="1:7" s="19" customFormat="1" ht="23.1" customHeight="1">
      <c r="A24" s="16" t="str">
        <f>IF('24'!A24="","",'24'!A24)</f>
        <v/>
      </c>
      <c r="B24" s="16">
        <f>IF('24'!B24="","",'24'!B24)</f>
        <v>11</v>
      </c>
      <c r="C24" s="17" t="str">
        <f>IF('24'!C24="","",'24'!C24)</f>
        <v>明渡　則和</v>
      </c>
      <c r="D24" s="249">
        <f>IF('24'!D24="","",'24'!D24)</f>
        <v>32215</v>
      </c>
      <c r="E24" s="17" t="str">
        <f>IF('24'!E24="","",'24'!E24)</f>
        <v>スプレンディッド・アーク</v>
      </c>
      <c r="F24" s="249">
        <f>IF('24'!F24="","",'24'!F24)</f>
        <v>60111</v>
      </c>
      <c r="G24" s="17" t="str">
        <f>IF('24'!G24="","",'24'!G24)</f>
        <v>北駿ホースヴィラ</v>
      </c>
    </row>
    <row r="25" spans="1:7" s="19" customFormat="1" ht="23.1" customHeight="1">
      <c r="A25" s="16" t="str">
        <f>IF('24'!A25="","",'24'!A25)</f>
        <v/>
      </c>
      <c r="B25" s="16">
        <f>IF('24'!B25="","",'24'!B25)</f>
        <v>12</v>
      </c>
      <c r="C25" s="17" t="str">
        <f>IF('24'!C25="","",'24'!C25)</f>
        <v>山下　永聖</v>
      </c>
      <c r="D25" s="249">
        <f>IF('24'!D25="","",'24'!D25)</f>
        <v>34299</v>
      </c>
      <c r="E25" s="17" t="str">
        <f>IF('24'!E25="","",'24'!E25)</f>
        <v>紅愛</v>
      </c>
      <c r="F25" s="249">
        <f>IF('24'!F25="","",'24'!F25)</f>
        <v>59843</v>
      </c>
      <c r="G25" s="17" t="str">
        <f>IF('24'!G25="","",'24'!G25)</f>
        <v>拓殖大学馬術部</v>
      </c>
    </row>
    <row r="26" spans="1:7" s="19" customFormat="1" ht="23.1" customHeight="1">
      <c r="A26" s="16" t="str">
        <f>IF('24'!A26="","",'24'!A26)</f>
        <v>OP</v>
      </c>
      <c r="B26" s="16">
        <f>IF('24'!B26="","",'24'!B26)</f>
        <v>13</v>
      </c>
      <c r="C26" s="17" t="str">
        <f>IF('24'!C26="","",'24'!C26)</f>
        <v>本間　唯純</v>
      </c>
      <c r="D26" s="249">
        <f>IF('24'!D26="","",'24'!D26)</f>
        <v>14546</v>
      </c>
      <c r="E26" s="17" t="str">
        <f>IF('24'!E26="","",'24'!E26)</f>
        <v>アーチー</v>
      </c>
      <c r="F26" s="249">
        <f>IF('24'!F26="","",'24'!F26)</f>
        <v>60834</v>
      </c>
      <c r="G26" s="17" t="str">
        <f>IF('24'!G26="","",'24'!G26)</f>
        <v>乗馬クラブクレイン神奈川</v>
      </c>
    </row>
    <row r="27" spans="1:7" s="19" customFormat="1" ht="23.1" customHeight="1">
      <c r="A27" s="16" t="str">
        <f>IF('24'!A27="","",'24'!A27)</f>
        <v/>
      </c>
      <c r="B27" s="16">
        <f>IF('24'!B27="","",'24'!B27)</f>
        <v>14</v>
      </c>
      <c r="C27" s="17" t="str">
        <f>IF('24'!C27="","",'24'!C27)</f>
        <v>佐伯　華蓮</v>
      </c>
      <c r="D27" s="249">
        <f>IF('24'!D27="","",'24'!D27)</f>
        <v>33610</v>
      </c>
      <c r="E27" s="17" t="str">
        <f>IF('24'!E27="","",'24'!E27)</f>
        <v>ララクレール</v>
      </c>
      <c r="F27" s="249">
        <f>IF('24'!F27="","",'24'!F27)</f>
        <v>61089</v>
      </c>
      <c r="G27" s="17" t="str">
        <f>IF('24'!G27="","",'24'!G27)</f>
        <v>北総乗馬クラブ</v>
      </c>
    </row>
    <row r="28" spans="1:7" s="19" customFormat="1" ht="23.1" customHeight="1">
      <c r="A28" s="16" t="str">
        <f>IF('24'!A28="","",'24'!A28)</f>
        <v/>
      </c>
      <c r="B28" s="16">
        <f>IF('24'!B28="","",'24'!B28)</f>
        <v>15</v>
      </c>
      <c r="C28" s="17" t="str">
        <f>IF('24'!C28="","",'24'!C28)</f>
        <v>増山　煌侑</v>
      </c>
      <c r="D28" s="249">
        <f>IF('24'!D28="","",'24'!D28)</f>
        <v>33538</v>
      </c>
      <c r="E28" s="17" t="str">
        <f>IF('24'!E28="","",'24'!E28)</f>
        <v>エルピス</v>
      </c>
      <c r="F28" s="249">
        <f>IF('24'!F28="","",'24'!F28)</f>
        <v>61781</v>
      </c>
      <c r="G28" s="17" t="str">
        <f>IF('24'!G28="","",'24'!G28)</f>
        <v>小山乗馬クラブ</v>
      </c>
    </row>
    <row r="29" spans="1:7" s="19" customFormat="1" ht="23.1" customHeight="1">
      <c r="A29" s="16" t="str">
        <f>IF('24'!A29="","",'24'!A29)</f>
        <v/>
      </c>
      <c r="B29" s="16">
        <f>IF('24'!B29="","",'24'!B29)</f>
        <v>16</v>
      </c>
      <c r="C29" s="17" t="str">
        <f>IF('24'!C29="","",'24'!C29)</f>
        <v>須藤　すみれ</v>
      </c>
      <c r="D29" s="249">
        <f>IF('24'!D29="","",'24'!D29)</f>
        <v>34060</v>
      </c>
      <c r="E29" s="17" t="str">
        <f>IF('24'!E29="","",'24'!E29)</f>
        <v>スーリアラヴィ</v>
      </c>
      <c r="F29" s="249">
        <f>IF('24'!F29="","",'24'!F29)</f>
        <v>62130</v>
      </c>
      <c r="G29" s="17" t="str">
        <f>IF('24'!G29="","",'24'!G29)</f>
        <v>STAR HORSES</v>
      </c>
    </row>
    <row r="30" spans="1:7" s="19" customFormat="1" ht="23.1" customHeight="1">
      <c r="A30" s="16" t="str">
        <f>IF('24'!A30="","",'24'!A30)</f>
        <v>OP</v>
      </c>
      <c r="B30" s="16">
        <f>IF('24'!B30="","",'24'!B30)</f>
        <v>17</v>
      </c>
      <c r="C30" s="17" t="str">
        <f>IF('24'!C30="","",'24'!C30)</f>
        <v>福島　大輔</v>
      </c>
      <c r="D30" s="249">
        <f>IF('24'!D30="","",'24'!D30)</f>
        <v>7270</v>
      </c>
      <c r="E30" s="17" t="str">
        <f>IF('24'!E30="","",'24'!E30)</f>
        <v>アルミココ</v>
      </c>
      <c r="F30" s="249">
        <f>IF('24'!F30="","",'24'!F30)</f>
        <v>60955</v>
      </c>
      <c r="G30" s="17" t="str">
        <f>IF('24'!G30="","",'24'!G30)</f>
        <v>STAR HORSES</v>
      </c>
    </row>
    <row r="31" spans="1:7" s="19" customFormat="1" ht="23.1" customHeight="1">
      <c r="A31" s="16" t="str">
        <f>IF('24'!A31="","",'24'!A31)</f>
        <v/>
      </c>
      <c r="B31" s="16">
        <f>IF('24'!B31="","",'24'!B31)</f>
        <v>18</v>
      </c>
      <c r="C31" s="17" t="str">
        <f>IF('24'!C31="","",'24'!C31)</f>
        <v>武井　史恵</v>
      </c>
      <c r="D31" s="249">
        <f>IF('24'!D31="","",'24'!D31)</f>
        <v>15774</v>
      </c>
      <c r="E31" s="17" t="str">
        <f>IF('24'!E31="","",'24'!E31)</f>
        <v>エンパイア</v>
      </c>
      <c r="F31" s="249">
        <f>IF('24'!F31="","",'24'!F31)</f>
        <v>59762</v>
      </c>
      <c r="G31" s="17" t="str">
        <f>IF('24'!G31="","",'24'!G31)</f>
        <v>成田乗馬クラブ</v>
      </c>
    </row>
    <row r="32" spans="1:7" s="19" customFormat="1" ht="23.1" customHeight="1">
      <c r="A32" s="16" t="str">
        <f>IF('24'!A32="","",'24'!A32)</f>
        <v/>
      </c>
      <c r="B32" s="16">
        <f>IF('24'!B32="","",'24'!B32)</f>
        <v>19</v>
      </c>
      <c r="C32" s="17" t="str">
        <f>IF('24'!C32="","",'24'!C32)</f>
        <v>木村　茉里子</v>
      </c>
      <c r="D32" s="249">
        <f>IF('24'!D32="","",'24'!D32)</f>
        <v>12188</v>
      </c>
      <c r="E32" s="17" t="str">
        <f>IF('24'!E32="","",'24'!E32)</f>
        <v>クリッチェ・デ・ロワ</v>
      </c>
      <c r="F32" s="249">
        <f>IF('24'!F32="","",'24'!F32)</f>
        <v>62119</v>
      </c>
      <c r="G32" s="17" t="str">
        <f>IF('24'!G32="","",'24'!G32)</f>
        <v>NGK Horse Paz.</v>
      </c>
    </row>
    <row r="33" spans="1:7" s="19" customFormat="1" ht="23.1" customHeight="1">
      <c r="A33" s="16" t="str">
        <f>IF('24'!A33="","",'24'!A33)</f>
        <v/>
      </c>
      <c r="B33" s="16">
        <f>IF('24'!B33="","",'24'!B33)</f>
        <v>20</v>
      </c>
      <c r="C33" s="17" t="str">
        <f>IF('24'!C33="","",'24'!C33)</f>
        <v/>
      </c>
      <c r="D33" s="249" t="str">
        <f>IF('24'!D33="","",'24'!D33)</f>
        <v/>
      </c>
      <c r="E33" s="17" t="str">
        <f>IF('24'!E33="","",'24'!E33)</f>
        <v/>
      </c>
      <c r="F33" s="249" t="str">
        <f>IF('24'!F33="","",'24'!F33)</f>
        <v/>
      </c>
      <c r="G33" s="17" t="str">
        <f>IF('24'!G33="","",'24'!G33)</f>
        <v/>
      </c>
    </row>
    <row r="34" spans="1:7" s="19" customFormat="1" ht="23.1" customHeight="1">
      <c r="A34" s="16" t="str">
        <f>IF('24'!A34="","",'24'!A34)</f>
        <v/>
      </c>
      <c r="B34" s="16">
        <f>IF('24'!B34="","",'24'!B34)</f>
        <v>21</v>
      </c>
      <c r="C34" s="17" t="str">
        <f>IF('24'!C34="","",'24'!C34)</f>
        <v/>
      </c>
      <c r="D34" s="249" t="str">
        <f>IF('24'!D34="","",'24'!D34)</f>
        <v/>
      </c>
      <c r="E34" s="17" t="str">
        <f>IF('24'!E34="","",'24'!E34)</f>
        <v/>
      </c>
      <c r="F34" s="249" t="str">
        <f>IF('24'!F34="","",'24'!F34)</f>
        <v/>
      </c>
      <c r="G34" s="17" t="str">
        <f>IF('24'!G34="","",'24'!G34)</f>
        <v/>
      </c>
    </row>
    <row r="35" spans="1:7" s="19" customFormat="1" ht="23.1" customHeight="1">
      <c r="A35" s="16" t="str">
        <f>IF('24'!A35="","",'24'!A35)</f>
        <v/>
      </c>
      <c r="B35" s="16">
        <f>IF('24'!B35="","",'24'!B35)</f>
        <v>22</v>
      </c>
      <c r="C35" s="17" t="str">
        <f>IF('24'!C35="","",'24'!C35)</f>
        <v/>
      </c>
      <c r="D35" s="249" t="str">
        <f>IF('24'!D35="","",'24'!D35)</f>
        <v/>
      </c>
      <c r="E35" s="17" t="str">
        <f>IF('24'!E35="","",'24'!E35)</f>
        <v/>
      </c>
      <c r="F35" s="249" t="str">
        <f>IF('24'!F35="","",'24'!F35)</f>
        <v/>
      </c>
      <c r="G35" s="17" t="str">
        <f>IF('24'!G35="","",'24'!G35)</f>
        <v/>
      </c>
    </row>
    <row r="36" spans="1:7" s="19" customFormat="1" ht="23.1" customHeight="1">
      <c r="A36" s="16" t="str">
        <f>IF('24'!A36="","",'24'!A36)</f>
        <v/>
      </c>
      <c r="B36" s="16">
        <f>IF('24'!B36="","",'24'!B36)</f>
        <v>23</v>
      </c>
      <c r="C36" s="17" t="str">
        <f>IF('24'!C36="","",'24'!C36)</f>
        <v/>
      </c>
      <c r="D36" s="249" t="str">
        <f>IF('24'!D36="","",'24'!D36)</f>
        <v/>
      </c>
      <c r="E36" s="17" t="str">
        <f>IF('24'!E36="","",'24'!E36)</f>
        <v/>
      </c>
      <c r="F36" s="249" t="str">
        <f>IF('24'!F36="","",'24'!F36)</f>
        <v/>
      </c>
      <c r="G36" s="17" t="str">
        <f>IF('24'!G36="","",'24'!G36)</f>
        <v/>
      </c>
    </row>
    <row r="37" spans="1:7" s="19" customFormat="1" ht="23.1" customHeight="1">
      <c r="A37" s="16" t="str">
        <f>IF('24'!A37="","",'24'!A37)</f>
        <v/>
      </c>
      <c r="B37" s="16">
        <f>IF('24'!B37="","",'24'!B37)</f>
        <v>24</v>
      </c>
      <c r="C37" s="17" t="str">
        <f>IF('24'!C37="","",'24'!C37)</f>
        <v/>
      </c>
      <c r="D37" s="249" t="str">
        <f>IF('24'!D37="","",'24'!D37)</f>
        <v/>
      </c>
      <c r="E37" s="17" t="str">
        <f>IF('24'!E37="","",'24'!E37)</f>
        <v/>
      </c>
      <c r="F37" s="249" t="str">
        <f>IF('24'!F37="","",'24'!F37)</f>
        <v/>
      </c>
      <c r="G37" s="17" t="str">
        <f>IF('24'!G37="","",'24'!G37)</f>
        <v/>
      </c>
    </row>
    <row r="38" spans="1:7" s="19" customFormat="1" ht="23.1" customHeight="1">
      <c r="A38" s="16" t="str">
        <f>IF('24'!A38="","",'24'!A38)</f>
        <v/>
      </c>
      <c r="B38" s="16">
        <f>IF('24'!B38="","",'24'!B38)</f>
        <v>25</v>
      </c>
      <c r="C38" s="17" t="str">
        <f>IF('24'!C38="","",'24'!C38)</f>
        <v/>
      </c>
      <c r="D38" s="249" t="str">
        <f>IF('24'!D38="","",'24'!D38)</f>
        <v/>
      </c>
      <c r="E38" s="17" t="str">
        <f>IF('24'!E38="","",'24'!E38)</f>
        <v/>
      </c>
      <c r="F38" s="249" t="str">
        <f>IF('24'!F38="","",'24'!F38)</f>
        <v/>
      </c>
      <c r="G38" s="17" t="str">
        <f>IF('24'!G38="","",'24'!G38)</f>
        <v/>
      </c>
    </row>
    <row r="39" spans="1:7" s="19" customFormat="1" ht="23.1" customHeight="1">
      <c r="A39" s="16" t="str">
        <f>IF('24'!A39="","",'24'!A39)</f>
        <v/>
      </c>
      <c r="B39" s="16">
        <f>IF('24'!B39="","",'24'!B39)</f>
        <v>26</v>
      </c>
      <c r="C39" s="17" t="str">
        <f>IF('24'!C39="","",'24'!C39)</f>
        <v/>
      </c>
      <c r="D39" s="249" t="str">
        <f>IF('24'!D39="","",'24'!D39)</f>
        <v/>
      </c>
      <c r="E39" s="17" t="str">
        <f>IF('24'!E39="","",'24'!E39)</f>
        <v/>
      </c>
      <c r="F39" s="249" t="str">
        <f>IF('24'!F39="","",'24'!F39)</f>
        <v/>
      </c>
      <c r="G39" s="17" t="str">
        <f>IF('24'!G39="","",'24'!G39)</f>
        <v/>
      </c>
    </row>
    <row r="40" spans="1:7" s="19" customFormat="1" ht="23.1" customHeight="1">
      <c r="A40" s="16" t="str">
        <f>IF('24'!A40="","",'24'!A40)</f>
        <v/>
      </c>
      <c r="B40" s="16">
        <f>IF('24'!B40="","",'24'!B40)</f>
        <v>27</v>
      </c>
      <c r="C40" s="17" t="str">
        <f>IF('24'!C40="","",'24'!C40)</f>
        <v/>
      </c>
      <c r="D40" s="249" t="str">
        <f>IF('24'!D40="","",'24'!D40)</f>
        <v/>
      </c>
      <c r="E40" s="17" t="str">
        <f>IF('24'!E40="","",'24'!E40)</f>
        <v/>
      </c>
      <c r="F40" s="249" t="str">
        <f>IF('24'!F40="","",'24'!F40)</f>
        <v/>
      </c>
      <c r="G40" s="17" t="str">
        <f>IF('24'!G40="","",'24'!G40)</f>
        <v/>
      </c>
    </row>
    <row r="41" spans="1:7" s="19" customFormat="1" ht="23.1" customHeight="1">
      <c r="A41" s="16" t="str">
        <f>IF('24'!A41="","",'24'!A41)</f>
        <v/>
      </c>
      <c r="B41" s="16">
        <f>IF('24'!B41="","",'24'!B41)</f>
        <v>28</v>
      </c>
      <c r="C41" s="17" t="str">
        <f>IF('24'!C41="","",'24'!C41)</f>
        <v/>
      </c>
      <c r="D41" s="249" t="str">
        <f>IF('24'!D41="","",'24'!D41)</f>
        <v/>
      </c>
      <c r="E41" s="17" t="str">
        <f>IF('24'!E41="","",'24'!E41)</f>
        <v/>
      </c>
      <c r="F41" s="249" t="str">
        <f>IF('24'!F41="","",'24'!F41)</f>
        <v/>
      </c>
      <c r="G41" s="17" t="str">
        <f>IF('24'!G41="","",'24'!G41)</f>
        <v/>
      </c>
    </row>
    <row r="42" spans="1:7" s="19" customFormat="1" ht="23.1" customHeight="1">
      <c r="A42" s="16" t="str">
        <f>IF('24'!A42="","",'24'!A42)</f>
        <v/>
      </c>
      <c r="B42" s="16">
        <f>IF('24'!B42="","",'24'!B42)</f>
        <v>29</v>
      </c>
      <c r="C42" s="17" t="str">
        <f>IF('24'!C42="","",'24'!C42)</f>
        <v/>
      </c>
      <c r="D42" s="249" t="str">
        <f>IF('24'!D42="","",'24'!D42)</f>
        <v/>
      </c>
      <c r="E42" s="17" t="str">
        <f>IF('24'!E42="","",'24'!E42)</f>
        <v/>
      </c>
      <c r="F42" s="249" t="str">
        <f>IF('24'!F42="","",'24'!F42)</f>
        <v/>
      </c>
      <c r="G42" s="17" t="str">
        <f>IF('24'!G42="","",'24'!G42)</f>
        <v/>
      </c>
    </row>
    <row r="43" spans="1:7" s="19" customFormat="1" ht="23.1" customHeight="1">
      <c r="A43" s="16" t="str">
        <f>IF('24'!A43="","",'24'!A43)</f>
        <v/>
      </c>
      <c r="B43" s="16">
        <f>IF('24'!B43="","",'24'!B43)</f>
        <v>30</v>
      </c>
      <c r="C43" s="17" t="str">
        <f>IF('24'!C43="","",'24'!C43)</f>
        <v/>
      </c>
      <c r="D43" s="249" t="str">
        <f>IF('24'!D43="","",'24'!D43)</f>
        <v/>
      </c>
      <c r="E43" s="17" t="str">
        <f>IF('24'!E43="","",'24'!E43)</f>
        <v/>
      </c>
      <c r="F43" s="249" t="str">
        <f>IF('24'!F43="","",'24'!F43)</f>
        <v/>
      </c>
      <c r="G43" s="17" t="str">
        <f>IF('24'!G43="","",'24'!G43)</f>
        <v/>
      </c>
    </row>
    <row r="44" spans="1:7" ht="23.1" customHeight="1">
      <c r="A44" s="16" t="str">
        <f>IF('24'!A44="","",'24'!A44)</f>
        <v/>
      </c>
      <c r="B44" s="16">
        <f>IF('24'!B44="","",'24'!B44)</f>
        <v>31</v>
      </c>
      <c r="C44" s="17" t="str">
        <f>IF('24'!C44="","",'24'!C44)</f>
        <v/>
      </c>
      <c r="D44" s="249" t="str">
        <f>IF('24'!D44="","",'24'!D44)</f>
        <v/>
      </c>
      <c r="E44" s="17" t="str">
        <f>IF('24'!E44="","",'24'!E44)</f>
        <v/>
      </c>
      <c r="F44" s="249" t="str">
        <f>IF('24'!F44="","",'24'!F44)</f>
        <v/>
      </c>
      <c r="G44" s="17" t="str">
        <f>IF('24'!G44="","",'24'!G44)</f>
        <v/>
      </c>
    </row>
    <row r="45" spans="1:7" ht="23.1" customHeight="1">
      <c r="A45" s="16" t="str">
        <f>IF('24'!A45="","",'24'!A45)</f>
        <v/>
      </c>
      <c r="B45" s="16">
        <f>IF('24'!B45="","",'24'!B45)</f>
        <v>32</v>
      </c>
      <c r="C45" s="17" t="str">
        <f>IF('24'!C45="","",'24'!C45)</f>
        <v/>
      </c>
      <c r="D45" s="249" t="str">
        <f>IF('24'!D45="","",'24'!D45)</f>
        <v/>
      </c>
      <c r="E45" s="17" t="str">
        <f>IF('24'!E45="","",'24'!E45)</f>
        <v/>
      </c>
      <c r="F45" s="249" t="str">
        <f>IF('24'!F45="","",'24'!F45)</f>
        <v/>
      </c>
      <c r="G45" s="17" t="str">
        <f>IF('24'!G45="","",'24'!G45)</f>
        <v/>
      </c>
    </row>
    <row r="46" spans="1:7" ht="23.1" customHeight="1">
      <c r="A46" s="16" t="str">
        <f>IF('24'!A46="","",'24'!A46)</f>
        <v/>
      </c>
      <c r="B46" s="16">
        <f>IF('24'!B46="","",'24'!B46)</f>
        <v>33</v>
      </c>
      <c r="C46" s="17" t="str">
        <f>IF('24'!C46="","",'24'!C46)</f>
        <v/>
      </c>
      <c r="D46" s="249" t="str">
        <f>IF('24'!D46="","",'24'!D46)</f>
        <v/>
      </c>
      <c r="E46" s="17" t="str">
        <f>IF('24'!E46="","",'24'!E46)</f>
        <v/>
      </c>
      <c r="F46" s="249" t="str">
        <f>IF('24'!F46="","",'24'!F46)</f>
        <v/>
      </c>
      <c r="G46" s="17" t="str">
        <f>IF('24'!G46="","",'24'!G46)</f>
        <v/>
      </c>
    </row>
    <row r="47" spans="1:7" ht="23.1" customHeight="1">
      <c r="A47" s="16" t="str">
        <f>IF('24'!A47="","",'24'!A47)</f>
        <v/>
      </c>
      <c r="B47" s="16">
        <f>IF('24'!B47="","",'24'!B47)</f>
        <v>34</v>
      </c>
      <c r="C47" s="17" t="str">
        <f>IF('24'!C47="","",'24'!C47)</f>
        <v/>
      </c>
      <c r="D47" s="249" t="str">
        <f>IF('24'!D47="","",'24'!D47)</f>
        <v/>
      </c>
      <c r="E47" s="17" t="str">
        <f>IF('24'!E47="","",'24'!E47)</f>
        <v/>
      </c>
      <c r="F47" s="249" t="str">
        <f>IF('24'!F47="","",'24'!F47)</f>
        <v/>
      </c>
      <c r="G47" s="17" t="str">
        <f>IF('24'!G47="","",'24'!G47)</f>
        <v/>
      </c>
    </row>
    <row r="48" spans="1:7" ht="23.1" customHeight="1">
      <c r="A48" s="16" t="str">
        <f>IF('24'!A48="","",'24'!A48)</f>
        <v/>
      </c>
      <c r="B48" s="16">
        <f>IF('24'!B48="","",'24'!B48)</f>
        <v>35</v>
      </c>
      <c r="C48" s="17" t="str">
        <f>IF('24'!C48="","",'24'!C48)</f>
        <v/>
      </c>
      <c r="D48" s="249" t="str">
        <f>IF('24'!D48="","",'24'!D48)</f>
        <v/>
      </c>
      <c r="E48" s="17" t="str">
        <f>IF('24'!E48="","",'24'!E48)</f>
        <v/>
      </c>
      <c r="F48" s="249" t="str">
        <f>IF('24'!F48="","",'24'!F48)</f>
        <v/>
      </c>
      <c r="G48" s="17" t="str">
        <f>IF('24'!G48="","",'24'!G48)</f>
        <v/>
      </c>
    </row>
    <row r="49" spans="1:7" ht="23.1" customHeight="1">
      <c r="A49" s="16" t="str">
        <f>IF('24'!A49="","",'24'!A49)</f>
        <v/>
      </c>
      <c r="B49" s="16">
        <f>IF('24'!B49="","",'24'!B49)</f>
        <v>36</v>
      </c>
      <c r="C49" s="17" t="str">
        <f>IF('24'!C49="","",'24'!C49)</f>
        <v/>
      </c>
      <c r="D49" s="249" t="str">
        <f>IF('24'!D49="","",'24'!D49)</f>
        <v/>
      </c>
      <c r="E49" s="17" t="str">
        <f>IF('24'!E49="","",'24'!E49)</f>
        <v/>
      </c>
      <c r="F49" s="249" t="str">
        <f>IF('24'!F49="","",'24'!F49)</f>
        <v/>
      </c>
      <c r="G49" s="17" t="str">
        <f>IF('24'!G49="","",'24'!G49)</f>
        <v/>
      </c>
    </row>
    <row r="50" spans="1:7" ht="23.1" customHeight="1">
      <c r="A50" s="16" t="str">
        <f>IF('24'!A50="","",'24'!A50)</f>
        <v/>
      </c>
      <c r="B50" s="16">
        <f>IF('24'!B50="","",'24'!B50)</f>
        <v>37</v>
      </c>
      <c r="C50" s="17" t="str">
        <f>IF('24'!C50="","",'24'!C50)</f>
        <v/>
      </c>
      <c r="D50" s="249" t="str">
        <f>IF('24'!D50="","",'24'!D50)</f>
        <v/>
      </c>
      <c r="E50" s="17" t="str">
        <f>IF('24'!E50="","",'24'!E50)</f>
        <v/>
      </c>
      <c r="F50" s="249" t="str">
        <f>IF('24'!F50="","",'24'!F50)</f>
        <v/>
      </c>
      <c r="G50" s="17" t="str">
        <f>IF('24'!G50="","",'24'!G50)</f>
        <v/>
      </c>
    </row>
    <row r="51" spans="1:7" ht="23.1" customHeight="1">
      <c r="A51" s="16" t="str">
        <f>IF('24'!A51="","",'24'!A51)</f>
        <v/>
      </c>
      <c r="B51" s="16">
        <f>IF('24'!B51="","",'24'!B51)</f>
        <v>38</v>
      </c>
      <c r="C51" s="17" t="str">
        <f>IF('24'!C51="","",'24'!C51)</f>
        <v/>
      </c>
      <c r="D51" s="249" t="str">
        <f>IF('24'!D51="","",'24'!D51)</f>
        <v/>
      </c>
      <c r="E51" s="17" t="str">
        <f>IF('24'!E51="","",'24'!E51)</f>
        <v/>
      </c>
      <c r="F51" s="249" t="str">
        <f>IF('24'!F51="","",'24'!F51)</f>
        <v/>
      </c>
      <c r="G51" s="17" t="str">
        <f>IF('24'!G51="","",'24'!G51)</f>
        <v/>
      </c>
    </row>
    <row r="52" spans="1:7" ht="23.1" customHeight="1">
      <c r="A52" s="16" t="str">
        <f>IF('24'!A52="","",'24'!A52)</f>
        <v/>
      </c>
      <c r="B52" s="16">
        <f>IF('24'!B52="","",'24'!B52)</f>
        <v>39</v>
      </c>
      <c r="C52" s="17" t="str">
        <f>IF('24'!C52="","",'24'!C52)</f>
        <v/>
      </c>
      <c r="D52" s="249" t="str">
        <f>IF('24'!D52="","",'24'!D52)</f>
        <v/>
      </c>
      <c r="E52" s="17" t="str">
        <f>IF('24'!E52="","",'24'!E52)</f>
        <v/>
      </c>
      <c r="F52" s="249" t="str">
        <f>IF('24'!F52="","",'24'!F52)</f>
        <v/>
      </c>
      <c r="G52" s="17" t="str">
        <f>IF('24'!G52="","",'24'!G52)</f>
        <v/>
      </c>
    </row>
    <row r="53" spans="1:7" ht="23.1" customHeight="1">
      <c r="A53" s="16" t="str">
        <f>IF('24'!A53="","",'24'!A53)</f>
        <v/>
      </c>
      <c r="B53" s="16">
        <f>IF('24'!B53="","",'24'!B53)</f>
        <v>40</v>
      </c>
      <c r="C53" s="17" t="str">
        <f>IF('24'!C53="","",'24'!C53)</f>
        <v/>
      </c>
      <c r="D53" s="249" t="str">
        <f>IF('24'!D53="","",'24'!D53)</f>
        <v/>
      </c>
      <c r="E53" s="17" t="str">
        <f>IF('24'!E53="","",'24'!E53)</f>
        <v/>
      </c>
      <c r="F53" s="249" t="str">
        <f>IF('24'!F53="","",'24'!F53)</f>
        <v/>
      </c>
      <c r="G53" s="17" t="str">
        <f>IF('24'!G53="","",'24'!G53)</f>
        <v/>
      </c>
    </row>
    <row r="54" spans="1:7" ht="23.1" customHeight="1">
      <c r="A54" s="16" t="str">
        <f>IF('24'!A54="","",'24'!A54)</f>
        <v/>
      </c>
      <c r="B54" s="16">
        <f>IF('24'!B54="","",'24'!B54)</f>
        <v>41</v>
      </c>
      <c r="C54" s="17" t="str">
        <f>IF('24'!C54="","",'24'!C54)</f>
        <v/>
      </c>
      <c r="D54" s="249" t="str">
        <f>IF('24'!D54="","",'24'!D54)</f>
        <v/>
      </c>
      <c r="E54" s="17" t="str">
        <f>IF('24'!E54="","",'24'!E54)</f>
        <v/>
      </c>
      <c r="F54" s="249" t="str">
        <f>IF('24'!F54="","",'24'!F54)</f>
        <v/>
      </c>
      <c r="G54" s="17" t="str">
        <f>IF('24'!G54="","",'24'!G54)</f>
        <v/>
      </c>
    </row>
    <row r="55" spans="1:7" ht="23.1" customHeight="1">
      <c r="A55" s="16" t="str">
        <f>IF('24'!A55="","",'24'!A55)</f>
        <v/>
      </c>
      <c r="B55" s="16">
        <f>IF('24'!B55="","",'24'!B55)</f>
        <v>42</v>
      </c>
      <c r="C55" s="17" t="str">
        <f>IF('24'!C55="","",'24'!C55)</f>
        <v/>
      </c>
      <c r="D55" s="249" t="str">
        <f>IF('24'!D55="","",'24'!D55)</f>
        <v/>
      </c>
      <c r="E55" s="17" t="str">
        <f>IF('24'!E55="","",'24'!E55)</f>
        <v/>
      </c>
      <c r="F55" s="249" t="str">
        <f>IF('24'!F55="","",'24'!F55)</f>
        <v/>
      </c>
      <c r="G55" s="17" t="str">
        <f>IF('24'!G55="","",'24'!G55)</f>
        <v/>
      </c>
    </row>
    <row r="56" spans="1:7" ht="23.1" customHeight="1">
      <c r="A56" s="16" t="str">
        <f>IF('24'!A56="","",'24'!A56)</f>
        <v/>
      </c>
      <c r="B56" s="16">
        <f>IF('24'!B56="","",'24'!B56)</f>
        <v>43</v>
      </c>
      <c r="C56" s="17" t="str">
        <f>IF('24'!C56="","",'24'!C56)</f>
        <v/>
      </c>
      <c r="D56" s="249" t="str">
        <f>IF('24'!D56="","",'24'!D56)</f>
        <v/>
      </c>
      <c r="E56" s="17" t="str">
        <f>IF('24'!E56="","",'24'!E56)</f>
        <v/>
      </c>
      <c r="F56" s="249" t="str">
        <f>IF('24'!F56="","",'24'!F56)</f>
        <v/>
      </c>
      <c r="G56" s="17" t="str">
        <f>IF('24'!G56="","",'24'!G56)</f>
        <v/>
      </c>
    </row>
    <row r="57" spans="1:7" ht="23.1" customHeight="1">
      <c r="A57" s="16" t="str">
        <f>IF('24'!A57="","",'24'!A57)</f>
        <v/>
      </c>
      <c r="B57" s="16">
        <f>IF('24'!B57="","",'24'!B57)</f>
        <v>44</v>
      </c>
      <c r="C57" s="17" t="str">
        <f>IF('24'!C57="","",'24'!C57)</f>
        <v/>
      </c>
      <c r="D57" s="249" t="str">
        <f>IF('24'!D57="","",'24'!D57)</f>
        <v/>
      </c>
      <c r="E57" s="17" t="str">
        <f>IF('24'!E57="","",'24'!E57)</f>
        <v/>
      </c>
      <c r="F57" s="249" t="str">
        <f>IF('24'!F57="","",'24'!F57)</f>
        <v/>
      </c>
      <c r="G57" s="17" t="str">
        <f>IF('24'!G57="","",'24'!G57)</f>
        <v/>
      </c>
    </row>
    <row r="58" spans="1:7" ht="23.1" customHeight="1">
      <c r="A58" s="16" t="str">
        <f>IF('24'!A58="","",'24'!A58)</f>
        <v/>
      </c>
      <c r="B58" s="16">
        <f>IF('24'!B58="","",'24'!B58)</f>
        <v>45</v>
      </c>
      <c r="C58" s="17" t="str">
        <f>IF('24'!C58="","",'24'!C58)</f>
        <v/>
      </c>
      <c r="D58" s="249" t="str">
        <f>IF('24'!D58="","",'24'!D58)</f>
        <v/>
      </c>
      <c r="E58" s="17" t="str">
        <f>IF('24'!E58="","",'24'!E58)</f>
        <v/>
      </c>
      <c r="F58" s="249" t="str">
        <f>IF('24'!F58="","",'24'!F58)</f>
        <v/>
      </c>
      <c r="G58" s="17" t="str">
        <f>IF('24'!G58="","",'24'!G58)</f>
        <v/>
      </c>
    </row>
    <row r="59" spans="1:7" ht="23.1" customHeight="1">
      <c r="A59" s="16" t="str">
        <f>IF('24'!A59="","",'24'!A59)</f>
        <v/>
      </c>
      <c r="B59" s="16">
        <f>IF('24'!B59="","",'24'!B59)</f>
        <v>46</v>
      </c>
      <c r="C59" s="17" t="str">
        <f>IF('24'!C59="","",'24'!C59)</f>
        <v/>
      </c>
      <c r="D59" s="249" t="str">
        <f>IF('24'!D59="","",'24'!D59)</f>
        <v/>
      </c>
      <c r="E59" s="17" t="str">
        <f>IF('24'!E59="","",'24'!E59)</f>
        <v/>
      </c>
      <c r="F59" s="249" t="str">
        <f>IF('24'!F59="","",'24'!F59)</f>
        <v/>
      </c>
      <c r="G59" s="17" t="str">
        <f>IF('24'!G59="","",'24'!G59)</f>
        <v/>
      </c>
    </row>
    <row r="60" spans="1:7" ht="23.1" customHeight="1">
      <c r="A60" s="16" t="str">
        <f>IF('24'!A60="","",'24'!A60)</f>
        <v/>
      </c>
      <c r="B60" s="16">
        <f>IF('24'!B60="","",'24'!B60)</f>
        <v>47</v>
      </c>
      <c r="C60" s="17" t="str">
        <f>IF('24'!C60="","",'24'!C60)</f>
        <v/>
      </c>
      <c r="D60" s="249" t="str">
        <f>IF('24'!D60="","",'24'!D60)</f>
        <v/>
      </c>
      <c r="E60" s="17" t="str">
        <f>IF('24'!E60="","",'24'!E60)</f>
        <v/>
      </c>
      <c r="F60" s="249" t="str">
        <f>IF('24'!F60="","",'24'!F60)</f>
        <v/>
      </c>
      <c r="G60" s="17" t="str">
        <f>IF('24'!G60="","",'24'!G60)</f>
        <v/>
      </c>
    </row>
    <row r="61" spans="1:7" ht="23.1" customHeight="1">
      <c r="A61" s="16" t="str">
        <f>IF('24'!A61="","",'24'!A61)</f>
        <v/>
      </c>
      <c r="B61" s="16">
        <f>IF('24'!B61="","",'24'!B61)</f>
        <v>48</v>
      </c>
      <c r="C61" s="17" t="str">
        <f>IF('24'!C61="","",'24'!C61)</f>
        <v/>
      </c>
      <c r="D61" s="249" t="str">
        <f>IF('24'!D61="","",'24'!D61)</f>
        <v/>
      </c>
      <c r="E61" s="17" t="str">
        <f>IF('24'!E61="","",'24'!E61)</f>
        <v/>
      </c>
      <c r="F61" s="249" t="str">
        <f>IF('24'!F61="","",'24'!F61)</f>
        <v/>
      </c>
      <c r="G61" s="17" t="str">
        <f>IF('24'!G61="","",'24'!G61)</f>
        <v/>
      </c>
    </row>
    <row r="62" spans="1:7" ht="23.1" customHeight="1">
      <c r="A62" s="16" t="str">
        <f>IF('24'!A62="","",'24'!A62)</f>
        <v/>
      </c>
      <c r="B62" s="16">
        <f>IF('24'!B62="","",'24'!B62)</f>
        <v>49</v>
      </c>
      <c r="C62" s="17" t="str">
        <f>IF('24'!C62="","",'24'!C62)</f>
        <v/>
      </c>
      <c r="D62" s="249" t="str">
        <f>IF('24'!D62="","",'24'!D62)</f>
        <v/>
      </c>
      <c r="E62" s="17" t="str">
        <f>IF('24'!E62="","",'24'!E62)</f>
        <v/>
      </c>
      <c r="F62" s="249" t="str">
        <f>IF('24'!F62="","",'24'!F62)</f>
        <v/>
      </c>
      <c r="G62" s="17" t="str">
        <f>IF('24'!G62="","",'24'!G62)</f>
        <v/>
      </c>
    </row>
    <row r="63" spans="1:7" ht="23.1" customHeight="1">
      <c r="A63" s="16" t="str">
        <f>IF('24'!A63="","",'24'!A63)</f>
        <v/>
      </c>
      <c r="B63" s="16">
        <f>IF('24'!B63="","",'24'!B63)</f>
        <v>50</v>
      </c>
      <c r="C63" s="17" t="str">
        <f>IF('24'!C63="","",'24'!C63)</f>
        <v/>
      </c>
      <c r="D63" s="249" t="str">
        <f>IF('24'!D63="","",'24'!D63)</f>
        <v/>
      </c>
      <c r="E63" s="17" t="str">
        <f>IF('24'!E63="","",'24'!E63)</f>
        <v/>
      </c>
      <c r="F63" s="249" t="str">
        <f>IF('24'!F63="","",'24'!F63)</f>
        <v/>
      </c>
      <c r="G63" s="17" t="str">
        <f>IF('24'!G63="","",'24'!G63)</f>
        <v/>
      </c>
    </row>
    <row r="64" spans="1:7" ht="23.1" customHeight="1">
      <c r="A64" s="16" t="str">
        <f>IF('24'!A64="","",'24'!A64)</f>
        <v/>
      </c>
      <c r="B64" s="16">
        <f>IF('24'!B64="","",'24'!B64)</f>
        <v>51</v>
      </c>
      <c r="C64" s="17" t="str">
        <f>IF('24'!C64="","",'24'!C64)</f>
        <v/>
      </c>
      <c r="D64" s="249" t="str">
        <f>IF('24'!D64="","",'24'!D64)</f>
        <v/>
      </c>
      <c r="E64" s="17" t="str">
        <f>IF('24'!E64="","",'24'!E64)</f>
        <v/>
      </c>
      <c r="F64" s="249" t="str">
        <f>IF('24'!F64="","",'24'!F64)</f>
        <v/>
      </c>
      <c r="G64" s="17" t="str">
        <f>IF('24'!G64="","",'24'!G64)</f>
        <v/>
      </c>
    </row>
    <row r="65" spans="1:7" ht="23.1" customHeight="1">
      <c r="A65" s="16" t="str">
        <f>IF('24'!A65="","",'24'!A65)</f>
        <v/>
      </c>
      <c r="B65" s="16">
        <f>IF('24'!B65="","",'24'!B65)</f>
        <v>52</v>
      </c>
      <c r="C65" s="17" t="str">
        <f>IF('24'!C65="","",'24'!C65)</f>
        <v/>
      </c>
      <c r="D65" s="249" t="str">
        <f>IF('24'!D65="","",'24'!D65)</f>
        <v/>
      </c>
      <c r="E65" s="17" t="str">
        <f>IF('24'!E65="","",'24'!E65)</f>
        <v/>
      </c>
      <c r="F65" s="249" t="str">
        <f>IF('24'!F65="","",'24'!F65)</f>
        <v/>
      </c>
      <c r="G65" s="17" t="str">
        <f>IF('24'!G65="","",'24'!G65)</f>
        <v/>
      </c>
    </row>
    <row r="66" spans="1:7" ht="23.1" customHeight="1">
      <c r="A66" s="16" t="str">
        <f>IF('24'!A66="","",'24'!A66)</f>
        <v/>
      </c>
      <c r="B66" s="16">
        <f>IF('24'!B66="","",'24'!B66)</f>
        <v>53</v>
      </c>
      <c r="C66" s="17" t="str">
        <f>IF('24'!C66="","",'24'!C66)</f>
        <v/>
      </c>
      <c r="D66" s="249" t="str">
        <f>IF('24'!D66="","",'24'!D66)</f>
        <v/>
      </c>
      <c r="E66" s="17" t="str">
        <f>IF('24'!E66="","",'24'!E66)</f>
        <v/>
      </c>
      <c r="F66" s="249" t="str">
        <f>IF('24'!F66="","",'24'!F66)</f>
        <v/>
      </c>
      <c r="G66" s="17" t="str">
        <f>IF('24'!G66="","",'24'!G66)</f>
        <v/>
      </c>
    </row>
    <row r="67" spans="1:7" ht="23.1" customHeight="1">
      <c r="A67" s="16" t="str">
        <f>IF('24'!A67="","",'24'!A67)</f>
        <v/>
      </c>
      <c r="B67" s="16">
        <f>IF('24'!B67="","",'24'!B67)</f>
        <v>54</v>
      </c>
      <c r="C67" s="17" t="str">
        <f>IF('24'!C67="","",'24'!C67)</f>
        <v/>
      </c>
      <c r="D67" s="249" t="str">
        <f>IF('24'!D67="","",'24'!D67)</f>
        <v/>
      </c>
      <c r="E67" s="17" t="str">
        <f>IF('24'!E67="","",'24'!E67)</f>
        <v/>
      </c>
      <c r="F67" s="249" t="str">
        <f>IF('24'!F67="","",'24'!F67)</f>
        <v/>
      </c>
      <c r="G67" s="17" t="str">
        <f>IF('24'!G67="","",'24'!G67)</f>
        <v/>
      </c>
    </row>
    <row r="68" spans="1:7" ht="23.1" customHeight="1">
      <c r="A68" s="16" t="str">
        <f>IF('24'!A68="","",'24'!A68)</f>
        <v/>
      </c>
      <c r="B68" s="16">
        <f>IF('24'!B68="","",'24'!B68)</f>
        <v>55</v>
      </c>
      <c r="C68" s="17" t="str">
        <f>IF('24'!C68="","",'24'!C68)</f>
        <v/>
      </c>
      <c r="D68" s="249" t="str">
        <f>IF('24'!D68="","",'24'!D68)</f>
        <v/>
      </c>
      <c r="E68" s="17" t="str">
        <f>IF('24'!E68="","",'24'!E68)</f>
        <v/>
      </c>
      <c r="F68" s="249" t="str">
        <f>IF('24'!F68="","",'24'!F68)</f>
        <v/>
      </c>
      <c r="G68" s="17" t="str">
        <f>IF('24'!G68="","",'24'!G68)</f>
        <v/>
      </c>
    </row>
    <row r="69" spans="1:7" ht="23.1" customHeight="1">
      <c r="A69" s="16" t="str">
        <f>IF('24'!A69="","",'24'!A69)</f>
        <v/>
      </c>
      <c r="B69" s="16">
        <f>IF('24'!B69="","",'24'!B69)</f>
        <v>56</v>
      </c>
      <c r="C69" s="17" t="str">
        <f>IF('24'!C69="","",'24'!C69)</f>
        <v/>
      </c>
      <c r="D69" s="249" t="str">
        <f>IF('24'!D69="","",'24'!D69)</f>
        <v/>
      </c>
      <c r="E69" s="17" t="str">
        <f>IF('24'!E69="","",'24'!E69)</f>
        <v/>
      </c>
      <c r="F69" s="249" t="str">
        <f>IF('24'!F69="","",'24'!F69)</f>
        <v/>
      </c>
      <c r="G69" s="17" t="str">
        <f>IF('24'!G69="","",'24'!G69)</f>
        <v/>
      </c>
    </row>
    <row r="70" spans="1:7" ht="23.1" customHeight="1">
      <c r="A70" s="16" t="str">
        <f>IF('24'!A70="","",'24'!A70)</f>
        <v/>
      </c>
      <c r="B70" s="16">
        <f>IF('24'!B70="","",'24'!B70)</f>
        <v>57</v>
      </c>
      <c r="C70" s="17" t="str">
        <f>IF('24'!C70="","",'24'!C70)</f>
        <v/>
      </c>
      <c r="D70" s="249" t="str">
        <f>IF('24'!D70="","",'24'!D70)</f>
        <v/>
      </c>
      <c r="E70" s="17" t="str">
        <f>IF('24'!E70="","",'24'!E70)</f>
        <v/>
      </c>
      <c r="F70" s="249" t="str">
        <f>IF('24'!F70="","",'24'!F70)</f>
        <v/>
      </c>
      <c r="G70" s="17" t="str">
        <f>IF('24'!G70="","",'24'!G70)</f>
        <v/>
      </c>
    </row>
    <row r="71" spans="1:7" ht="23.1" customHeight="1">
      <c r="A71" s="16" t="str">
        <f>IF('24'!A71="","",'24'!A71)</f>
        <v/>
      </c>
      <c r="B71" s="16">
        <f>IF('24'!B71="","",'24'!B71)</f>
        <v>58</v>
      </c>
      <c r="C71" s="17" t="str">
        <f>IF('24'!C71="","",'24'!C71)</f>
        <v/>
      </c>
      <c r="D71" s="249" t="str">
        <f>IF('24'!D71="","",'24'!D71)</f>
        <v/>
      </c>
      <c r="E71" s="17" t="str">
        <f>IF('24'!E71="","",'24'!E71)</f>
        <v/>
      </c>
      <c r="F71" s="249" t="str">
        <f>IF('24'!F71="","",'24'!F71)</f>
        <v/>
      </c>
      <c r="G71" s="17" t="str">
        <f>IF('24'!G71="","",'24'!G71)</f>
        <v/>
      </c>
    </row>
    <row r="72" spans="1:7" ht="23.1" customHeight="1">
      <c r="A72" s="16" t="str">
        <f>IF('24'!A72="","",'24'!A72)</f>
        <v/>
      </c>
      <c r="B72" s="16">
        <f>IF('24'!B72="","",'24'!B72)</f>
        <v>59</v>
      </c>
      <c r="C72" s="17" t="str">
        <f>IF('24'!C72="","",'24'!C72)</f>
        <v/>
      </c>
      <c r="D72" s="249" t="str">
        <f>IF('24'!D72="","",'24'!D72)</f>
        <v/>
      </c>
      <c r="E72" s="17" t="str">
        <f>IF('24'!E72="","",'24'!E72)</f>
        <v/>
      </c>
      <c r="F72" s="249" t="str">
        <f>IF('24'!F72="","",'24'!F72)</f>
        <v/>
      </c>
      <c r="G72" s="17" t="str">
        <f>IF('24'!G72="","",'24'!G72)</f>
        <v/>
      </c>
    </row>
    <row r="73" spans="1:7" ht="23.1" customHeight="1">
      <c r="A73" s="16" t="str">
        <f>IF('24'!A73="","",'24'!A73)</f>
        <v/>
      </c>
      <c r="B73" s="16">
        <f>IF('24'!B73="","",'24'!B73)</f>
        <v>60</v>
      </c>
      <c r="C73" s="17" t="str">
        <f>IF('24'!C73="","",'24'!C73)</f>
        <v/>
      </c>
      <c r="D73" s="249" t="str">
        <f>IF('24'!D73="","",'24'!D73)</f>
        <v/>
      </c>
      <c r="E73" s="17" t="str">
        <f>IF('24'!E73="","",'24'!E73)</f>
        <v/>
      </c>
      <c r="F73" s="249" t="str">
        <f>IF('24'!F73="","",'24'!F73)</f>
        <v/>
      </c>
      <c r="G73" s="17" t="str">
        <f>IF('24'!G73="","",'24'!G73)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012BA-9B3B-4353-9D24-8EEACA326FC8}">
  <sheetPr codeName="Sheet10">
    <tabColor rgb="FF0070C0"/>
  </sheetPr>
  <dimension ref="A4:J16"/>
  <sheetViews>
    <sheetView view="pageBreakPreview" topLeftCell="A4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'25_MA'!C7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'25_MA'!B8</f>
        <v>25</v>
      </c>
      <c r="C6" s="142" t="s">
        <v>42</v>
      </c>
      <c r="D6" s="145" t="str">
        <f>'25_MA'!D8:F8</f>
        <v>フジオータムグランプリ</v>
      </c>
    </row>
    <row r="8" spans="1:10" ht="30" customHeight="1">
      <c r="C8" s="142" t="s">
        <v>604</v>
      </c>
      <c r="E8" s="147" t="e">
        <f>#REF!</f>
        <v>#REF!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319" t="s">
        <v>625</v>
      </c>
      <c r="E12" s="319"/>
      <c r="F12" s="146"/>
      <c r="G12" s="146"/>
    </row>
    <row r="13" spans="1:10" ht="30" customHeight="1">
      <c r="C13" s="142" t="s">
        <v>610</v>
      </c>
      <c r="D13" s="319" t="s">
        <v>626</v>
      </c>
      <c r="E13" s="319"/>
      <c r="F13" s="146"/>
      <c r="G13" s="146"/>
    </row>
    <row r="14" spans="1:10" ht="30" customHeight="1">
      <c r="C14" s="142" t="s">
        <v>612</v>
      </c>
      <c r="D14" s="319" t="s">
        <v>623</v>
      </c>
      <c r="E14" s="319"/>
      <c r="G14" s="146"/>
    </row>
    <row r="15" spans="1:10" ht="30" customHeight="1">
      <c r="C15" s="142" t="s">
        <v>613</v>
      </c>
      <c r="D15" s="319" t="s">
        <v>621</v>
      </c>
      <c r="E15" s="319"/>
      <c r="G15" s="146"/>
    </row>
    <row r="16" spans="1:10" ht="30" customHeight="1">
      <c r="C16" s="142" t="s">
        <v>614</v>
      </c>
      <c r="D16" s="319" t="s">
        <v>618</v>
      </c>
      <c r="E16" s="319"/>
      <c r="F16" s="145"/>
      <c r="G16" s="145"/>
    </row>
  </sheetData>
  <mergeCells count="7">
    <mergeCell ref="D16:E16"/>
    <mergeCell ref="A4:J4"/>
    <mergeCell ref="C11:G11"/>
    <mergeCell ref="D12:E12"/>
    <mergeCell ref="D13:E13"/>
    <mergeCell ref="D14:E14"/>
    <mergeCell ref="D15:E15"/>
  </mergeCells>
  <phoneticPr fontId="6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0A07B-D528-4323-94F0-96417932FFE2}">
  <sheetPr codeName="Sheet11">
    <tabColor rgb="FF0070C0"/>
  </sheetPr>
  <dimension ref="A4:J16"/>
  <sheetViews>
    <sheetView view="pageBreakPreview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7.332031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'25_MA'!C7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'25_MA'!B8</f>
        <v>25</v>
      </c>
      <c r="C6" s="142" t="s">
        <v>42</v>
      </c>
      <c r="D6" s="174" t="str">
        <f>'25'!F4</f>
        <v>フジオータムグランプリ</v>
      </c>
    </row>
    <row r="8" spans="1:10" ht="30" customHeight="1">
      <c r="C8" s="142" t="s">
        <v>604</v>
      </c>
      <c r="E8" s="149">
        <v>0.44444444444444442</v>
      </c>
    </row>
    <row r="9" spans="1:10" ht="30" customHeight="1">
      <c r="C9" s="142" t="s">
        <v>605</v>
      </c>
      <c r="E9" s="147">
        <v>0.4548611111111111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175">
        <v>500000</v>
      </c>
      <c r="F12" s="146"/>
      <c r="G12" s="146"/>
    </row>
    <row r="13" spans="1:10" ht="30" customHeight="1">
      <c r="C13" s="142" t="s">
        <v>610</v>
      </c>
      <c r="D13" s="175">
        <v>250000</v>
      </c>
      <c r="F13" s="146"/>
      <c r="G13" s="146"/>
    </row>
    <row r="14" spans="1:10" ht="30" customHeight="1">
      <c r="C14" s="142" t="s">
        <v>612</v>
      </c>
      <c r="D14" s="175">
        <v>120000</v>
      </c>
      <c r="G14" s="146"/>
    </row>
    <row r="15" spans="1:10" ht="30" customHeight="1">
      <c r="C15" s="142" t="s">
        <v>613</v>
      </c>
      <c r="D15" s="175">
        <v>60000</v>
      </c>
      <c r="G15" s="146"/>
    </row>
    <row r="16" spans="1:10" ht="30" customHeight="1">
      <c r="C16" s="142" t="s">
        <v>614</v>
      </c>
      <c r="D16" s="176">
        <v>35000</v>
      </c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66875-14D3-47AF-BD3E-BC7C22CDE070}">
  <sheetPr codeName="Sheet12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'25'!C3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'25'!C4</f>
        <v>25</v>
      </c>
      <c r="C8" s="4" t="s">
        <v>42</v>
      </c>
      <c r="D8" s="311" t="str">
        <f>'25'!F4</f>
        <v>フジオータムグランプリ</v>
      </c>
      <c r="E8" s="311"/>
      <c r="F8" s="311"/>
    </row>
    <row r="9" spans="1:7" ht="18.75" customHeight="1">
      <c r="C9" s="11" t="s">
        <v>11</v>
      </c>
      <c r="D9" s="247">
        <f>'25'!D5</f>
        <v>9</v>
      </c>
      <c r="E9" s="4" t="s">
        <v>9</v>
      </c>
      <c r="F9" s="250" t="str">
        <f>'25'!K4</f>
        <v>大障害B</v>
      </c>
    </row>
    <row r="10" spans="1:7" ht="21" customHeight="1">
      <c r="A10" s="12" t="s">
        <v>43</v>
      </c>
      <c r="B10" s="12"/>
      <c r="C10" s="12"/>
      <c r="D10" s="248" t="str">
        <f>'25'!D6</f>
        <v>-</v>
      </c>
      <c r="E10" s="4" t="s">
        <v>12</v>
      </c>
      <c r="F10" s="251" t="str">
        <f>'25'!F5</f>
        <v>★★★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IF('25'!A14="","",'25'!A14)</f>
        <v/>
      </c>
      <c r="B14" s="16">
        <f>IF('25'!B14="","",'25'!B14)</f>
        <v>1</v>
      </c>
      <c r="C14" s="17" t="str">
        <f>IF('25'!C14="","",'25'!C14)</f>
        <v>増山　誠倫</v>
      </c>
      <c r="D14" s="249">
        <f>IF('25'!D14="","",'25'!D14)</f>
        <v>8082</v>
      </c>
      <c r="E14" s="17" t="str">
        <f>IF('25'!E14="","",'25'!E14)</f>
        <v>廬山</v>
      </c>
      <c r="F14" s="249">
        <f>IF('25'!F14="","",'25'!F14)</f>
        <v>60750</v>
      </c>
      <c r="G14" s="17" t="str">
        <f>IF('25'!G14="","",'25'!G14)</f>
        <v>小山乗馬クラブ</v>
      </c>
    </row>
    <row r="15" spans="1:7" s="19" customFormat="1" ht="23.1" customHeight="1">
      <c r="A15" s="16" t="str">
        <f>IF('25'!A15="","",'25'!A15)</f>
        <v/>
      </c>
      <c r="B15" s="16">
        <f>IF('25'!B15="","",'25'!B15)</f>
        <v>2</v>
      </c>
      <c r="C15" s="17" t="str">
        <f>IF('25'!C15="","",'25'!C15)</f>
        <v/>
      </c>
      <c r="D15" s="249" t="str">
        <f>IF('25'!D15="","",'25'!D15)</f>
        <v/>
      </c>
      <c r="E15" s="17" t="str">
        <f>IF('25'!E15="","",'25'!E15)</f>
        <v/>
      </c>
      <c r="F15" s="249" t="str">
        <f>IF('25'!F15="","",'25'!F15)</f>
        <v/>
      </c>
      <c r="G15" s="17" t="str">
        <f>IF('25'!G15="","",'25'!G15)</f>
        <v/>
      </c>
    </row>
    <row r="16" spans="1:7" s="19" customFormat="1" ht="23.1" customHeight="1">
      <c r="A16" s="16" t="str">
        <f>IF('25'!A16="","",'25'!A16)</f>
        <v/>
      </c>
      <c r="B16" s="16">
        <f>IF('25'!B16="","",'25'!B16)</f>
        <v>3</v>
      </c>
      <c r="C16" s="17" t="str">
        <f>IF('25'!C16="","",'25'!C16)</f>
        <v/>
      </c>
      <c r="D16" s="249" t="str">
        <f>IF('25'!D16="","",'25'!D16)</f>
        <v/>
      </c>
      <c r="E16" s="17" t="str">
        <f>IF('25'!E16="","",'25'!E16)</f>
        <v/>
      </c>
      <c r="F16" s="249" t="str">
        <f>IF('25'!F16="","",'25'!F16)</f>
        <v/>
      </c>
      <c r="G16" s="17" t="str">
        <f>IF('25'!G16="","",'25'!G16)</f>
        <v/>
      </c>
    </row>
    <row r="17" spans="1:7" s="19" customFormat="1" ht="23.1" customHeight="1">
      <c r="A17" s="16" t="str">
        <f>IF('25'!A17="","",'25'!A17)</f>
        <v/>
      </c>
      <c r="B17" s="16">
        <f>IF('25'!B17="","",'25'!B17)</f>
        <v>4</v>
      </c>
      <c r="C17" s="17" t="str">
        <f>IF('25'!C17="","",'25'!C17)</f>
        <v/>
      </c>
      <c r="D17" s="249" t="str">
        <f>IF('25'!D17="","",'25'!D17)</f>
        <v/>
      </c>
      <c r="E17" s="17" t="str">
        <f>IF('25'!E17="","",'25'!E17)</f>
        <v/>
      </c>
      <c r="F17" s="249" t="str">
        <f>IF('25'!F17="","",'25'!F17)</f>
        <v/>
      </c>
      <c r="G17" s="17" t="str">
        <f>IF('25'!G17="","",'25'!G17)</f>
        <v/>
      </c>
    </row>
    <row r="18" spans="1:7" s="19" customFormat="1" ht="23.1" customHeight="1">
      <c r="A18" s="16" t="str">
        <f>IF('25'!A18="","",'25'!A18)</f>
        <v/>
      </c>
      <c r="B18" s="16">
        <f>IF('25'!B18="","",'25'!B18)</f>
        <v>5</v>
      </c>
      <c r="C18" s="17" t="str">
        <f>IF('25'!C18="","",'25'!C18)</f>
        <v/>
      </c>
      <c r="D18" s="249" t="str">
        <f>IF('25'!D18="","",'25'!D18)</f>
        <v/>
      </c>
      <c r="E18" s="17" t="str">
        <f>IF('25'!E18="","",'25'!E18)</f>
        <v/>
      </c>
      <c r="F18" s="249" t="str">
        <f>IF('25'!F18="","",'25'!F18)</f>
        <v/>
      </c>
      <c r="G18" s="17" t="str">
        <f>IF('25'!G18="","",'25'!G18)</f>
        <v/>
      </c>
    </row>
    <row r="19" spans="1:7" s="19" customFormat="1" ht="23.1" customHeight="1">
      <c r="A19" s="16" t="str">
        <f>IF('25'!A19="","",'25'!A19)</f>
        <v/>
      </c>
      <c r="B19" s="16">
        <f>IF('25'!B19="","",'25'!B19)</f>
        <v>6</v>
      </c>
      <c r="C19" s="17" t="str">
        <f>IF('25'!C19="","",'25'!C19)</f>
        <v/>
      </c>
      <c r="D19" s="249" t="str">
        <f>IF('25'!D19="","",'25'!D19)</f>
        <v/>
      </c>
      <c r="E19" s="17" t="str">
        <f>IF('25'!E19="","",'25'!E19)</f>
        <v/>
      </c>
      <c r="F19" s="249" t="str">
        <f>IF('25'!F19="","",'25'!F19)</f>
        <v/>
      </c>
      <c r="G19" s="17" t="str">
        <f>IF('25'!G19="","",'25'!G19)</f>
        <v/>
      </c>
    </row>
    <row r="20" spans="1:7" s="19" customFormat="1" ht="23.1" customHeight="1">
      <c r="A20" s="16" t="str">
        <f>IF('25'!A20="","",'25'!A20)</f>
        <v/>
      </c>
      <c r="B20" s="16">
        <f>IF('25'!B20="","",'25'!B20)</f>
        <v>7</v>
      </c>
      <c r="C20" s="17" t="str">
        <f>IF('25'!C20="","",'25'!C20)</f>
        <v/>
      </c>
      <c r="D20" s="249" t="str">
        <f>IF('25'!D20="","",'25'!D20)</f>
        <v/>
      </c>
      <c r="E20" s="17" t="str">
        <f>IF('25'!E20="","",'25'!E20)</f>
        <v/>
      </c>
      <c r="F20" s="249" t="str">
        <f>IF('25'!F20="","",'25'!F20)</f>
        <v/>
      </c>
      <c r="G20" s="17" t="str">
        <f>IF('25'!G20="","",'25'!G20)</f>
        <v/>
      </c>
    </row>
    <row r="21" spans="1:7" s="19" customFormat="1" ht="23.1" customHeight="1">
      <c r="A21" s="16" t="str">
        <f>IF('25'!A21="","",'25'!A21)</f>
        <v/>
      </c>
      <c r="B21" s="16">
        <f>IF('25'!B21="","",'25'!B21)</f>
        <v>8</v>
      </c>
      <c r="C21" s="17" t="str">
        <f>IF('25'!C21="","",'25'!C21)</f>
        <v/>
      </c>
      <c r="D21" s="249" t="str">
        <f>IF('25'!D21="","",'25'!D21)</f>
        <v/>
      </c>
      <c r="E21" s="17" t="str">
        <f>IF('25'!E21="","",'25'!E21)</f>
        <v/>
      </c>
      <c r="F21" s="249" t="str">
        <f>IF('25'!F21="","",'25'!F21)</f>
        <v/>
      </c>
      <c r="G21" s="17" t="str">
        <f>IF('25'!G21="","",'25'!G21)</f>
        <v/>
      </c>
    </row>
    <row r="22" spans="1:7" s="19" customFormat="1" ht="23.1" customHeight="1">
      <c r="A22" s="16" t="str">
        <f>IF('25'!A22="","",'25'!A22)</f>
        <v/>
      </c>
      <c r="B22" s="16">
        <f>IF('25'!B22="","",'25'!B22)</f>
        <v>9</v>
      </c>
      <c r="C22" s="17" t="str">
        <f>IF('25'!C22="","",'25'!C22)</f>
        <v/>
      </c>
      <c r="D22" s="249" t="str">
        <f>IF('25'!D22="","",'25'!D22)</f>
        <v/>
      </c>
      <c r="E22" s="17" t="str">
        <f>IF('25'!E22="","",'25'!E22)</f>
        <v/>
      </c>
      <c r="F22" s="249" t="str">
        <f>IF('25'!F22="","",'25'!F22)</f>
        <v/>
      </c>
      <c r="G22" s="17" t="str">
        <f>IF('25'!G22="","",'25'!G22)</f>
        <v/>
      </c>
    </row>
    <row r="23" spans="1:7" s="19" customFormat="1" ht="23.1" customHeight="1">
      <c r="A23" s="16" t="str">
        <f>IF('25'!A23="","",'25'!A23)</f>
        <v/>
      </c>
      <c r="B23" s="16">
        <f>IF('25'!B23="","",'25'!B23)</f>
        <v>10</v>
      </c>
      <c r="C23" s="17" t="str">
        <f>IF('25'!C23="","",'25'!C23)</f>
        <v/>
      </c>
      <c r="D23" s="249" t="str">
        <f>IF('25'!D23="","",'25'!D23)</f>
        <v/>
      </c>
      <c r="E23" s="17" t="str">
        <f>IF('25'!E23="","",'25'!E23)</f>
        <v/>
      </c>
      <c r="F23" s="249" t="str">
        <f>IF('25'!F23="","",'25'!F23)</f>
        <v/>
      </c>
      <c r="G23" s="17" t="str">
        <f>IF('25'!G23="","",'25'!G23)</f>
        <v/>
      </c>
    </row>
    <row r="24" spans="1:7" s="19" customFormat="1" ht="23.1" customHeight="1">
      <c r="A24" s="16" t="str">
        <f>IF('25'!A24="","",'25'!A24)</f>
        <v/>
      </c>
      <c r="B24" s="16">
        <f>IF('25'!B24="","",'25'!B24)</f>
        <v>11</v>
      </c>
      <c r="C24" s="17" t="str">
        <f>IF('25'!C24="","",'25'!C24)</f>
        <v/>
      </c>
      <c r="D24" s="249" t="str">
        <f>IF('25'!D24="","",'25'!D24)</f>
        <v/>
      </c>
      <c r="E24" s="17" t="str">
        <f>IF('25'!E24="","",'25'!E24)</f>
        <v/>
      </c>
      <c r="F24" s="249" t="str">
        <f>IF('25'!F24="","",'25'!F24)</f>
        <v/>
      </c>
      <c r="G24" s="17" t="str">
        <f>IF('25'!G24="","",'25'!G24)</f>
        <v/>
      </c>
    </row>
    <row r="25" spans="1:7" s="19" customFormat="1" ht="23.1" customHeight="1">
      <c r="A25" s="16" t="str">
        <f>IF('25'!A25="","",'25'!A25)</f>
        <v/>
      </c>
      <c r="B25" s="16">
        <f>IF('25'!B25="","",'25'!B25)</f>
        <v>12</v>
      </c>
      <c r="C25" s="17" t="str">
        <f>IF('25'!C25="","",'25'!C25)</f>
        <v/>
      </c>
      <c r="D25" s="249" t="str">
        <f>IF('25'!D25="","",'25'!D25)</f>
        <v/>
      </c>
      <c r="E25" s="17" t="str">
        <f>IF('25'!E25="","",'25'!E25)</f>
        <v/>
      </c>
      <c r="F25" s="249" t="str">
        <f>IF('25'!F25="","",'25'!F25)</f>
        <v/>
      </c>
      <c r="G25" s="17" t="str">
        <f>IF('25'!G25="","",'25'!G25)</f>
        <v/>
      </c>
    </row>
    <row r="26" spans="1:7" s="19" customFormat="1" ht="23.1" customHeight="1">
      <c r="A26" s="16" t="str">
        <f>IF('25'!A26="","",'25'!A26)</f>
        <v/>
      </c>
      <c r="B26" s="16">
        <f>IF('25'!B26="","",'25'!B26)</f>
        <v>13</v>
      </c>
      <c r="C26" s="17" t="str">
        <f>IF('25'!C26="","",'25'!C26)</f>
        <v/>
      </c>
      <c r="D26" s="249" t="str">
        <f>IF('25'!D26="","",'25'!D26)</f>
        <v/>
      </c>
      <c r="E26" s="17" t="str">
        <f>IF('25'!E26="","",'25'!E26)</f>
        <v/>
      </c>
      <c r="F26" s="249" t="str">
        <f>IF('25'!F26="","",'25'!F26)</f>
        <v/>
      </c>
      <c r="G26" s="17" t="str">
        <f>IF('25'!G26="","",'25'!G26)</f>
        <v/>
      </c>
    </row>
    <row r="27" spans="1:7" s="19" customFormat="1" ht="23.1" customHeight="1">
      <c r="A27" s="16" t="str">
        <f>IF('25'!A27="","",'25'!A27)</f>
        <v/>
      </c>
      <c r="B27" s="16">
        <f>IF('25'!B27="","",'25'!B27)</f>
        <v>14</v>
      </c>
      <c r="C27" s="17" t="str">
        <f>IF('25'!C27="","",'25'!C27)</f>
        <v/>
      </c>
      <c r="D27" s="249" t="str">
        <f>IF('25'!D27="","",'25'!D27)</f>
        <v/>
      </c>
      <c r="E27" s="17" t="str">
        <f>IF('25'!E27="","",'25'!E27)</f>
        <v/>
      </c>
      <c r="F27" s="249" t="str">
        <f>IF('25'!F27="","",'25'!F27)</f>
        <v/>
      </c>
      <c r="G27" s="17" t="str">
        <f>IF('25'!G27="","",'25'!G27)</f>
        <v/>
      </c>
    </row>
    <row r="28" spans="1:7" s="19" customFormat="1" ht="23.1" customHeight="1">
      <c r="A28" s="16" t="str">
        <f>IF('25'!A28="","",'25'!A28)</f>
        <v/>
      </c>
      <c r="B28" s="16">
        <f>IF('25'!B28="","",'25'!B28)</f>
        <v>15</v>
      </c>
      <c r="C28" s="17" t="str">
        <f>IF('25'!C28="","",'25'!C28)</f>
        <v/>
      </c>
      <c r="D28" s="249" t="str">
        <f>IF('25'!D28="","",'25'!D28)</f>
        <v/>
      </c>
      <c r="E28" s="17" t="str">
        <f>IF('25'!E28="","",'25'!E28)</f>
        <v/>
      </c>
      <c r="F28" s="249" t="str">
        <f>IF('25'!F28="","",'25'!F28)</f>
        <v/>
      </c>
      <c r="G28" s="17" t="str">
        <f>IF('25'!G28="","",'25'!G28)</f>
        <v/>
      </c>
    </row>
    <row r="29" spans="1:7" s="19" customFormat="1" ht="23.1" customHeight="1">
      <c r="A29" s="16" t="str">
        <f>IF('25'!A29="","",'25'!A29)</f>
        <v/>
      </c>
      <c r="B29" s="16">
        <f>IF('25'!B29="","",'25'!B29)</f>
        <v>16</v>
      </c>
      <c r="C29" s="17" t="str">
        <f>IF('25'!C29="","",'25'!C29)</f>
        <v/>
      </c>
      <c r="D29" s="249" t="str">
        <f>IF('25'!D29="","",'25'!D29)</f>
        <v/>
      </c>
      <c r="E29" s="17" t="str">
        <f>IF('25'!E29="","",'25'!E29)</f>
        <v/>
      </c>
      <c r="F29" s="249" t="str">
        <f>IF('25'!F29="","",'25'!F29)</f>
        <v/>
      </c>
      <c r="G29" s="17" t="str">
        <f>IF('25'!G29="","",'25'!G29)</f>
        <v/>
      </c>
    </row>
    <row r="30" spans="1:7" s="19" customFormat="1" ht="23.1" customHeight="1">
      <c r="A30" s="16" t="str">
        <f>IF('25'!A30="","",'25'!A30)</f>
        <v/>
      </c>
      <c r="B30" s="16">
        <f>IF('25'!B30="","",'25'!B30)</f>
        <v>17</v>
      </c>
      <c r="C30" s="17" t="str">
        <f>IF('25'!C30="","",'25'!C30)</f>
        <v/>
      </c>
      <c r="D30" s="249" t="str">
        <f>IF('25'!D30="","",'25'!D30)</f>
        <v/>
      </c>
      <c r="E30" s="17" t="str">
        <f>IF('25'!E30="","",'25'!E30)</f>
        <v/>
      </c>
      <c r="F30" s="249" t="str">
        <f>IF('25'!F30="","",'25'!F30)</f>
        <v/>
      </c>
      <c r="G30" s="17" t="str">
        <f>IF('25'!G30="","",'25'!G30)</f>
        <v/>
      </c>
    </row>
    <row r="31" spans="1:7" s="19" customFormat="1" ht="23.1" customHeight="1">
      <c r="A31" s="16" t="str">
        <f>IF('25'!A31="","",'25'!A31)</f>
        <v/>
      </c>
      <c r="B31" s="16">
        <f>IF('25'!B31="","",'25'!B31)</f>
        <v>18</v>
      </c>
      <c r="C31" s="17" t="str">
        <f>IF('25'!C31="","",'25'!C31)</f>
        <v/>
      </c>
      <c r="D31" s="249" t="str">
        <f>IF('25'!D31="","",'25'!D31)</f>
        <v/>
      </c>
      <c r="E31" s="17" t="str">
        <f>IF('25'!E31="","",'25'!E31)</f>
        <v/>
      </c>
      <c r="F31" s="249" t="str">
        <f>IF('25'!F31="","",'25'!F31)</f>
        <v/>
      </c>
      <c r="G31" s="17" t="str">
        <f>IF('25'!G31="","",'25'!G31)</f>
        <v/>
      </c>
    </row>
    <row r="32" spans="1:7" s="19" customFormat="1" ht="23.1" customHeight="1">
      <c r="A32" s="16" t="str">
        <f>IF('25'!A32="","",'25'!A32)</f>
        <v/>
      </c>
      <c r="B32" s="16">
        <f>IF('25'!B32="","",'25'!B32)</f>
        <v>19</v>
      </c>
      <c r="C32" s="17" t="str">
        <f>IF('25'!C32="","",'25'!C32)</f>
        <v/>
      </c>
      <c r="D32" s="249" t="str">
        <f>IF('25'!D32="","",'25'!D32)</f>
        <v/>
      </c>
      <c r="E32" s="17" t="str">
        <f>IF('25'!E32="","",'25'!E32)</f>
        <v/>
      </c>
      <c r="F32" s="249" t="str">
        <f>IF('25'!F32="","",'25'!F32)</f>
        <v/>
      </c>
      <c r="G32" s="17" t="str">
        <f>IF('25'!G32="","",'25'!G32)</f>
        <v/>
      </c>
    </row>
    <row r="33" spans="1:7" s="19" customFormat="1" ht="23.1" customHeight="1">
      <c r="A33" s="16" t="str">
        <f>IF('25'!A33="","",'25'!A33)</f>
        <v/>
      </c>
      <c r="B33" s="16">
        <f>IF('25'!B33="","",'25'!B33)</f>
        <v>20</v>
      </c>
      <c r="C33" s="17" t="str">
        <f>IF('25'!C33="","",'25'!C33)</f>
        <v/>
      </c>
      <c r="D33" s="249" t="str">
        <f>IF('25'!D33="","",'25'!D33)</f>
        <v/>
      </c>
      <c r="E33" s="17" t="str">
        <f>IF('25'!E33="","",'25'!E33)</f>
        <v/>
      </c>
      <c r="F33" s="249" t="str">
        <f>IF('25'!F33="","",'25'!F33)</f>
        <v/>
      </c>
      <c r="G33" s="17" t="str">
        <f>IF('25'!G33="","",'25'!G33)</f>
        <v/>
      </c>
    </row>
    <row r="34" spans="1:7" s="19" customFormat="1" ht="23.1" customHeight="1">
      <c r="A34" s="16" t="str">
        <f>IF('25'!A34="","",'25'!A34)</f>
        <v/>
      </c>
      <c r="B34" s="16">
        <f>IF('25'!B34="","",'25'!B34)</f>
        <v>21</v>
      </c>
      <c r="C34" s="17" t="str">
        <f>IF('25'!C34="","",'25'!C34)</f>
        <v/>
      </c>
      <c r="D34" s="249" t="str">
        <f>IF('25'!D34="","",'25'!D34)</f>
        <v/>
      </c>
      <c r="E34" s="17" t="str">
        <f>IF('25'!E34="","",'25'!E34)</f>
        <v/>
      </c>
      <c r="F34" s="249" t="str">
        <f>IF('25'!F34="","",'25'!F34)</f>
        <v/>
      </c>
      <c r="G34" s="17" t="str">
        <f>IF('25'!G34="","",'25'!G34)</f>
        <v/>
      </c>
    </row>
    <row r="35" spans="1:7" s="19" customFormat="1" ht="23.1" customHeight="1">
      <c r="A35" s="16" t="str">
        <f>IF('25'!A35="","",'25'!A35)</f>
        <v/>
      </c>
      <c r="B35" s="16">
        <f>IF('25'!B35="","",'25'!B35)</f>
        <v>22</v>
      </c>
      <c r="C35" s="17" t="str">
        <f>IF('25'!C35="","",'25'!C35)</f>
        <v/>
      </c>
      <c r="D35" s="249" t="str">
        <f>IF('25'!D35="","",'25'!D35)</f>
        <v/>
      </c>
      <c r="E35" s="17" t="str">
        <f>IF('25'!E35="","",'25'!E35)</f>
        <v/>
      </c>
      <c r="F35" s="249" t="str">
        <f>IF('25'!F35="","",'25'!F35)</f>
        <v/>
      </c>
      <c r="G35" s="17" t="str">
        <f>IF('25'!G35="","",'25'!G35)</f>
        <v/>
      </c>
    </row>
    <row r="36" spans="1:7" s="19" customFormat="1" ht="23.1" customHeight="1">
      <c r="A36" s="16" t="str">
        <f>IF('25'!A36="","",'25'!A36)</f>
        <v/>
      </c>
      <c r="B36" s="16">
        <f>IF('25'!B36="","",'25'!B36)</f>
        <v>23</v>
      </c>
      <c r="C36" s="17" t="str">
        <f>IF('25'!C36="","",'25'!C36)</f>
        <v/>
      </c>
      <c r="D36" s="249" t="str">
        <f>IF('25'!D36="","",'25'!D36)</f>
        <v/>
      </c>
      <c r="E36" s="17" t="str">
        <f>IF('25'!E36="","",'25'!E36)</f>
        <v/>
      </c>
      <c r="F36" s="249" t="str">
        <f>IF('25'!F36="","",'25'!F36)</f>
        <v/>
      </c>
      <c r="G36" s="17" t="str">
        <f>IF('25'!G36="","",'25'!G36)</f>
        <v/>
      </c>
    </row>
    <row r="37" spans="1:7" s="19" customFormat="1" ht="23.1" customHeight="1">
      <c r="A37" s="16" t="str">
        <f>IF('25'!A37="","",'25'!A37)</f>
        <v/>
      </c>
      <c r="B37" s="16">
        <f>IF('25'!B37="","",'25'!B37)</f>
        <v>24</v>
      </c>
      <c r="C37" s="17" t="str">
        <f>IF('25'!C37="","",'25'!C37)</f>
        <v/>
      </c>
      <c r="D37" s="249" t="str">
        <f>IF('25'!D37="","",'25'!D37)</f>
        <v/>
      </c>
      <c r="E37" s="17" t="str">
        <f>IF('25'!E37="","",'25'!E37)</f>
        <v/>
      </c>
      <c r="F37" s="249" t="str">
        <f>IF('25'!F37="","",'25'!F37)</f>
        <v/>
      </c>
      <c r="G37" s="17" t="str">
        <f>IF('25'!G37="","",'25'!G37)</f>
        <v/>
      </c>
    </row>
    <row r="38" spans="1:7" s="19" customFormat="1" ht="23.1" customHeight="1">
      <c r="A38" s="16" t="str">
        <f>IF('25'!A38="","",'25'!A38)</f>
        <v/>
      </c>
      <c r="B38" s="16">
        <f>IF('25'!B38="","",'25'!B38)</f>
        <v>25</v>
      </c>
      <c r="C38" s="17" t="str">
        <f>IF('25'!C38="","",'25'!C38)</f>
        <v/>
      </c>
      <c r="D38" s="249" t="str">
        <f>IF('25'!D38="","",'25'!D38)</f>
        <v/>
      </c>
      <c r="E38" s="17" t="str">
        <f>IF('25'!E38="","",'25'!E38)</f>
        <v/>
      </c>
      <c r="F38" s="249" t="str">
        <f>IF('25'!F38="","",'25'!F38)</f>
        <v/>
      </c>
      <c r="G38" s="17" t="str">
        <f>IF('25'!G38="","",'25'!G38)</f>
        <v/>
      </c>
    </row>
    <row r="39" spans="1:7" s="19" customFormat="1" ht="23.1" customHeight="1">
      <c r="A39" s="16" t="str">
        <f>IF('25'!A39="","",'25'!A39)</f>
        <v/>
      </c>
      <c r="B39" s="16">
        <f>IF('25'!B39="","",'25'!B39)</f>
        <v>26</v>
      </c>
      <c r="C39" s="17" t="str">
        <f>IF('25'!C39="","",'25'!C39)</f>
        <v/>
      </c>
      <c r="D39" s="249" t="str">
        <f>IF('25'!D39="","",'25'!D39)</f>
        <v/>
      </c>
      <c r="E39" s="17" t="str">
        <f>IF('25'!E39="","",'25'!E39)</f>
        <v/>
      </c>
      <c r="F39" s="249" t="str">
        <f>IF('25'!F39="","",'25'!F39)</f>
        <v/>
      </c>
      <c r="G39" s="17" t="str">
        <f>IF('25'!G39="","",'25'!G39)</f>
        <v/>
      </c>
    </row>
    <row r="40" spans="1:7" s="19" customFormat="1" ht="23.1" customHeight="1">
      <c r="A40" s="16" t="str">
        <f>IF('25'!A40="","",'25'!A40)</f>
        <v/>
      </c>
      <c r="B40" s="16">
        <f>IF('25'!B40="","",'25'!B40)</f>
        <v>27</v>
      </c>
      <c r="C40" s="17" t="str">
        <f>IF('25'!C40="","",'25'!C40)</f>
        <v/>
      </c>
      <c r="D40" s="249" t="str">
        <f>IF('25'!D40="","",'25'!D40)</f>
        <v/>
      </c>
      <c r="E40" s="17" t="str">
        <f>IF('25'!E40="","",'25'!E40)</f>
        <v/>
      </c>
      <c r="F40" s="249" t="str">
        <f>IF('25'!F40="","",'25'!F40)</f>
        <v/>
      </c>
      <c r="G40" s="17" t="str">
        <f>IF('25'!G40="","",'25'!G40)</f>
        <v/>
      </c>
    </row>
    <row r="41" spans="1:7" s="19" customFormat="1" ht="23.1" customHeight="1">
      <c r="A41" s="16" t="str">
        <f>IF('25'!A41="","",'25'!A41)</f>
        <v/>
      </c>
      <c r="B41" s="16">
        <f>IF('25'!B41="","",'25'!B41)</f>
        <v>28</v>
      </c>
      <c r="C41" s="17" t="str">
        <f>IF('25'!C41="","",'25'!C41)</f>
        <v/>
      </c>
      <c r="D41" s="249" t="str">
        <f>IF('25'!D41="","",'25'!D41)</f>
        <v/>
      </c>
      <c r="E41" s="17" t="str">
        <f>IF('25'!E41="","",'25'!E41)</f>
        <v/>
      </c>
      <c r="F41" s="249" t="str">
        <f>IF('25'!F41="","",'25'!F41)</f>
        <v/>
      </c>
      <c r="G41" s="17" t="str">
        <f>IF('25'!G41="","",'25'!G41)</f>
        <v/>
      </c>
    </row>
    <row r="42" spans="1:7" s="19" customFormat="1" ht="23.1" customHeight="1">
      <c r="A42" s="16" t="str">
        <f>IF('25'!A42="","",'25'!A42)</f>
        <v/>
      </c>
      <c r="B42" s="16">
        <f>IF('25'!B42="","",'25'!B42)</f>
        <v>29</v>
      </c>
      <c r="C42" s="17" t="str">
        <f>IF('25'!C42="","",'25'!C42)</f>
        <v/>
      </c>
      <c r="D42" s="249" t="str">
        <f>IF('25'!D42="","",'25'!D42)</f>
        <v/>
      </c>
      <c r="E42" s="17" t="str">
        <f>IF('25'!E42="","",'25'!E42)</f>
        <v/>
      </c>
      <c r="F42" s="249" t="str">
        <f>IF('25'!F42="","",'25'!F42)</f>
        <v/>
      </c>
      <c r="G42" s="17" t="str">
        <f>IF('25'!G42="","",'25'!G42)</f>
        <v/>
      </c>
    </row>
    <row r="43" spans="1:7" s="19" customFormat="1" ht="23.1" customHeight="1">
      <c r="A43" s="16" t="str">
        <f>IF('25'!A43="","",'25'!A43)</f>
        <v/>
      </c>
      <c r="B43" s="16">
        <f>IF('25'!B43="","",'25'!B43)</f>
        <v>30</v>
      </c>
      <c r="C43" s="17" t="str">
        <f>IF('25'!C43="","",'25'!C43)</f>
        <v/>
      </c>
      <c r="D43" s="249" t="str">
        <f>IF('25'!D43="","",'25'!D43)</f>
        <v/>
      </c>
      <c r="E43" s="17" t="str">
        <f>IF('25'!E43="","",'25'!E43)</f>
        <v/>
      </c>
      <c r="F43" s="249" t="str">
        <f>IF('25'!F43="","",'25'!F43)</f>
        <v/>
      </c>
      <c r="G43" s="17" t="str">
        <f>IF('25'!G43="","",'25'!G43)</f>
        <v/>
      </c>
    </row>
    <row r="44" spans="1:7" ht="23.1" customHeight="1">
      <c r="A44" s="16" t="str">
        <f>IF('25'!A44="","",'25'!A44)</f>
        <v/>
      </c>
      <c r="B44" s="16">
        <f>IF('25'!B44="","",'25'!B44)</f>
        <v>31</v>
      </c>
      <c r="C44" s="17" t="str">
        <f>IF('25'!C44="","",'25'!C44)</f>
        <v/>
      </c>
      <c r="D44" s="249" t="str">
        <f>IF('25'!D44="","",'25'!D44)</f>
        <v/>
      </c>
      <c r="E44" s="17" t="str">
        <f>IF('25'!E44="","",'25'!E44)</f>
        <v/>
      </c>
      <c r="F44" s="249" t="str">
        <f>IF('25'!F44="","",'25'!F44)</f>
        <v/>
      </c>
      <c r="G44" s="17" t="str">
        <f>IF('25'!G44="","",'25'!G44)</f>
        <v/>
      </c>
    </row>
    <row r="45" spans="1:7" ht="23.1" customHeight="1">
      <c r="A45" s="16" t="str">
        <f>IF('24'!A45="","",'24'!A45)</f>
        <v/>
      </c>
      <c r="B45" s="16">
        <f>IF('24'!B45="","",'24'!B45)</f>
        <v>32</v>
      </c>
      <c r="C45" s="17" t="str">
        <f>IF('24'!C45="","",'24'!C45)</f>
        <v/>
      </c>
      <c r="D45" s="249" t="str">
        <f>IF('24'!D45="","",'24'!D45)</f>
        <v/>
      </c>
      <c r="E45" s="17" t="str">
        <f>IF('24'!E45="","",'24'!E45)</f>
        <v/>
      </c>
      <c r="F45" s="249" t="str">
        <f>IF('24'!F45="","",'24'!F45)</f>
        <v/>
      </c>
      <c r="G45" s="17" t="str">
        <f>IF('24'!G45="","",'24'!G45)</f>
        <v/>
      </c>
    </row>
    <row r="46" spans="1:7" ht="23.1" customHeight="1">
      <c r="A46" s="16" t="str">
        <f>IF('24'!A46="","",'24'!A46)</f>
        <v/>
      </c>
      <c r="B46" s="16">
        <f>IF('24'!B46="","",'24'!B46)</f>
        <v>33</v>
      </c>
      <c r="C46" s="17" t="str">
        <f>IF('24'!C46="","",'24'!C46)</f>
        <v/>
      </c>
      <c r="D46" s="249" t="str">
        <f>IF('24'!D46="","",'24'!D46)</f>
        <v/>
      </c>
      <c r="E46" s="17" t="str">
        <f>IF('24'!E46="","",'24'!E46)</f>
        <v/>
      </c>
      <c r="F46" s="249" t="str">
        <f>IF('24'!F46="","",'24'!F46)</f>
        <v/>
      </c>
      <c r="G46" s="17" t="str">
        <f>IF('24'!G46="","",'24'!G46)</f>
        <v/>
      </c>
    </row>
    <row r="47" spans="1:7" ht="23.1" customHeight="1">
      <c r="A47" s="16" t="str">
        <f>IF('24'!A47="","",'24'!A47)</f>
        <v/>
      </c>
      <c r="B47" s="16">
        <f>IF('24'!B47="","",'24'!B47)</f>
        <v>34</v>
      </c>
      <c r="C47" s="17" t="str">
        <f>IF('24'!C47="","",'24'!C47)</f>
        <v/>
      </c>
      <c r="D47" s="249" t="str">
        <f>IF('24'!D47="","",'24'!D47)</f>
        <v/>
      </c>
      <c r="E47" s="17" t="str">
        <f>IF('24'!E47="","",'24'!E47)</f>
        <v/>
      </c>
      <c r="F47" s="249" t="str">
        <f>IF('24'!F47="","",'24'!F47)</f>
        <v/>
      </c>
      <c r="G47" s="17" t="str">
        <f>IF('24'!G47="","",'24'!G47)</f>
        <v/>
      </c>
    </row>
    <row r="48" spans="1:7" ht="23.1" customHeight="1">
      <c r="A48" s="16" t="str">
        <f>IF('24'!A48="","",'24'!A48)</f>
        <v/>
      </c>
      <c r="B48" s="16">
        <f>IF('24'!B48="","",'24'!B48)</f>
        <v>35</v>
      </c>
      <c r="C48" s="17" t="str">
        <f>IF('24'!C48="","",'24'!C48)</f>
        <v/>
      </c>
      <c r="D48" s="249" t="str">
        <f>IF('24'!D48="","",'24'!D48)</f>
        <v/>
      </c>
      <c r="E48" s="17" t="str">
        <f>IF('24'!E48="","",'24'!E48)</f>
        <v/>
      </c>
      <c r="F48" s="249" t="str">
        <f>IF('24'!F48="","",'24'!F48)</f>
        <v/>
      </c>
      <c r="G48" s="17" t="str">
        <f>IF('24'!G48="","",'24'!G48)</f>
        <v/>
      </c>
    </row>
    <row r="49" spans="1:7" ht="23.1" customHeight="1">
      <c r="A49" s="16" t="str">
        <f>IF('24'!A49="","",'24'!A49)</f>
        <v/>
      </c>
      <c r="B49" s="16">
        <f>IF('24'!B49="","",'24'!B49)</f>
        <v>36</v>
      </c>
      <c r="C49" s="17" t="str">
        <f>IF('24'!C49="","",'24'!C49)</f>
        <v/>
      </c>
      <c r="D49" s="249" t="str">
        <f>IF('24'!D49="","",'24'!D49)</f>
        <v/>
      </c>
      <c r="E49" s="17" t="str">
        <f>IF('24'!E49="","",'24'!E49)</f>
        <v/>
      </c>
      <c r="F49" s="249" t="str">
        <f>IF('24'!F49="","",'24'!F49)</f>
        <v/>
      </c>
      <c r="G49" s="17" t="str">
        <f>IF('24'!G49="","",'24'!G49)</f>
        <v/>
      </c>
    </row>
    <row r="50" spans="1:7" ht="23.1" customHeight="1">
      <c r="A50" s="16" t="str">
        <f>IF('24'!A50="","",'24'!A50)</f>
        <v/>
      </c>
      <c r="B50" s="16">
        <f>IF('24'!B50="","",'24'!B50)</f>
        <v>37</v>
      </c>
      <c r="C50" s="17" t="str">
        <f>IF('24'!C50="","",'24'!C50)</f>
        <v/>
      </c>
      <c r="D50" s="249" t="str">
        <f>IF('24'!D50="","",'24'!D50)</f>
        <v/>
      </c>
      <c r="E50" s="17" t="str">
        <f>IF('24'!E50="","",'24'!E50)</f>
        <v/>
      </c>
      <c r="F50" s="249" t="str">
        <f>IF('24'!F50="","",'24'!F50)</f>
        <v/>
      </c>
      <c r="G50" s="17" t="str">
        <f>IF('24'!G50="","",'24'!G50)</f>
        <v/>
      </c>
    </row>
    <row r="51" spans="1:7" ht="23.1" customHeight="1">
      <c r="A51" s="16" t="str">
        <f>IF('24'!A51="","",'24'!A51)</f>
        <v/>
      </c>
      <c r="B51" s="16">
        <f>IF('24'!B51="","",'24'!B51)</f>
        <v>38</v>
      </c>
      <c r="C51" s="17" t="str">
        <f>IF('24'!C51="","",'24'!C51)</f>
        <v/>
      </c>
      <c r="D51" s="249" t="str">
        <f>IF('24'!D51="","",'24'!D51)</f>
        <v/>
      </c>
      <c r="E51" s="17" t="str">
        <f>IF('24'!E51="","",'24'!E51)</f>
        <v/>
      </c>
      <c r="F51" s="249" t="str">
        <f>IF('24'!F51="","",'24'!F51)</f>
        <v/>
      </c>
      <c r="G51" s="17" t="str">
        <f>IF('24'!G51="","",'24'!G51)</f>
        <v/>
      </c>
    </row>
    <row r="52" spans="1:7" ht="23.1" customHeight="1">
      <c r="A52" s="16" t="str">
        <f>IF('24'!A52="","",'24'!A52)</f>
        <v/>
      </c>
      <c r="B52" s="16">
        <f>IF('24'!B52="","",'24'!B52)</f>
        <v>39</v>
      </c>
      <c r="C52" s="17" t="str">
        <f>IF('24'!C52="","",'24'!C52)</f>
        <v/>
      </c>
      <c r="D52" s="249" t="str">
        <f>IF('24'!D52="","",'24'!D52)</f>
        <v/>
      </c>
      <c r="E52" s="17" t="str">
        <f>IF('24'!E52="","",'24'!E52)</f>
        <v/>
      </c>
      <c r="F52" s="249" t="str">
        <f>IF('24'!F52="","",'24'!F52)</f>
        <v/>
      </c>
      <c r="G52" s="17" t="str">
        <f>IF('24'!G52="","",'24'!G52)</f>
        <v/>
      </c>
    </row>
    <row r="53" spans="1:7" ht="23.1" customHeight="1">
      <c r="A53" s="16" t="str">
        <f>IF('24'!A53="","",'24'!A53)</f>
        <v/>
      </c>
      <c r="B53" s="16">
        <f>IF('24'!B53="","",'24'!B53)</f>
        <v>40</v>
      </c>
      <c r="C53" s="17" t="str">
        <f>IF('24'!C53="","",'24'!C53)</f>
        <v/>
      </c>
      <c r="D53" s="249" t="str">
        <f>IF('24'!D53="","",'24'!D53)</f>
        <v/>
      </c>
      <c r="E53" s="17" t="str">
        <f>IF('24'!E53="","",'24'!E53)</f>
        <v/>
      </c>
      <c r="F53" s="249" t="str">
        <f>IF('24'!F53="","",'24'!F53)</f>
        <v/>
      </c>
      <c r="G53" s="17" t="str">
        <f>IF('24'!G53="","",'24'!G53)</f>
        <v/>
      </c>
    </row>
    <row r="54" spans="1:7" ht="23.1" customHeight="1">
      <c r="A54" s="16" t="str">
        <f>IF('24'!A54="","",'24'!A54)</f>
        <v/>
      </c>
      <c r="B54" s="16">
        <f>IF('24'!B54="","",'24'!B54)</f>
        <v>41</v>
      </c>
      <c r="C54" s="17" t="str">
        <f>IF('24'!C54="","",'24'!C54)</f>
        <v/>
      </c>
      <c r="D54" s="249" t="str">
        <f>IF('24'!D54="","",'24'!D54)</f>
        <v/>
      </c>
      <c r="E54" s="17" t="str">
        <f>IF('24'!E54="","",'24'!E54)</f>
        <v/>
      </c>
      <c r="F54" s="249" t="str">
        <f>IF('24'!F54="","",'24'!F54)</f>
        <v/>
      </c>
      <c r="G54" s="17" t="str">
        <f>IF('24'!G54="","",'24'!G54)</f>
        <v/>
      </c>
    </row>
    <row r="55" spans="1:7" ht="23.1" customHeight="1">
      <c r="A55" s="16" t="str">
        <f>IF('24'!A55="","",'24'!A55)</f>
        <v/>
      </c>
      <c r="B55" s="16">
        <f>IF('24'!B55="","",'24'!B55)</f>
        <v>42</v>
      </c>
      <c r="C55" s="17" t="str">
        <f>IF('24'!C55="","",'24'!C55)</f>
        <v/>
      </c>
      <c r="D55" s="249" t="str">
        <f>IF('24'!D55="","",'24'!D55)</f>
        <v/>
      </c>
      <c r="E55" s="17" t="str">
        <f>IF('24'!E55="","",'24'!E55)</f>
        <v/>
      </c>
      <c r="F55" s="249" t="str">
        <f>IF('24'!F55="","",'24'!F55)</f>
        <v/>
      </c>
      <c r="G55" s="17" t="str">
        <f>IF('24'!G55="","",'24'!G55)</f>
        <v/>
      </c>
    </row>
    <row r="56" spans="1:7" ht="23.1" customHeight="1">
      <c r="A56" s="16" t="str">
        <f>IF('24'!A56="","",'24'!A56)</f>
        <v/>
      </c>
      <c r="B56" s="16">
        <f>IF('24'!B56="","",'24'!B56)</f>
        <v>43</v>
      </c>
      <c r="C56" s="17" t="str">
        <f>IF('24'!C56="","",'24'!C56)</f>
        <v/>
      </c>
      <c r="D56" s="249" t="str">
        <f>IF('24'!D56="","",'24'!D56)</f>
        <v/>
      </c>
      <c r="E56" s="17" t="str">
        <f>IF('24'!E56="","",'24'!E56)</f>
        <v/>
      </c>
      <c r="F56" s="249" t="str">
        <f>IF('24'!F56="","",'24'!F56)</f>
        <v/>
      </c>
      <c r="G56" s="17" t="str">
        <f>IF('24'!G56="","",'24'!G56)</f>
        <v/>
      </c>
    </row>
    <row r="57" spans="1:7" ht="23.1" customHeight="1">
      <c r="A57" s="16" t="str">
        <f>IF('24'!A57="","",'24'!A57)</f>
        <v/>
      </c>
      <c r="B57" s="16">
        <f>IF('24'!B57="","",'24'!B57)</f>
        <v>44</v>
      </c>
      <c r="C57" s="17" t="str">
        <f>IF('24'!C57="","",'24'!C57)</f>
        <v/>
      </c>
      <c r="D57" s="249" t="str">
        <f>IF('24'!D57="","",'24'!D57)</f>
        <v/>
      </c>
      <c r="E57" s="17" t="str">
        <f>IF('24'!E57="","",'24'!E57)</f>
        <v/>
      </c>
      <c r="F57" s="249" t="str">
        <f>IF('24'!F57="","",'24'!F57)</f>
        <v/>
      </c>
      <c r="G57" s="17" t="str">
        <f>IF('24'!G57="","",'24'!G57)</f>
        <v/>
      </c>
    </row>
    <row r="58" spans="1:7" ht="23.1" customHeight="1">
      <c r="A58" s="16" t="str">
        <f>IF('24'!A58="","",'24'!A58)</f>
        <v/>
      </c>
      <c r="B58" s="16">
        <f>IF('24'!B58="","",'24'!B58)</f>
        <v>45</v>
      </c>
      <c r="C58" s="17" t="str">
        <f>IF('24'!C58="","",'24'!C58)</f>
        <v/>
      </c>
      <c r="D58" s="249" t="str">
        <f>IF('24'!D58="","",'24'!D58)</f>
        <v/>
      </c>
      <c r="E58" s="17" t="str">
        <f>IF('24'!E58="","",'24'!E58)</f>
        <v/>
      </c>
      <c r="F58" s="249" t="str">
        <f>IF('24'!F58="","",'24'!F58)</f>
        <v/>
      </c>
      <c r="G58" s="17" t="str">
        <f>IF('24'!G58="","",'24'!G58)</f>
        <v/>
      </c>
    </row>
    <row r="59" spans="1:7" ht="23.1" customHeight="1">
      <c r="A59" s="16" t="str">
        <f>IF('24'!A59="","",'24'!A59)</f>
        <v/>
      </c>
      <c r="B59" s="16">
        <f>IF('24'!B59="","",'24'!B59)</f>
        <v>46</v>
      </c>
      <c r="C59" s="17" t="str">
        <f>IF('24'!C59="","",'24'!C59)</f>
        <v/>
      </c>
      <c r="D59" s="249" t="str">
        <f>IF('24'!D59="","",'24'!D59)</f>
        <v/>
      </c>
      <c r="E59" s="17" t="str">
        <f>IF('24'!E59="","",'24'!E59)</f>
        <v/>
      </c>
      <c r="F59" s="249" t="str">
        <f>IF('24'!F59="","",'24'!F59)</f>
        <v/>
      </c>
      <c r="G59" s="17" t="str">
        <f>IF('24'!G59="","",'24'!G59)</f>
        <v/>
      </c>
    </row>
    <row r="60" spans="1:7" ht="23.1" customHeight="1">
      <c r="A60" s="16" t="str">
        <f>IF('24'!A60="","",'24'!A60)</f>
        <v/>
      </c>
      <c r="B60" s="16">
        <f>IF('24'!B60="","",'24'!B60)</f>
        <v>47</v>
      </c>
      <c r="C60" s="17" t="str">
        <f>IF('24'!C60="","",'24'!C60)</f>
        <v/>
      </c>
      <c r="D60" s="249" t="str">
        <f>IF('24'!D60="","",'24'!D60)</f>
        <v/>
      </c>
      <c r="E60" s="17" t="str">
        <f>IF('24'!E60="","",'24'!E60)</f>
        <v/>
      </c>
      <c r="F60" s="249" t="str">
        <f>IF('24'!F60="","",'24'!F60)</f>
        <v/>
      </c>
      <c r="G60" s="17" t="str">
        <f>IF('24'!G60="","",'24'!G60)</f>
        <v/>
      </c>
    </row>
    <row r="61" spans="1:7" ht="23.1" customHeight="1">
      <c r="A61" s="16" t="str">
        <f>IF('24'!A61="","",'24'!A61)</f>
        <v/>
      </c>
      <c r="B61" s="16">
        <f>IF('24'!B61="","",'24'!B61)</f>
        <v>48</v>
      </c>
      <c r="C61" s="17" t="str">
        <f>IF('24'!C61="","",'24'!C61)</f>
        <v/>
      </c>
      <c r="D61" s="249" t="str">
        <f>IF('24'!D61="","",'24'!D61)</f>
        <v/>
      </c>
      <c r="E61" s="17" t="str">
        <f>IF('24'!E61="","",'24'!E61)</f>
        <v/>
      </c>
      <c r="F61" s="249" t="str">
        <f>IF('24'!F61="","",'24'!F61)</f>
        <v/>
      </c>
      <c r="G61" s="17" t="str">
        <f>IF('24'!G61="","",'24'!G61)</f>
        <v/>
      </c>
    </row>
    <row r="62" spans="1:7" ht="23.1" customHeight="1">
      <c r="A62" s="16" t="str">
        <f>IF('24'!A62="","",'24'!A62)</f>
        <v/>
      </c>
      <c r="B62" s="16">
        <f>IF('24'!B62="","",'24'!B62)</f>
        <v>49</v>
      </c>
      <c r="C62" s="17" t="str">
        <f>IF('24'!C62="","",'24'!C62)</f>
        <v/>
      </c>
      <c r="D62" s="249" t="str">
        <f>IF('24'!D62="","",'24'!D62)</f>
        <v/>
      </c>
      <c r="E62" s="17" t="str">
        <f>IF('24'!E62="","",'24'!E62)</f>
        <v/>
      </c>
      <c r="F62" s="249" t="str">
        <f>IF('24'!F62="","",'24'!F62)</f>
        <v/>
      </c>
      <c r="G62" s="17" t="str">
        <f>IF('24'!G62="","",'24'!G62)</f>
        <v/>
      </c>
    </row>
    <row r="63" spans="1:7" ht="23.1" customHeight="1">
      <c r="A63" s="16" t="str">
        <f>IF('24'!A63="","",'24'!A63)</f>
        <v/>
      </c>
      <c r="B63" s="16">
        <f>IF('24'!B63="","",'24'!B63)</f>
        <v>50</v>
      </c>
      <c r="C63" s="17" t="str">
        <f>IF('24'!C63="","",'24'!C63)</f>
        <v/>
      </c>
      <c r="D63" s="249" t="str">
        <f>IF('24'!D63="","",'24'!D63)</f>
        <v/>
      </c>
      <c r="E63" s="17" t="str">
        <f>IF('24'!E63="","",'24'!E63)</f>
        <v/>
      </c>
      <c r="F63" s="249" t="str">
        <f>IF('24'!F63="","",'24'!F63)</f>
        <v/>
      </c>
      <c r="G63" s="17" t="str">
        <f>IF('24'!G63="","",'24'!G63)</f>
        <v/>
      </c>
    </row>
    <row r="64" spans="1:7" ht="23.1" customHeight="1">
      <c r="A64" s="16" t="str">
        <f>IF('24'!A64="","",'24'!A64)</f>
        <v/>
      </c>
      <c r="B64" s="16">
        <f>IF('24'!B64="","",'24'!B64)</f>
        <v>51</v>
      </c>
      <c r="C64" s="17" t="str">
        <f>IF('24'!C64="","",'24'!C64)</f>
        <v/>
      </c>
      <c r="D64" s="249" t="str">
        <f>IF('24'!D64="","",'24'!D64)</f>
        <v/>
      </c>
      <c r="E64" s="17" t="str">
        <f>IF('24'!E64="","",'24'!E64)</f>
        <v/>
      </c>
      <c r="F64" s="249" t="str">
        <f>IF('24'!F64="","",'24'!F64)</f>
        <v/>
      </c>
      <c r="G64" s="17" t="str">
        <f>IF('24'!G64="","",'24'!G64)</f>
        <v/>
      </c>
    </row>
    <row r="65" spans="1:7" ht="23.1" customHeight="1">
      <c r="A65" s="16" t="str">
        <f>IF('24'!A65="","",'24'!A65)</f>
        <v/>
      </c>
      <c r="B65" s="16">
        <f>IF('24'!B65="","",'24'!B65)</f>
        <v>52</v>
      </c>
      <c r="C65" s="17" t="str">
        <f>IF('24'!C65="","",'24'!C65)</f>
        <v/>
      </c>
      <c r="D65" s="249" t="str">
        <f>IF('24'!D65="","",'24'!D65)</f>
        <v/>
      </c>
      <c r="E65" s="17" t="str">
        <f>IF('24'!E65="","",'24'!E65)</f>
        <v/>
      </c>
      <c r="F65" s="249" t="str">
        <f>IF('24'!F65="","",'24'!F65)</f>
        <v/>
      </c>
      <c r="G65" s="17" t="str">
        <f>IF('24'!G65="","",'24'!G65)</f>
        <v/>
      </c>
    </row>
    <row r="66" spans="1:7" ht="23.1" customHeight="1">
      <c r="A66" s="16" t="str">
        <f>IF('24'!A66="","",'24'!A66)</f>
        <v/>
      </c>
      <c r="B66" s="16">
        <f>IF('24'!B66="","",'24'!B66)</f>
        <v>53</v>
      </c>
      <c r="C66" s="17" t="str">
        <f>IF('24'!C66="","",'24'!C66)</f>
        <v/>
      </c>
      <c r="D66" s="249" t="str">
        <f>IF('24'!D66="","",'24'!D66)</f>
        <v/>
      </c>
      <c r="E66" s="17" t="str">
        <f>IF('24'!E66="","",'24'!E66)</f>
        <v/>
      </c>
      <c r="F66" s="249" t="str">
        <f>IF('24'!F66="","",'24'!F66)</f>
        <v/>
      </c>
      <c r="G66" s="17" t="str">
        <f>IF('24'!G66="","",'24'!G66)</f>
        <v/>
      </c>
    </row>
    <row r="67" spans="1:7" ht="23.1" customHeight="1">
      <c r="A67" s="16" t="str">
        <f>IF('24'!A67="","",'24'!A67)</f>
        <v/>
      </c>
      <c r="B67" s="16">
        <f>IF('24'!B67="","",'24'!B67)</f>
        <v>54</v>
      </c>
      <c r="C67" s="17" t="str">
        <f>IF('24'!C67="","",'24'!C67)</f>
        <v/>
      </c>
      <c r="D67" s="249" t="str">
        <f>IF('24'!D67="","",'24'!D67)</f>
        <v/>
      </c>
      <c r="E67" s="17" t="str">
        <f>IF('24'!E67="","",'24'!E67)</f>
        <v/>
      </c>
      <c r="F67" s="249" t="str">
        <f>IF('24'!F67="","",'24'!F67)</f>
        <v/>
      </c>
      <c r="G67" s="17" t="str">
        <f>IF('24'!G67="","",'24'!G67)</f>
        <v/>
      </c>
    </row>
    <row r="68" spans="1:7" ht="23.1" customHeight="1">
      <c r="A68" s="16" t="str">
        <f>IF('24'!A68="","",'24'!A68)</f>
        <v/>
      </c>
      <c r="B68" s="16">
        <f>IF('24'!B68="","",'24'!B68)</f>
        <v>55</v>
      </c>
      <c r="C68" s="17" t="str">
        <f>IF('24'!C68="","",'24'!C68)</f>
        <v/>
      </c>
      <c r="D68" s="249" t="str">
        <f>IF('24'!D68="","",'24'!D68)</f>
        <v/>
      </c>
      <c r="E68" s="17" t="str">
        <f>IF('24'!E68="","",'24'!E68)</f>
        <v/>
      </c>
      <c r="F68" s="249" t="str">
        <f>IF('24'!F68="","",'24'!F68)</f>
        <v/>
      </c>
      <c r="G68" s="17" t="str">
        <f>IF('24'!G68="","",'24'!G68)</f>
        <v/>
      </c>
    </row>
    <row r="69" spans="1:7" ht="23.1" customHeight="1">
      <c r="A69" s="16" t="str">
        <f>IF('24'!A69="","",'24'!A69)</f>
        <v/>
      </c>
      <c r="B69" s="16">
        <f>IF('24'!B69="","",'24'!B69)</f>
        <v>56</v>
      </c>
      <c r="C69" s="17" t="str">
        <f>IF('24'!C69="","",'24'!C69)</f>
        <v/>
      </c>
      <c r="D69" s="249" t="str">
        <f>IF('24'!D69="","",'24'!D69)</f>
        <v/>
      </c>
      <c r="E69" s="17" t="str">
        <f>IF('24'!E69="","",'24'!E69)</f>
        <v/>
      </c>
      <c r="F69" s="249" t="str">
        <f>IF('24'!F69="","",'24'!F69)</f>
        <v/>
      </c>
      <c r="G69" s="17" t="str">
        <f>IF('24'!G69="","",'24'!G69)</f>
        <v/>
      </c>
    </row>
    <row r="70" spans="1:7" ht="23.1" customHeight="1">
      <c r="A70" s="16" t="str">
        <f>IF('24'!A70="","",'24'!A70)</f>
        <v/>
      </c>
      <c r="B70" s="16">
        <f>IF('24'!B70="","",'24'!B70)</f>
        <v>57</v>
      </c>
      <c r="C70" s="17" t="str">
        <f>IF('24'!C70="","",'24'!C70)</f>
        <v/>
      </c>
      <c r="D70" s="249" t="str">
        <f>IF('24'!D70="","",'24'!D70)</f>
        <v/>
      </c>
      <c r="E70" s="17" t="str">
        <f>IF('24'!E70="","",'24'!E70)</f>
        <v/>
      </c>
      <c r="F70" s="249" t="str">
        <f>IF('24'!F70="","",'24'!F70)</f>
        <v/>
      </c>
      <c r="G70" s="17" t="str">
        <f>IF('24'!G70="","",'24'!G70)</f>
        <v/>
      </c>
    </row>
    <row r="71" spans="1:7" ht="23.1" customHeight="1">
      <c r="A71" s="16" t="str">
        <f>IF('24'!A71="","",'24'!A71)</f>
        <v/>
      </c>
      <c r="B71" s="16">
        <f>IF('24'!B71="","",'24'!B71)</f>
        <v>58</v>
      </c>
      <c r="C71" s="17" t="str">
        <f>IF('24'!C71="","",'24'!C71)</f>
        <v/>
      </c>
      <c r="D71" s="249" t="str">
        <f>IF('24'!D71="","",'24'!D71)</f>
        <v/>
      </c>
      <c r="E71" s="17" t="str">
        <f>IF('24'!E71="","",'24'!E71)</f>
        <v/>
      </c>
      <c r="F71" s="249" t="str">
        <f>IF('24'!F71="","",'24'!F71)</f>
        <v/>
      </c>
      <c r="G71" s="17" t="str">
        <f>IF('24'!G71="","",'24'!G71)</f>
        <v/>
      </c>
    </row>
    <row r="72" spans="1:7" ht="23.1" customHeight="1">
      <c r="A72" s="16" t="str">
        <f>IF('24'!A72="","",'24'!A72)</f>
        <v/>
      </c>
      <c r="B72" s="16">
        <f>IF('24'!B72="","",'24'!B72)</f>
        <v>59</v>
      </c>
      <c r="C72" s="17" t="str">
        <f>IF('24'!C72="","",'24'!C72)</f>
        <v/>
      </c>
      <c r="D72" s="249" t="str">
        <f>IF('24'!D72="","",'24'!D72)</f>
        <v/>
      </c>
      <c r="E72" s="17" t="str">
        <f>IF('24'!E72="","",'24'!E72)</f>
        <v/>
      </c>
      <c r="F72" s="249" t="str">
        <f>IF('24'!F72="","",'24'!F72)</f>
        <v/>
      </c>
      <c r="G72" s="17" t="str">
        <f>IF('24'!G72="","",'24'!G72)</f>
        <v/>
      </c>
    </row>
    <row r="73" spans="1:7" ht="23.1" customHeight="1">
      <c r="A73" s="16" t="str">
        <f>IF('24'!A73="","",'24'!A73)</f>
        <v/>
      </c>
      <c r="B73" s="16">
        <f>IF('24'!B73="","",'24'!B73)</f>
        <v>60</v>
      </c>
      <c r="C73" s="17" t="str">
        <f>IF('24'!C73="","",'24'!C73)</f>
        <v/>
      </c>
      <c r="D73" s="249" t="str">
        <f>IF('24'!D73="","",'24'!D73)</f>
        <v/>
      </c>
      <c r="E73" s="17" t="str">
        <f>IF('24'!E73="","",'24'!E73)</f>
        <v/>
      </c>
      <c r="F73" s="249" t="str">
        <f>IF('24'!F73="","",'24'!F73)</f>
        <v/>
      </c>
      <c r="G73" s="17" t="str">
        <f>IF('24'!G73="","",'24'!G73)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2357-E9C7-4537-B3F2-3BB13959ADA1}">
  <sheetPr codeName="Sheet13">
    <tabColor rgb="FF0070C0"/>
  </sheetPr>
  <dimension ref="A4:J16"/>
  <sheetViews>
    <sheetView view="pageBreakPreview" topLeftCell="A4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'26_中B'!C7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'26_中B'!B8</f>
        <v>26</v>
      </c>
      <c r="C6" s="142" t="s">
        <v>42</v>
      </c>
      <c r="D6" s="145" t="str">
        <f>'26_中B'!D8:F8</f>
        <v>フジ中障害Bファイナル（二段階）</v>
      </c>
    </row>
    <row r="8" spans="1:10" ht="30" customHeight="1">
      <c r="C8" s="142" t="s">
        <v>604</v>
      </c>
      <c r="E8" s="147" t="e">
        <f>#REF!</f>
        <v>#REF!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319" t="s">
        <v>623</v>
      </c>
      <c r="E12" s="319"/>
      <c r="F12" s="146"/>
      <c r="G12" s="146"/>
    </row>
    <row r="13" spans="1:10" ht="30" customHeight="1">
      <c r="C13" s="142" t="s">
        <v>610</v>
      </c>
      <c r="D13" s="319" t="s">
        <v>624</v>
      </c>
      <c r="E13" s="319"/>
      <c r="F13" s="146"/>
      <c r="G13" s="146"/>
    </row>
    <row r="14" spans="1:10" ht="30" customHeight="1">
      <c r="C14" s="142" t="s">
        <v>612</v>
      </c>
      <c r="D14" s="319" t="s">
        <v>621</v>
      </c>
      <c r="E14" s="319"/>
      <c r="G14" s="146"/>
    </row>
    <row r="15" spans="1:10" ht="30" customHeight="1">
      <c r="C15" s="142" t="s">
        <v>613</v>
      </c>
      <c r="D15" s="319" t="s">
        <v>617</v>
      </c>
      <c r="E15" s="319"/>
      <c r="G15" s="146"/>
    </row>
    <row r="16" spans="1:10" ht="30" customHeight="1">
      <c r="C16" s="142" t="s">
        <v>614</v>
      </c>
      <c r="D16" s="319" t="s">
        <v>611</v>
      </c>
      <c r="E16" s="319"/>
      <c r="F16" s="145"/>
      <c r="G16" s="145"/>
    </row>
  </sheetData>
  <mergeCells count="7">
    <mergeCell ref="D16:E16"/>
    <mergeCell ref="A4:J4"/>
    <mergeCell ref="C11:G11"/>
    <mergeCell ref="D12:E12"/>
    <mergeCell ref="D13:E13"/>
    <mergeCell ref="D14:E14"/>
    <mergeCell ref="D15:E15"/>
  </mergeCells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F254-34B6-49E0-BA16-FABE6A6BF8A8}">
  <sheetPr codeName="Sheet14">
    <tabColor rgb="FF0070C0"/>
  </sheetPr>
  <dimension ref="A4:J16"/>
  <sheetViews>
    <sheetView view="pageBreakPreview" topLeftCell="A5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7.332031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'26_中B'!C7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'26_中B'!B8</f>
        <v>26</v>
      </c>
      <c r="C6" s="142" t="s">
        <v>42</v>
      </c>
      <c r="D6" s="145" t="str">
        <f>'26'!F4</f>
        <v>フジ中障害Bファイナル（二段階）</v>
      </c>
    </row>
    <row r="8" spans="1:10" ht="30" customHeight="1">
      <c r="C8" s="142" t="s">
        <v>604</v>
      </c>
      <c r="E8" s="149">
        <v>0.52083333333333337</v>
      </c>
    </row>
    <row r="9" spans="1:10" ht="30" customHeight="1">
      <c r="C9" s="142" t="s">
        <v>605</v>
      </c>
      <c r="E9" s="147">
        <v>0.53125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175">
        <v>120000</v>
      </c>
      <c r="F12" s="146"/>
      <c r="G12" s="146"/>
    </row>
    <row r="13" spans="1:10" ht="30" customHeight="1">
      <c r="C13" s="142" t="s">
        <v>610</v>
      </c>
      <c r="D13" s="175">
        <v>65000</v>
      </c>
      <c r="F13" s="146"/>
      <c r="G13" s="146"/>
    </row>
    <row r="14" spans="1:10" ht="30" customHeight="1">
      <c r="C14" s="142" t="s">
        <v>612</v>
      </c>
      <c r="D14" s="175">
        <v>45000</v>
      </c>
      <c r="G14" s="146"/>
    </row>
    <row r="15" spans="1:10" ht="30" customHeight="1">
      <c r="C15" s="142" t="s">
        <v>613</v>
      </c>
      <c r="D15" s="175">
        <v>35000</v>
      </c>
      <c r="G15" s="146"/>
    </row>
    <row r="16" spans="1:10" ht="30" customHeight="1">
      <c r="C16" s="142" t="s">
        <v>614</v>
      </c>
      <c r="D16" s="176">
        <v>30000</v>
      </c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'26'!C3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'26'!C4</f>
        <v>26</v>
      </c>
      <c r="C8" s="4" t="s">
        <v>42</v>
      </c>
      <c r="D8" s="311" t="str">
        <f>'26'!F4</f>
        <v>フジ中障害Bファイナル（二段階）</v>
      </c>
      <c r="E8" s="311"/>
      <c r="F8" s="311"/>
    </row>
    <row r="9" spans="1:7" ht="18.75" customHeight="1">
      <c r="C9" s="11" t="s">
        <v>11</v>
      </c>
      <c r="D9" s="247">
        <f>'26'!D5</f>
        <v>10</v>
      </c>
      <c r="E9" s="4" t="s">
        <v>9</v>
      </c>
      <c r="F9" s="250" t="str">
        <f>'26'!K4</f>
        <v>中障害Ｂ</v>
      </c>
    </row>
    <row r="10" spans="1:7" ht="21" customHeight="1">
      <c r="A10" s="12" t="s">
        <v>43</v>
      </c>
      <c r="B10" s="12"/>
      <c r="C10" s="12"/>
      <c r="D10" s="248" t="str">
        <f>'26'!D6</f>
        <v>-</v>
      </c>
      <c r="E10" s="4" t="s">
        <v>12</v>
      </c>
      <c r="F10" s="251" t="str">
        <f>'26'!F5</f>
        <v>★★★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36" t="str">
        <f>IF('26'!A14="","",'26'!A14)</f>
        <v/>
      </c>
      <c r="B14" s="16">
        <f>IF('26'!B14="","",'26'!B14)</f>
        <v>1</v>
      </c>
      <c r="C14" s="136" t="str">
        <f>IF('26'!C14="","",'26'!C14)</f>
        <v>二宮　裕哉</v>
      </c>
      <c r="D14" s="252">
        <f>IF('26'!D14="","",'26'!D14)</f>
        <v>14718</v>
      </c>
      <c r="E14" s="136" t="str">
        <f>IF('26'!E14="","",'26'!E14)</f>
        <v>インフィデル</v>
      </c>
      <c r="F14" s="252">
        <f>IF('26'!F14="","",'26'!F14)</f>
        <v>60418</v>
      </c>
      <c r="G14" s="136" t="str">
        <f>IF('26'!G14="","",'26'!G14)</f>
        <v>成田乗馬クラブ</v>
      </c>
    </row>
    <row r="15" spans="1:7" s="19" customFormat="1" ht="23.1" customHeight="1">
      <c r="A15" s="136" t="str">
        <f>IF('26'!A15="","",'26'!A15)</f>
        <v/>
      </c>
      <c r="B15" s="16">
        <f>IF('26'!B15="","",'26'!B15)</f>
        <v>2</v>
      </c>
      <c r="C15" s="136" t="str">
        <f>IF('26'!C15="","",'26'!C15)</f>
        <v>鈴木　萌</v>
      </c>
      <c r="D15" s="252">
        <f>IF('26'!D15="","",'26'!D15)</f>
        <v>31292</v>
      </c>
      <c r="E15" s="136" t="str">
        <f>IF('26'!E15="","",'26'!E15)</f>
        <v>グリュックスブリンガー</v>
      </c>
      <c r="F15" s="252">
        <f>IF('26'!F15="","",'26'!F15)</f>
        <v>60391</v>
      </c>
      <c r="G15" s="136" t="str">
        <f>IF('26'!G15="","",'26'!G15)</f>
        <v>Horses' New Stage</v>
      </c>
    </row>
    <row r="16" spans="1:7" s="19" customFormat="1" ht="23.1" customHeight="1">
      <c r="A16" s="136" t="str">
        <f>IF('26'!A16="","",'26'!A16)</f>
        <v/>
      </c>
      <c r="B16" s="16">
        <f>IF('26'!B16="","",'26'!B16)</f>
        <v>3</v>
      </c>
      <c r="C16" s="136" t="str">
        <f>IF('26'!C16="","",'26'!C16)</f>
        <v>小泉　徹也</v>
      </c>
      <c r="D16" s="252">
        <f>IF('26'!D16="","",'26'!D16)</f>
        <v>30301</v>
      </c>
      <c r="E16" s="136" t="str">
        <f>IF('26'!E16="","",'26'!E16)</f>
        <v>フォーランダPS</v>
      </c>
      <c r="F16" s="252">
        <f>IF('26'!F16="","",'26'!F16)</f>
        <v>61511</v>
      </c>
      <c r="G16" s="136" t="str">
        <f>IF('26'!G16="","",'26'!G16)</f>
        <v>STAR HORSES</v>
      </c>
    </row>
    <row r="17" spans="1:7" s="19" customFormat="1" ht="23.1" customHeight="1">
      <c r="A17" s="136" t="str">
        <f>IF('26'!A17="","",'26'!A17)</f>
        <v/>
      </c>
      <c r="B17" s="16">
        <f>IF('26'!B17="","",'26'!B17)</f>
        <v>4</v>
      </c>
      <c r="C17" s="136" t="str">
        <f>IF('26'!C17="","",'26'!C17)</f>
        <v>木村　茉里子</v>
      </c>
      <c r="D17" s="252">
        <f>IF('26'!D17="","",'26'!D17)</f>
        <v>12188</v>
      </c>
      <c r="E17" s="136" t="str">
        <f>IF('26'!E17="","",'26'!E17)</f>
        <v>ラフィーニャ</v>
      </c>
      <c r="F17" s="252">
        <f>IF('26'!F17="","",'26'!F17)</f>
        <v>60248</v>
      </c>
      <c r="G17" s="136" t="str">
        <f>IF('26'!G17="","",'26'!G17)</f>
        <v>NGK Horse Paz.</v>
      </c>
    </row>
    <row r="18" spans="1:7" s="19" customFormat="1" ht="23.1" customHeight="1">
      <c r="A18" s="136" t="str">
        <f>IF('26'!A18="","",'26'!A18)</f>
        <v/>
      </c>
      <c r="B18" s="16">
        <f>IF('26'!B18="","",'26'!B18)</f>
        <v>5</v>
      </c>
      <c r="C18" s="136" t="str">
        <f>IF('26'!C18="","",'26'!C18)</f>
        <v>古田　慶幸</v>
      </c>
      <c r="D18" s="252">
        <f>IF('26'!D18="","",'26'!D18)</f>
        <v>18386</v>
      </c>
      <c r="E18" s="136" t="str">
        <f>IF('26'!E18="","",'26'!E18)</f>
        <v>ライーズ</v>
      </c>
      <c r="F18" s="252">
        <f>IF('26'!F18="","",'26'!F18)</f>
        <v>60264</v>
      </c>
      <c r="G18" s="136" t="str">
        <f>IF('26'!G18="","",'26'!G18)</f>
        <v>riding team Regroup</v>
      </c>
    </row>
    <row r="19" spans="1:7" s="19" customFormat="1" ht="23.1" customHeight="1">
      <c r="A19" s="136" t="str">
        <f>IF('26'!A19="","",'26'!A19)</f>
        <v/>
      </c>
      <c r="B19" s="16">
        <f>IF('26'!B19="","",'26'!B19)</f>
        <v>6</v>
      </c>
      <c r="C19" s="136" t="str">
        <f>IF('26'!C19="","",'26'!C19)</f>
        <v>福島　大輔</v>
      </c>
      <c r="D19" s="252">
        <f>IF('26'!D19="","",'26'!D19)</f>
        <v>7270</v>
      </c>
      <c r="E19" s="136" t="str">
        <f>IF('26'!E19="","",'26'!E19)</f>
        <v>カレア</v>
      </c>
      <c r="F19" s="252">
        <f>IF('26'!F19="","",'26'!F19)</f>
        <v>62036</v>
      </c>
      <c r="G19" s="136" t="str">
        <f>IF('26'!G19="","",'26'!G19)</f>
        <v>アシェンダ乗馬学校</v>
      </c>
    </row>
    <row r="20" spans="1:7" s="19" customFormat="1" ht="23.1" customHeight="1">
      <c r="A20" s="136" t="str">
        <f>IF('26'!A20="","",'26'!A20)</f>
        <v/>
      </c>
      <c r="B20" s="16">
        <f>IF('26'!B20="","",'26'!B20)</f>
        <v>7</v>
      </c>
      <c r="C20" s="136" t="str">
        <f>IF('26'!C20="","",'26'!C20)</f>
        <v>林　忠義</v>
      </c>
      <c r="D20" s="252">
        <f>IF('26'!D20="","",'26'!D20)</f>
        <v>1384</v>
      </c>
      <c r="E20" s="136" t="str">
        <f>IF('26'!E20="","",'26'!E20)</f>
        <v>レヴィノ</v>
      </c>
      <c r="F20" s="252">
        <f>IF('26'!F20="","",'26'!F20)</f>
        <v>61343</v>
      </c>
      <c r="G20" s="136" t="str">
        <f>IF('26'!G20="","",'26'!G20)</f>
        <v>北総乗馬クラブ</v>
      </c>
    </row>
    <row r="21" spans="1:7" s="19" customFormat="1" ht="23.1" customHeight="1">
      <c r="A21" s="136" t="str">
        <f>IF('26'!A21="","",'26'!A21)</f>
        <v/>
      </c>
      <c r="B21" s="16">
        <f>IF('26'!B21="","",'26'!B21)</f>
        <v>8</v>
      </c>
      <c r="C21" s="136" t="str">
        <f>IF('26'!C21="","",'26'!C21)</f>
        <v>紙本　萌々</v>
      </c>
      <c r="D21" s="252">
        <f>IF('26'!D21="","",'26'!D21)</f>
        <v>28066</v>
      </c>
      <c r="E21" s="136" t="str">
        <f>IF('26'!E21="","",'26'!E21)</f>
        <v>ヴィンセント</v>
      </c>
      <c r="F21" s="252">
        <f>IF('26'!F21="","",'26'!F21)</f>
        <v>59979</v>
      </c>
      <c r="G21" s="136" t="str">
        <f>IF('26'!G21="","",'26'!G21)</f>
        <v>北総乗馬クラブ</v>
      </c>
    </row>
    <row r="22" spans="1:7" s="19" customFormat="1" ht="23.1" customHeight="1">
      <c r="A22" s="136" t="str">
        <f>IF('26'!A22="","",'26'!A22)</f>
        <v/>
      </c>
      <c r="B22" s="16">
        <f>IF('26'!B22="","",'26'!B22)</f>
        <v>9</v>
      </c>
      <c r="C22" s="136" t="str">
        <f>IF('26'!C22="","",'26'!C22)</f>
        <v>二宮　裕哉</v>
      </c>
      <c r="D22" s="252">
        <f>IF('26'!D22="","",'26'!D22)</f>
        <v>14718</v>
      </c>
      <c r="E22" s="136" t="str">
        <f>IF('26'!E22="","",'26'!E22)</f>
        <v>カレッジM</v>
      </c>
      <c r="F22" s="252">
        <f>IF('26'!F22="","",'26'!F22)</f>
        <v>60096</v>
      </c>
      <c r="G22" s="136" t="str">
        <f>IF('26'!G22="","",'26'!G22)</f>
        <v>成田乗馬クラブ</v>
      </c>
    </row>
    <row r="23" spans="1:7" s="19" customFormat="1" ht="23.1" customHeight="1">
      <c r="A23" s="136" t="str">
        <f>IF('26'!A23="","",'26'!A23)</f>
        <v/>
      </c>
      <c r="B23" s="16">
        <f>IF('26'!B23="","",'26'!B23)</f>
        <v>10</v>
      </c>
      <c r="C23" s="136" t="str">
        <f>IF('26'!C23="","",'26'!C23)</f>
        <v/>
      </c>
      <c r="D23" s="252" t="str">
        <f>IF('26'!D23="","",'26'!D23)</f>
        <v/>
      </c>
      <c r="E23" s="136" t="str">
        <f>IF('26'!E23="","",'26'!E23)</f>
        <v/>
      </c>
      <c r="F23" s="252" t="str">
        <f>IF('26'!F23="","",'26'!F23)</f>
        <v/>
      </c>
      <c r="G23" s="136" t="str">
        <f>IF('26'!G23="","",'26'!G23)</f>
        <v/>
      </c>
    </row>
    <row r="24" spans="1:7" s="19" customFormat="1" ht="23.1" customHeight="1">
      <c r="A24" s="136" t="str">
        <f>IF('26'!A24="","",'26'!A24)</f>
        <v/>
      </c>
      <c r="B24" s="16">
        <f>IF('26'!B24="","",'26'!B24)</f>
        <v>11</v>
      </c>
      <c r="C24" s="136" t="str">
        <f>IF('26'!C24="","",'26'!C24)</f>
        <v/>
      </c>
      <c r="D24" s="252" t="str">
        <f>IF('26'!D24="","",'26'!D24)</f>
        <v/>
      </c>
      <c r="E24" s="136" t="str">
        <f>IF('26'!E24="","",'26'!E24)</f>
        <v/>
      </c>
      <c r="F24" s="252" t="str">
        <f>IF('26'!F24="","",'26'!F24)</f>
        <v/>
      </c>
      <c r="G24" s="136" t="str">
        <f>IF('26'!G24="","",'26'!G24)</f>
        <v/>
      </c>
    </row>
    <row r="25" spans="1:7" s="19" customFormat="1" ht="23.1" customHeight="1">
      <c r="A25" s="136" t="str">
        <f>IF('26'!A25="","",'26'!A25)</f>
        <v/>
      </c>
      <c r="B25" s="16">
        <f>IF('26'!B25="","",'26'!B25)</f>
        <v>12</v>
      </c>
      <c r="C25" s="136" t="str">
        <f>IF('26'!C25="","",'26'!C25)</f>
        <v/>
      </c>
      <c r="D25" s="252" t="str">
        <f>IF('26'!D25="","",'26'!D25)</f>
        <v/>
      </c>
      <c r="E25" s="136" t="str">
        <f>IF('26'!E25="","",'26'!E25)</f>
        <v/>
      </c>
      <c r="F25" s="252" t="str">
        <f>IF('26'!F25="","",'26'!F25)</f>
        <v/>
      </c>
      <c r="G25" s="136" t="str">
        <f>IF('26'!G25="","",'26'!G25)</f>
        <v/>
      </c>
    </row>
    <row r="26" spans="1:7" s="19" customFormat="1" ht="23.1" customHeight="1">
      <c r="A26" s="136" t="str">
        <f>IF('26'!A26="","",'26'!A26)</f>
        <v/>
      </c>
      <c r="B26" s="16">
        <f>IF('26'!B26="","",'26'!B26)</f>
        <v>13</v>
      </c>
      <c r="C26" s="136" t="str">
        <f>IF('26'!C26="","",'26'!C26)</f>
        <v/>
      </c>
      <c r="D26" s="252" t="str">
        <f>IF('26'!D26="","",'26'!D26)</f>
        <v/>
      </c>
      <c r="E26" s="136" t="str">
        <f>IF('26'!E26="","",'26'!E26)</f>
        <v/>
      </c>
      <c r="F26" s="252" t="str">
        <f>IF('26'!F26="","",'26'!F26)</f>
        <v/>
      </c>
      <c r="G26" s="136" t="str">
        <f>IF('26'!G26="","",'26'!G26)</f>
        <v/>
      </c>
    </row>
    <row r="27" spans="1:7" s="19" customFormat="1" ht="23.1" customHeight="1">
      <c r="A27" s="136" t="str">
        <f>IF('26'!A27="","",'26'!A27)</f>
        <v/>
      </c>
      <c r="B27" s="16">
        <f>IF('26'!B27="","",'26'!B27)</f>
        <v>14</v>
      </c>
      <c r="C27" s="136" t="str">
        <f>IF('26'!C27="","",'26'!C27)</f>
        <v/>
      </c>
      <c r="D27" s="252" t="str">
        <f>IF('26'!D27="","",'26'!D27)</f>
        <v/>
      </c>
      <c r="E27" s="136" t="str">
        <f>IF('26'!E27="","",'26'!E27)</f>
        <v/>
      </c>
      <c r="F27" s="252" t="str">
        <f>IF('26'!F27="","",'26'!F27)</f>
        <v/>
      </c>
      <c r="G27" s="136" t="str">
        <f>IF('26'!G27="","",'26'!G27)</f>
        <v/>
      </c>
    </row>
    <row r="28" spans="1:7" s="19" customFormat="1" ht="23.1" customHeight="1">
      <c r="A28" s="136" t="str">
        <f>IF('26'!A28="","",'26'!A28)</f>
        <v/>
      </c>
      <c r="B28" s="16">
        <f>IF('26'!B28="","",'26'!B28)</f>
        <v>15</v>
      </c>
      <c r="C28" s="136" t="str">
        <f>IF('26'!C28="","",'26'!C28)</f>
        <v/>
      </c>
      <c r="D28" s="252" t="str">
        <f>IF('26'!D28="","",'26'!D28)</f>
        <v/>
      </c>
      <c r="E28" s="136" t="str">
        <f>IF('26'!E28="","",'26'!E28)</f>
        <v/>
      </c>
      <c r="F28" s="252" t="str">
        <f>IF('26'!F28="","",'26'!F28)</f>
        <v/>
      </c>
      <c r="G28" s="136" t="str">
        <f>IF('26'!G28="","",'26'!G28)</f>
        <v/>
      </c>
    </row>
    <row r="29" spans="1:7" s="19" customFormat="1" ht="23.1" customHeight="1">
      <c r="A29" s="136" t="str">
        <f>IF('26'!A29="","",'26'!A29)</f>
        <v/>
      </c>
      <c r="B29" s="16">
        <f>IF('26'!B29="","",'26'!B29)</f>
        <v>16</v>
      </c>
      <c r="C29" s="136" t="str">
        <f>IF('26'!C29="","",'26'!C29)</f>
        <v/>
      </c>
      <c r="D29" s="252" t="str">
        <f>IF('26'!D29="","",'26'!D29)</f>
        <v/>
      </c>
      <c r="E29" s="136" t="str">
        <f>IF('26'!E29="","",'26'!E29)</f>
        <v/>
      </c>
      <c r="F29" s="252" t="str">
        <f>IF('26'!F29="","",'26'!F29)</f>
        <v/>
      </c>
      <c r="G29" s="136" t="str">
        <f>IF('26'!G29="","",'26'!G29)</f>
        <v/>
      </c>
    </row>
    <row r="30" spans="1:7" s="19" customFormat="1" ht="23.1" customHeight="1">
      <c r="A30" s="136" t="str">
        <f>IF('26'!A30="","",'26'!A30)</f>
        <v/>
      </c>
      <c r="B30" s="16">
        <f>IF('26'!B30="","",'26'!B30)</f>
        <v>17</v>
      </c>
      <c r="C30" s="136" t="str">
        <f>IF('26'!C30="","",'26'!C30)</f>
        <v/>
      </c>
      <c r="D30" s="252" t="str">
        <f>IF('26'!D30="","",'26'!D30)</f>
        <v/>
      </c>
      <c r="E30" s="136" t="str">
        <f>IF('26'!E30="","",'26'!E30)</f>
        <v/>
      </c>
      <c r="F30" s="252" t="str">
        <f>IF('26'!F30="","",'26'!F30)</f>
        <v/>
      </c>
      <c r="G30" s="136" t="str">
        <f>IF('26'!G30="","",'26'!G30)</f>
        <v/>
      </c>
    </row>
    <row r="31" spans="1:7" s="19" customFormat="1" ht="23.1" customHeight="1">
      <c r="A31" s="136" t="str">
        <f>IF('26'!A31="","",'26'!A31)</f>
        <v/>
      </c>
      <c r="B31" s="16">
        <f>IF('26'!B31="","",'26'!B31)</f>
        <v>18</v>
      </c>
      <c r="C31" s="136" t="str">
        <f>IF('26'!C31="","",'26'!C31)</f>
        <v/>
      </c>
      <c r="D31" s="252" t="str">
        <f>IF('26'!D31="","",'26'!D31)</f>
        <v/>
      </c>
      <c r="E31" s="136" t="str">
        <f>IF('26'!E31="","",'26'!E31)</f>
        <v/>
      </c>
      <c r="F31" s="252" t="str">
        <f>IF('26'!F31="","",'26'!F31)</f>
        <v/>
      </c>
      <c r="G31" s="136" t="str">
        <f>IF('26'!G31="","",'26'!G31)</f>
        <v/>
      </c>
    </row>
    <row r="32" spans="1:7" s="19" customFormat="1" ht="23.1" customHeight="1">
      <c r="A32" s="136" t="str">
        <f>IF('26'!A32="","",'26'!A32)</f>
        <v/>
      </c>
      <c r="B32" s="16">
        <f>IF('26'!B32="","",'26'!B32)</f>
        <v>19</v>
      </c>
      <c r="C32" s="136" t="str">
        <f>IF('26'!C32="","",'26'!C32)</f>
        <v/>
      </c>
      <c r="D32" s="252" t="str">
        <f>IF('26'!D32="","",'26'!D32)</f>
        <v/>
      </c>
      <c r="E32" s="136" t="str">
        <f>IF('26'!E32="","",'26'!E32)</f>
        <v/>
      </c>
      <c r="F32" s="252" t="str">
        <f>IF('26'!F32="","",'26'!F32)</f>
        <v/>
      </c>
      <c r="G32" s="136" t="str">
        <f>IF('26'!G32="","",'26'!G32)</f>
        <v/>
      </c>
    </row>
    <row r="33" spans="1:7" s="19" customFormat="1" ht="23.1" customHeight="1">
      <c r="A33" s="136" t="str">
        <f>IF('26'!A33="","",'26'!A33)</f>
        <v/>
      </c>
      <c r="B33" s="16">
        <f>IF('26'!B33="","",'26'!B33)</f>
        <v>20</v>
      </c>
      <c r="C33" s="136" t="str">
        <f>IF('26'!C33="","",'26'!C33)</f>
        <v/>
      </c>
      <c r="D33" s="252" t="str">
        <f>IF('26'!D33="","",'26'!D33)</f>
        <v/>
      </c>
      <c r="E33" s="136" t="str">
        <f>IF('26'!E33="","",'26'!E33)</f>
        <v/>
      </c>
      <c r="F33" s="252" t="str">
        <f>IF('26'!F33="","",'26'!F33)</f>
        <v/>
      </c>
      <c r="G33" s="136" t="str">
        <f>IF('26'!G33="","",'26'!G33)</f>
        <v/>
      </c>
    </row>
    <row r="34" spans="1:7" s="19" customFormat="1" ht="23.1" customHeight="1">
      <c r="A34" s="136" t="str">
        <f>IF('26'!A34="","",'26'!A34)</f>
        <v/>
      </c>
      <c r="B34" s="16">
        <f>IF('26'!B34="","",'26'!B34)</f>
        <v>21</v>
      </c>
      <c r="C34" s="136" t="str">
        <f>IF('26'!C34="","",'26'!C34)</f>
        <v/>
      </c>
      <c r="D34" s="252" t="str">
        <f>IF('26'!D34="","",'26'!D34)</f>
        <v/>
      </c>
      <c r="E34" s="136" t="str">
        <f>IF('26'!E34="","",'26'!E34)</f>
        <v/>
      </c>
      <c r="F34" s="252" t="str">
        <f>IF('26'!F34="","",'26'!F34)</f>
        <v/>
      </c>
      <c r="G34" s="136" t="str">
        <f>IF('26'!G34="","",'26'!G34)</f>
        <v/>
      </c>
    </row>
    <row r="35" spans="1:7" s="19" customFormat="1" ht="23.1" customHeight="1">
      <c r="A35" s="136" t="str">
        <f>IF('26'!A35="","",'26'!A35)</f>
        <v/>
      </c>
      <c r="B35" s="16">
        <f>IF('26'!B35="","",'26'!B35)</f>
        <v>22</v>
      </c>
      <c r="C35" s="136" t="str">
        <f>IF('26'!C35="","",'26'!C35)</f>
        <v/>
      </c>
      <c r="D35" s="252" t="str">
        <f>IF('26'!D35="","",'26'!D35)</f>
        <v/>
      </c>
      <c r="E35" s="136" t="str">
        <f>IF('26'!E35="","",'26'!E35)</f>
        <v/>
      </c>
      <c r="F35" s="252" t="str">
        <f>IF('26'!F35="","",'26'!F35)</f>
        <v/>
      </c>
      <c r="G35" s="136" t="str">
        <f>IF('26'!G35="","",'26'!G35)</f>
        <v/>
      </c>
    </row>
    <row r="36" spans="1:7" s="19" customFormat="1" ht="23.1" customHeight="1">
      <c r="A36" s="136" t="str">
        <f>IF('26'!A36="","",'26'!A36)</f>
        <v/>
      </c>
      <c r="B36" s="16">
        <f>IF('26'!B36="","",'26'!B36)</f>
        <v>23</v>
      </c>
      <c r="C36" s="136" t="str">
        <f>IF('26'!C36="","",'26'!C36)</f>
        <v/>
      </c>
      <c r="D36" s="252" t="str">
        <f>IF('26'!D36="","",'26'!D36)</f>
        <v/>
      </c>
      <c r="E36" s="136" t="str">
        <f>IF('26'!E36="","",'26'!E36)</f>
        <v/>
      </c>
      <c r="F36" s="252" t="str">
        <f>IF('26'!F36="","",'26'!F36)</f>
        <v/>
      </c>
      <c r="G36" s="136" t="str">
        <f>IF('26'!G36="","",'26'!G36)</f>
        <v/>
      </c>
    </row>
    <row r="37" spans="1:7" s="19" customFormat="1" ht="23.1" customHeight="1">
      <c r="A37" s="136" t="str">
        <f>IF('26'!A37="","",'26'!A37)</f>
        <v/>
      </c>
      <c r="B37" s="16">
        <f>IF('26'!B37="","",'26'!B37)</f>
        <v>24</v>
      </c>
      <c r="C37" s="136" t="str">
        <f>IF('26'!C37="","",'26'!C37)</f>
        <v/>
      </c>
      <c r="D37" s="252" t="str">
        <f>IF('26'!D37="","",'26'!D37)</f>
        <v/>
      </c>
      <c r="E37" s="136" t="str">
        <f>IF('26'!E37="","",'26'!E37)</f>
        <v/>
      </c>
      <c r="F37" s="252" t="str">
        <f>IF('26'!F37="","",'26'!F37)</f>
        <v/>
      </c>
      <c r="G37" s="136" t="str">
        <f>IF('26'!G37="","",'26'!G37)</f>
        <v/>
      </c>
    </row>
    <row r="38" spans="1:7" s="19" customFormat="1" ht="23.1" customHeight="1">
      <c r="A38" s="136" t="str">
        <f>IF('26'!A38="","",'26'!A38)</f>
        <v/>
      </c>
      <c r="B38" s="16">
        <f>IF('26'!B38="","",'26'!B38)</f>
        <v>25</v>
      </c>
      <c r="C38" s="136" t="str">
        <f>IF('26'!C38="","",'26'!C38)</f>
        <v/>
      </c>
      <c r="D38" s="252" t="str">
        <f>IF('26'!D38="","",'26'!D38)</f>
        <v/>
      </c>
      <c r="E38" s="136" t="str">
        <f>IF('26'!E38="","",'26'!E38)</f>
        <v/>
      </c>
      <c r="F38" s="252" t="str">
        <f>IF('26'!F38="","",'26'!F38)</f>
        <v/>
      </c>
      <c r="G38" s="136" t="str">
        <f>IF('26'!G38="","",'26'!G38)</f>
        <v/>
      </c>
    </row>
    <row r="39" spans="1:7" s="19" customFormat="1" ht="23.1" customHeight="1">
      <c r="A39" s="136" t="str">
        <f>IF('26'!A39="","",'26'!A39)</f>
        <v/>
      </c>
      <c r="B39" s="16">
        <f>IF('26'!B39="","",'26'!B39)</f>
        <v>26</v>
      </c>
      <c r="C39" s="136" t="str">
        <f>IF('26'!C39="","",'26'!C39)</f>
        <v/>
      </c>
      <c r="D39" s="252" t="str">
        <f>IF('26'!D39="","",'26'!D39)</f>
        <v/>
      </c>
      <c r="E39" s="136" t="str">
        <f>IF('26'!E39="","",'26'!E39)</f>
        <v/>
      </c>
      <c r="F39" s="252" t="str">
        <f>IF('26'!F39="","",'26'!F39)</f>
        <v/>
      </c>
      <c r="G39" s="136" t="str">
        <f>IF('26'!G39="","",'26'!G39)</f>
        <v/>
      </c>
    </row>
    <row r="40" spans="1:7" s="19" customFormat="1" ht="23.1" customHeight="1">
      <c r="A40" s="136" t="str">
        <f>IF('26'!A40="","",'26'!A40)</f>
        <v/>
      </c>
      <c r="B40" s="16">
        <f>IF('26'!B40="","",'26'!B40)</f>
        <v>27</v>
      </c>
      <c r="C40" s="136" t="str">
        <f>IF('26'!C40="","",'26'!C40)</f>
        <v/>
      </c>
      <c r="D40" s="252" t="str">
        <f>IF('26'!D40="","",'26'!D40)</f>
        <v/>
      </c>
      <c r="E40" s="136" t="str">
        <f>IF('26'!E40="","",'26'!E40)</f>
        <v/>
      </c>
      <c r="F40" s="252" t="str">
        <f>IF('26'!F40="","",'26'!F40)</f>
        <v/>
      </c>
      <c r="G40" s="136" t="str">
        <f>IF('26'!G40="","",'26'!G40)</f>
        <v/>
      </c>
    </row>
    <row r="41" spans="1:7" s="19" customFormat="1" ht="23.1" customHeight="1">
      <c r="A41" s="136" t="str">
        <f>IF('26'!A41="","",'26'!A41)</f>
        <v/>
      </c>
      <c r="B41" s="16">
        <f>IF('26'!B41="","",'26'!B41)</f>
        <v>28</v>
      </c>
      <c r="C41" s="136" t="str">
        <f>IF('26'!C41="","",'26'!C41)</f>
        <v/>
      </c>
      <c r="D41" s="252" t="str">
        <f>IF('26'!D41="","",'26'!D41)</f>
        <v/>
      </c>
      <c r="E41" s="136" t="str">
        <f>IF('26'!E41="","",'26'!E41)</f>
        <v/>
      </c>
      <c r="F41" s="252" t="str">
        <f>IF('26'!F41="","",'26'!F41)</f>
        <v/>
      </c>
      <c r="G41" s="136" t="str">
        <f>IF('26'!G41="","",'26'!G41)</f>
        <v/>
      </c>
    </row>
    <row r="42" spans="1:7" s="19" customFormat="1" ht="23.1" customHeight="1">
      <c r="A42" s="136" t="str">
        <f>IF('26'!A42="","",'26'!A42)</f>
        <v/>
      </c>
      <c r="B42" s="16">
        <f>IF('26'!B42="","",'26'!B42)</f>
        <v>29</v>
      </c>
      <c r="C42" s="136" t="str">
        <f>IF('26'!C42="","",'26'!C42)</f>
        <v/>
      </c>
      <c r="D42" s="252" t="str">
        <f>IF('26'!D42="","",'26'!D42)</f>
        <v/>
      </c>
      <c r="E42" s="136" t="str">
        <f>IF('26'!E42="","",'26'!E42)</f>
        <v/>
      </c>
      <c r="F42" s="252" t="str">
        <f>IF('26'!F42="","",'26'!F42)</f>
        <v/>
      </c>
      <c r="G42" s="136" t="str">
        <f>IF('26'!G42="","",'26'!G42)</f>
        <v/>
      </c>
    </row>
    <row r="43" spans="1:7" s="19" customFormat="1" ht="23.1" customHeight="1">
      <c r="A43" s="136" t="str">
        <f>IF('26'!A43="","",'26'!A43)</f>
        <v/>
      </c>
      <c r="B43" s="16">
        <f>IF('26'!B43="","",'26'!B43)</f>
        <v>30</v>
      </c>
      <c r="C43" s="136" t="str">
        <f>IF('26'!C43="","",'26'!C43)</f>
        <v/>
      </c>
      <c r="D43" s="252" t="str">
        <f>IF('26'!D43="","",'26'!D43)</f>
        <v/>
      </c>
      <c r="E43" s="136" t="str">
        <f>IF('26'!E43="","",'26'!E43)</f>
        <v/>
      </c>
      <c r="F43" s="252" t="str">
        <f>IF('26'!F43="","",'26'!F43)</f>
        <v/>
      </c>
      <c r="G43" s="136" t="str">
        <f>IF('26'!G43="","",'26'!G43)</f>
        <v/>
      </c>
    </row>
    <row r="44" spans="1:7" ht="23.1" customHeight="1">
      <c r="A44" s="136" t="str">
        <f>IF('26'!A44="","",'26'!A44)</f>
        <v/>
      </c>
      <c r="B44" s="16">
        <f>IF('26'!B44="","",'26'!B44)</f>
        <v>31</v>
      </c>
      <c r="C44" s="136" t="str">
        <f>IF('26'!C44="","",'26'!C44)</f>
        <v/>
      </c>
      <c r="D44" s="252" t="str">
        <f>IF('26'!D44="","",'26'!D44)</f>
        <v/>
      </c>
      <c r="E44" s="136" t="str">
        <f>IF('26'!E44="","",'26'!E44)</f>
        <v/>
      </c>
      <c r="F44" s="252" t="str">
        <f>IF('26'!F44="","",'26'!F44)</f>
        <v/>
      </c>
      <c r="G44" s="136" t="str">
        <f>IF('26'!G44="","",'26'!G44)</f>
        <v/>
      </c>
    </row>
    <row r="45" spans="1:7" ht="23.1" customHeight="1">
      <c r="A45" s="136" t="str">
        <f>IF('26'!A45="","",'26'!A45)</f>
        <v/>
      </c>
      <c r="B45" s="16">
        <f>IF('26'!B45="","",'26'!B45)</f>
        <v>32</v>
      </c>
      <c r="C45" s="136" t="str">
        <f>IF('26'!C45="","",'26'!C45)</f>
        <v/>
      </c>
      <c r="D45" s="252" t="str">
        <f>IF('26'!D45="","",'26'!D45)</f>
        <v/>
      </c>
      <c r="E45" s="136" t="str">
        <f>IF('26'!E45="","",'26'!E45)</f>
        <v/>
      </c>
      <c r="F45" s="252" t="str">
        <f>IF('26'!F45="","",'26'!F45)</f>
        <v/>
      </c>
      <c r="G45" s="136" t="str">
        <f>IF('26'!G45="","",'26'!G45)</f>
        <v/>
      </c>
    </row>
    <row r="46" spans="1:7" ht="23.1" customHeight="1">
      <c r="A46" s="136" t="str">
        <f>IF('26'!A46="","",'26'!A46)</f>
        <v/>
      </c>
      <c r="B46" s="16">
        <f>IF('26'!B46="","",'26'!B46)</f>
        <v>33</v>
      </c>
      <c r="C46" s="136" t="str">
        <f>IF('26'!C46="","",'26'!C46)</f>
        <v/>
      </c>
      <c r="D46" s="252" t="str">
        <f>IF('26'!D46="","",'26'!D46)</f>
        <v/>
      </c>
      <c r="E46" s="136" t="str">
        <f>IF('26'!E46="","",'26'!E46)</f>
        <v/>
      </c>
      <c r="F46" s="252" t="str">
        <f>IF('26'!F46="","",'26'!F46)</f>
        <v/>
      </c>
      <c r="G46" s="136" t="str">
        <f>IF('26'!G46="","",'26'!G46)</f>
        <v/>
      </c>
    </row>
    <row r="47" spans="1:7" ht="23.1" customHeight="1">
      <c r="A47" s="136" t="str">
        <f>IF('26'!A47="","",'26'!A47)</f>
        <v/>
      </c>
      <c r="B47" s="16">
        <f>IF('26'!B47="","",'26'!B47)</f>
        <v>34</v>
      </c>
      <c r="C47" s="136" t="str">
        <f>IF('26'!C47="","",'26'!C47)</f>
        <v/>
      </c>
      <c r="D47" s="252" t="str">
        <f>IF('26'!D47="","",'26'!D47)</f>
        <v/>
      </c>
      <c r="E47" s="136" t="str">
        <f>IF('26'!E47="","",'26'!E47)</f>
        <v/>
      </c>
      <c r="F47" s="252" t="str">
        <f>IF('26'!F47="","",'26'!F47)</f>
        <v/>
      </c>
      <c r="G47" s="136" t="str">
        <f>IF('26'!G47="","",'26'!G47)</f>
        <v/>
      </c>
    </row>
    <row r="48" spans="1:7" ht="23.1" customHeight="1">
      <c r="A48" s="136" t="str">
        <f>IF('26'!A48="","",'26'!A48)</f>
        <v/>
      </c>
      <c r="B48" s="16">
        <f>IF('26'!B48="","",'26'!B48)</f>
        <v>35</v>
      </c>
      <c r="C48" s="136" t="str">
        <f>IF('26'!C48="","",'26'!C48)</f>
        <v/>
      </c>
      <c r="D48" s="252" t="str">
        <f>IF('26'!D48="","",'26'!D48)</f>
        <v/>
      </c>
      <c r="E48" s="136" t="str">
        <f>IF('26'!E48="","",'26'!E48)</f>
        <v/>
      </c>
      <c r="F48" s="252" t="str">
        <f>IF('26'!F48="","",'26'!F48)</f>
        <v/>
      </c>
      <c r="G48" s="136" t="str">
        <f>IF('26'!G48="","",'26'!G48)</f>
        <v/>
      </c>
    </row>
    <row r="49" spans="1:7" ht="23.1" customHeight="1">
      <c r="A49" s="136" t="str">
        <f>IF('26'!A49="","",'26'!A49)</f>
        <v/>
      </c>
      <c r="B49" s="136">
        <f>IF('26'!B49="","",'26'!B49)</f>
        <v>36</v>
      </c>
      <c r="C49" s="136" t="str">
        <f>IF('26'!C49="","",'26'!C49)</f>
        <v/>
      </c>
      <c r="D49" s="261" t="str">
        <f>IF('26'!D49="","",'26'!D49)</f>
        <v/>
      </c>
      <c r="E49" s="136" t="str">
        <f>IF('26'!E49="","",'26'!E49)</f>
        <v/>
      </c>
      <c r="F49" s="252" t="str">
        <f>IF('26'!F49="","",'26'!F49)</f>
        <v/>
      </c>
      <c r="G49" s="136" t="str">
        <f>IF('26'!G49="","",'26'!G49)</f>
        <v/>
      </c>
    </row>
    <row r="50" spans="1:7" ht="23.1" customHeight="1">
      <c r="A50" s="136" t="str">
        <f>IF('26'!A50="","",'26'!A50)</f>
        <v/>
      </c>
      <c r="B50" s="136">
        <f>IF('26'!B50="","",'26'!B50)</f>
        <v>37</v>
      </c>
      <c r="C50" s="136" t="str">
        <f>IF('26'!C50="","",'26'!C50)</f>
        <v/>
      </c>
      <c r="D50" s="261" t="str">
        <f>IF('26'!D50="","",'26'!D50)</f>
        <v/>
      </c>
      <c r="E50" s="136" t="str">
        <f>IF('26'!E50="","",'26'!E50)</f>
        <v/>
      </c>
      <c r="F50" s="252" t="str">
        <f>IF('26'!F50="","",'26'!F50)</f>
        <v/>
      </c>
      <c r="G50" s="136" t="str">
        <f>IF('26'!G50="","",'26'!G50)</f>
        <v/>
      </c>
    </row>
    <row r="51" spans="1:7" ht="23.1" customHeight="1">
      <c r="A51" s="136" t="str">
        <f>IF('26'!A51="","",'26'!A51)</f>
        <v/>
      </c>
      <c r="B51" s="136">
        <f>IF('26'!B51="","",'26'!B51)</f>
        <v>38</v>
      </c>
      <c r="C51" s="136" t="str">
        <f>IF('26'!C51="","",'26'!C51)</f>
        <v/>
      </c>
      <c r="D51" s="261" t="str">
        <f>IF('26'!D51="","",'26'!D51)</f>
        <v/>
      </c>
      <c r="E51" s="136" t="str">
        <f>IF('26'!E51="","",'26'!E51)</f>
        <v/>
      </c>
      <c r="F51" s="261" t="str">
        <f>IF('26'!F51="","",'26'!F51)</f>
        <v/>
      </c>
      <c r="G51" s="136" t="str">
        <f>IF('26'!G51="","",'26'!G51)</f>
        <v/>
      </c>
    </row>
    <row r="52" spans="1:7" ht="23.1" customHeight="1">
      <c r="A52" s="136" t="str">
        <f>IF('26'!A52="","",'26'!A52)</f>
        <v/>
      </c>
      <c r="B52" s="136">
        <f>IF('26'!B52="","",'26'!B52)</f>
        <v>39</v>
      </c>
      <c r="C52" s="136" t="str">
        <f>IF('26'!C52="","",'26'!C52)</f>
        <v/>
      </c>
      <c r="D52" s="261" t="str">
        <f>IF('26'!D52="","",'26'!D52)</f>
        <v/>
      </c>
      <c r="E52" s="136" t="str">
        <f>IF('26'!E52="","",'26'!E52)</f>
        <v/>
      </c>
      <c r="F52" s="261" t="str">
        <f>IF('26'!F52="","",'26'!F52)</f>
        <v/>
      </c>
      <c r="G52" s="136" t="str">
        <f>IF('26'!G52="","",'26'!G52)</f>
        <v/>
      </c>
    </row>
    <row r="53" spans="1:7" ht="23.1" customHeight="1">
      <c r="A53" s="136" t="str">
        <f>IF('26'!A53="","",'26'!A53)</f>
        <v/>
      </c>
      <c r="B53" s="136">
        <f>IF('26'!B53="","",'26'!B53)</f>
        <v>40</v>
      </c>
      <c r="C53" s="136" t="str">
        <f>IF('26'!C53="","",'26'!C53)</f>
        <v/>
      </c>
      <c r="D53" s="261" t="str">
        <f>IF('26'!D53="","",'26'!D53)</f>
        <v/>
      </c>
      <c r="E53" s="136" t="str">
        <f>IF('26'!E53="","",'26'!E53)</f>
        <v/>
      </c>
      <c r="F53" s="261" t="str">
        <f>IF('26'!F53="","",'26'!F53)</f>
        <v/>
      </c>
      <c r="G53" s="136" t="str">
        <f>IF('26'!G53="","",'26'!G53)</f>
        <v/>
      </c>
    </row>
    <row r="54" spans="1:7" ht="23.1" customHeight="1">
      <c r="A54" s="136" t="str">
        <f>IF('26'!A54="","",'26'!A54)</f>
        <v/>
      </c>
      <c r="B54" s="136">
        <f>IF('26'!B54="","",'26'!B54)</f>
        <v>41</v>
      </c>
      <c r="C54" s="136" t="str">
        <f>IF('26'!C54="","",'26'!C54)</f>
        <v/>
      </c>
      <c r="D54" s="261" t="str">
        <f>IF('26'!D54="","",'26'!D54)</f>
        <v/>
      </c>
      <c r="E54" s="136" t="str">
        <f>IF('26'!E54="","",'26'!E54)</f>
        <v/>
      </c>
      <c r="F54" s="261" t="str">
        <f>IF('26'!F54="","",'26'!F54)</f>
        <v/>
      </c>
      <c r="G54" s="136" t="str">
        <f>IF('26'!G54="","",'26'!G54)</f>
        <v/>
      </c>
    </row>
    <row r="55" spans="1:7" ht="23.1" customHeight="1">
      <c r="A55" s="136" t="str">
        <f>IF('26'!A55="","",'26'!A55)</f>
        <v/>
      </c>
      <c r="B55" s="136">
        <f>IF('26'!B55="","",'26'!B55)</f>
        <v>42</v>
      </c>
      <c r="C55" s="136" t="str">
        <f>IF('26'!C55="","",'26'!C55)</f>
        <v/>
      </c>
      <c r="D55" s="261" t="str">
        <f>IF('26'!D55="","",'26'!D55)</f>
        <v/>
      </c>
      <c r="E55" s="136" t="str">
        <f>IF('26'!E55="","",'26'!E55)</f>
        <v/>
      </c>
      <c r="F55" s="261" t="str">
        <f>IF('26'!F55="","",'26'!F55)</f>
        <v/>
      </c>
      <c r="G55" s="136" t="str">
        <f>IF('26'!G55="","",'26'!G55)</f>
        <v/>
      </c>
    </row>
    <row r="56" spans="1:7" ht="23.1" customHeight="1">
      <c r="A56" s="136" t="str">
        <f>IF('26'!A56="","",'26'!A56)</f>
        <v/>
      </c>
      <c r="B56" s="136">
        <f>IF('26'!B56="","",'26'!B56)</f>
        <v>43</v>
      </c>
      <c r="C56" s="136" t="str">
        <f>IF('26'!C56="","",'26'!C56)</f>
        <v/>
      </c>
      <c r="D56" s="261" t="str">
        <f>IF('26'!D56="","",'26'!D56)</f>
        <v/>
      </c>
      <c r="E56" s="136" t="str">
        <f>IF('26'!E56="","",'26'!E56)</f>
        <v/>
      </c>
      <c r="F56" s="261" t="str">
        <f>IF('26'!F56="","",'26'!F56)</f>
        <v/>
      </c>
      <c r="G56" s="136" t="str">
        <f>IF('26'!G56="","",'26'!G56)</f>
        <v/>
      </c>
    </row>
    <row r="57" spans="1:7" ht="23.1" customHeight="1">
      <c r="A57" s="136" t="str">
        <f>IF('26'!A57="","",'26'!A57)</f>
        <v/>
      </c>
      <c r="B57" s="136">
        <f>IF('26'!B57="","",'26'!B57)</f>
        <v>44</v>
      </c>
      <c r="C57" s="136" t="str">
        <f>IF('26'!C57="","",'26'!C57)</f>
        <v/>
      </c>
      <c r="D57" s="261" t="str">
        <f>IF('26'!D57="","",'26'!D57)</f>
        <v/>
      </c>
      <c r="E57" s="136" t="str">
        <f>IF('26'!E57="","",'26'!E57)</f>
        <v/>
      </c>
      <c r="F57" s="261" t="str">
        <f>IF('26'!F57="","",'26'!F57)</f>
        <v/>
      </c>
      <c r="G57" s="136" t="str">
        <f>IF('26'!G57="","",'26'!G57)</f>
        <v/>
      </c>
    </row>
    <row r="58" spans="1:7" ht="23.1" customHeight="1">
      <c r="A58" s="136" t="str">
        <f>IF('26'!A58="","",'26'!A58)</f>
        <v/>
      </c>
      <c r="B58" s="136">
        <f>IF('26'!B58="","",'26'!B58)</f>
        <v>45</v>
      </c>
      <c r="C58" s="136" t="str">
        <f>IF('26'!C58="","",'26'!C58)</f>
        <v/>
      </c>
      <c r="D58" s="261" t="str">
        <f>IF('26'!D58="","",'26'!D58)</f>
        <v/>
      </c>
      <c r="E58" s="136" t="str">
        <f>IF('26'!E58="","",'26'!E58)</f>
        <v/>
      </c>
      <c r="F58" s="261" t="str">
        <f>IF('26'!F58="","",'26'!F58)</f>
        <v/>
      </c>
      <c r="G58" s="136" t="str">
        <f>IF('26'!G58="","",'26'!G58)</f>
        <v/>
      </c>
    </row>
    <row r="59" spans="1:7" ht="23.1" customHeight="1">
      <c r="A59" s="16" t="str">
        <f>IF('26'!A59="","",'26'!A59)</f>
        <v/>
      </c>
      <c r="B59" s="16">
        <f>IF('26'!B59="","",'26'!B59)</f>
        <v>46</v>
      </c>
      <c r="C59" s="17" t="str">
        <f>IF('26'!C60="","",'26'!C60)</f>
        <v/>
      </c>
      <c r="D59" s="249" t="str">
        <f>IF('26'!D60="","",'26'!D60)</f>
        <v/>
      </c>
      <c r="E59" s="17" t="str">
        <f>IF('26'!E60="","",'26'!E60)</f>
        <v/>
      </c>
      <c r="F59" s="249" t="str">
        <f>IF('26'!F60="","",'26'!F60)</f>
        <v/>
      </c>
      <c r="G59" s="17" t="str">
        <f>IF('26'!G60="","",'26'!G60)</f>
        <v/>
      </c>
    </row>
    <row r="60" spans="1:7" ht="23.1" customHeight="1">
      <c r="A60" s="16" t="str">
        <f>IF('26'!A60="","",'26'!A60)</f>
        <v/>
      </c>
      <c r="B60" s="16">
        <f>IF('26'!B60="","",'26'!B60)</f>
        <v>47</v>
      </c>
      <c r="C60" s="17" t="str">
        <f>IF('26'!C61="","",'26'!C61)</f>
        <v/>
      </c>
      <c r="D60" s="249" t="str">
        <f>IF('26'!D61="","",'26'!D61)</f>
        <v/>
      </c>
      <c r="E60" s="17" t="str">
        <f>IF('26'!E61="","",'26'!E61)</f>
        <v/>
      </c>
      <c r="F60" s="249" t="str">
        <f>IF('26'!F61="","",'26'!F61)</f>
        <v/>
      </c>
      <c r="G60" s="17" t="str">
        <f>IF('26'!G61="","",'26'!G61)</f>
        <v/>
      </c>
    </row>
    <row r="61" spans="1:7" ht="23.1" customHeight="1">
      <c r="A61" s="16" t="str">
        <f>IF('26'!A61="","",'26'!A61)</f>
        <v/>
      </c>
      <c r="B61" s="16">
        <f>IF('26'!B61="","",'26'!B61)</f>
        <v>48</v>
      </c>
      <c r="C61" s="17" t="str">
        <f>IF('26'!C62="","",'26'!C62)</f>
        <v/>
      </c>
      <c r="D61" s="249" t="str">
        <f>IF('26'!D62="","",'26'!D62)</f>
        <v/>
      </c>
      <c r="E61" s="17" t="str">
        <f>IF('26'!E62="","",'26'!E62)</f>
        <v/>
      </c>
      <c r="F61" s="249" t="str">
        <f>IF('26'!F62="","",'26'!F62)</f>
        <v/>
      </c>
      <c r="G61" s="17" t="str">
        <f>IF('26'!G62="","",'26'!G62)</f>
        <v/>
      </c>
    </row>
    <row r="62" spans="1:7" ht="23.1" customHeight="1">
      <c r="A62" s="16" t="str">
        <f>IF('26'!A62="","",'26'!A62)</f>
        <v/>
      </c>
      <c r="B62" s="16">
        <f>IF('26'!B62="","",'26'!B62)</f>
        <v>49</v>
      </c>
      <c r="C62" s="17" t="str">
        <f>IF('26'!C63="","",'26'!C63)</f>
        <v/>
      </c>
      <c r="D62" s="249" t="str">
        <f>IF('26'!D63="","",'26'!D63)</f>
        <v/>
      </c>
      <c r="E62" s="17" t="str">
        <f>IF('26'!E63="","",'26'!E63)</f>
        <v/>
      </c>
      <c r="F62" s="249" t="str">
        <f>IF('26'!F63="","",'26'!F63)</f>
        <v/>
      </c>
      <c r="G62" s="17" t="str">
        <f>IF('26'!G63="","",'26'!G63)</f>
        <v/>
      </c>
    </row>
    <row r="63" spans="1:7" ht="23.1" customHeight="1">
      <c r="A63" s="16" t="str">
        <f>IF('26'!A63="","",'26'!A63)</f>
        <v/>
      </c>
      <c r="B63" s="16">
        <f>IF('26'!B63="","",'26'!B63)</f>
        <v>50</v>
      </c>
      <c r="C63" s="17" t="str">
        <f>IF('26'!C64="","",'26'!C64)</f>
        <v/>
      </c>
      <c r="D63" s="249" t="str">
        <f>IF('26'!D64="","",'26'!D64)</f>
        <v/>
      </c>
      <c r="E63" s="17" t="str">
        <f>IF('26'!E64="","",'26'!E64)</f>
        <v/>
      </c>
      <c r="F63" s="249" t="str">
        <f>IF('26'!F64="","",'26'!F64)</f>
        <v/>
      </c>
      <c r="G63" s="17" t="str">
        <f>IF('26'!G64="","",'26'!G64)</f>
        <v/>
      </c>
    </row>
    <row r="64" spans="1:7" ht="23.1" customHeight="1">
      <c r="A64" s="16" t="str">
        <f>IF('26'!A64="","",'26'!A64)</f>
        <v/>
      </c>
      <c r="B64" s="16">
        <f>IF('26'!B64="","",'26'!B64)</f>
        <v>51</v>
      </c>
      <c r="C64" s="17" t="str">
        <f>IF('26'!C65="","",'26'!C65)</f>
        <v/>
      </c>
      <c r="D64" s="249" t="str">
        <f>IF('26'!D65="","",'26'!D65)</f>
        <v/>
      </c>
      <c r="E64" s="17" t="str">
        <f>IF('26'!E65="","",'26'!E65)</f>
        <v/>
      </c>
      <c r="F64" s="249" t="str">
        <f>IF('26'!F65="","",'26'!F65)</f>
        <v/>
      </c>
      <c r="G64" s="17" t="str">
        <f>IF('26'!G65="","",'26'!G65)</f>
        <v/>
      </c>
    </row>
    <row r="65" spans="1:7" ht="23.1" customHeight="1">
      <c r="A65" s="16" t="str">
        <f>IF('26'!A65="","",'26'!A65)</f>
        <v/>
      </c>
      <c r="B65" s="16">
        <f>IF('26'!B65="","",'26'!B65)</f>
        <v>52</v>
      </c>
      <c r="C65" s="17" t="str">
        <f>IF('26'!C66="","",'26'!C66)</f>
        <v/>
      </c>
      <c r="D65" s="249" t="str">
        <f>IF('26'!D66="","",'26'!D66)</f>
        <v/>
      </c>
      <c r="E65" s="17" t="str">
        <f>IF('26'!E66="","",'26'!E66)</f>
        <v/>
      </c>
      <c r="F65" s="249" t="str">
        <f>IF('26'!F66="","",'26'!F66)</f>
        <v/>
      </c>
      <c r="G65" s="17" t="str">
        <f>IF('26'!G66="","",'26'!G66)</f>
        <v/>
      </c>
    </row>
    <row r="66" spans="1:7" ht="23.1" customHeight="1">
      <c r="A66" s="16" t="str">
        <f>IF('26'!A66="","",'26'!A66)</f>
        <v/>
      </c>
      <c r="B66" s="16">
        <f>IF('26'!B66="","",'26'!B66)</f>
        <v>53</v>
      </c>
      <c r="C66" s="17" t="str">
        <f>IF('26'!C66="","",'26'!C66)</f>
        <v/>
      </c>
      <c r="D66" s="249" t="str">
        <f>IF('26'!D66="","",'26'!D66)</f>
        <v/>
      </c>
      <c r="E66" s="17" t="str">
        <f>IF('26'!E66="","",'26'!E66)</f>
        <v/>
      </c>
      <c r="F66" s="249" t="str">
        <f>IF('26'!F66="","",'26'!F66)</f>
        <v/>
      </c>
      <c r="G66" s="17" t="str">
        <f>IF('26'!G66="","",'26'!G66)</f>
        <v/>
      </c>
    </row>
    <row r="67" spans="1:7" ht="23.1" customHeight="1">
      <c r="A67" s="16" t="str">
        <f>IF('26'!A67="","",'26'!A67)</f>
        <v/>
      </c>
      <c r="B67" s="16">
        <f>IF('26'!B67="","",'26'!B67)</f>
        <v>54</v>
      </c>
      <c r="C67" s="17" t="str">
        <f>IF('26'!C67="","",'26'!C67)</f>
        <v/>
      </c>
      <c r="D67" s="249" t="str">
        <f>IF('26'!D67="","",'26'!D67)</f>
        <v/>
      </c>
      <c r="E67" s="17" t="str">
        <f>IF('26'!E67="","",'26'!E67)</f>
        <v/>
      </c>
      <c r="F67" s="249" t="str">
        <f>IF('26'!F67="","",'26'!F67)</f>
        <v/>
      </c>
      <c r="G67" s="17" t="str">
        <f>IF('26'!G67="","",'26'!G67)</f>
        <v/>
      </c>
    </row>
    <row r="68" spans="1:7" ht="23.1" customHeight="1">
      <c r="A68" s="16" t="str">
        <f>IF('26'!A68="","",'26'!A68)</f>
        <v/>
      </c>
      <c r="B68" s="16">
        <f>IF('26'!B68="","",'26'!B68)</f>
        <v>55</v>
      </c>
      <c r="C68" s="17" t="str">
        <f>IF('26'!C68="","",'26'!C68)</f>
        <v/>
      </c>
      <c r="D68" s="249" t="str">
        <f>IF('26'!D68="","",'26'!D68)</f>
        <v/>
      </c>
      <c r="E68" s="17" t="str">
        <f>IF('26'!E68="","",'26'!E68)</f>
        <v/>
      </c>
      <c r="F68" s="249" t="str">
        <f>IF('26'!F68="","",'26'!F68)</f>
        <v/>
      </c>
      <c r="G68" s="17" t="str">
        <f>IF('26'!G68="","",'26'!G68)</f>
        <v/>
      </c>
    </row>
    <row r="69" spans="1:7" ht="23.1" customHeight="1">
      <c r="A69" s="16" t="str">
        <f>IF('26'!A69="","",'26'!A69)</f>
        <v/>
      </c>
      <c r="B69" s="16">
        <f>IF('26'!B69="","",'26'!B69)</f>
        <v>56</v>
      </c>
      <c r="C69" s="17" t="str">
        <f>IF('26'!C69="","",'26'!C69)</f>
        <v/>
      </c>
      <c r="D69" s="249" t="str">
        <f>IF('26'!D69="","",'26'!D69)</f>
        <v/>
      </c>
      <c r="E69" s="17" t="str">
        <f>IF('26'!E69="","",'26'!E69)</f>
        <v/>
      </c>
      <c r="F69" s="249" t="str">
        <f>IF('26'!F69="","",'26'!F69)</f>
        <v/>
      </c>
      <c r="G69" s="17" t="str">
        <f>IF('26'!G69="","",'26'!G69)</f>
        <v/>
      </c>
    </row>
    <row r="70" spans="1:7" ht="23.1" customHeight="1">
      <c r="A70" s="16" t="str">
        <f>IF('26'!A70="","",'26'!A70)</f>
        <v/>
      </c>
      <c r="B70" s="16">
        <f>IF('26'!B70="","",'26'!B70)</f>
        <v>57</v>
      </c>
      <c r="C70" s="17" t="str">
        <f>IF('26'!C70="","",'26'!C70)</f>
        <v/>
      </c>
      <c r="D70" s="249" t="str">
        <f>IF('26'!D70="","",'26'!D70)</f>
        <v/>
      </c>
      <c r="E70" s="17" t="str">
        <f>IF('26'!E70="","",'26'!E70)</f>
        <v/>
      </c>
      <c r="F70" s="249" t="str">
        <f>IF('26'!F70="","",'26'!F70)</f>
        <v/>
      </c>
      <c r="G70" s="17" t="str">
        <f>IF('26'!G70="","",'26'!G70)</f>
        <v/>
      </c>
    </row>
    <row r="71" spans="1:7" ht="23.1" customHeight="1">
      <c r="A71" s="16" t="str">
        <f>IF('26'!A71="","",'26'!A71)</f>
        <v/>
      </c>
      <c r="B71" s="16">
        <f>IF('26'!B71="","",'26'!B71)</f>
        <v>58</v>
      </c>
      <c r="C71" s="17" t="str">
        <f>IF('26'!C71="","",'26'!C71)</f>
        <v/>
      </c>
      <c r="D71" s="249" t="str">
        <f>IF('26'!D71="","",'26'!D71)</f>
        <v/>
      </c>
      <c r="E71" s="17" t="str">
        <f>IF('26'!E71="","",'26'!E71)</f>
        <v/>
      </c>
      <c r="F71" s="249" t="str">
        <f>IF('26'!F71="","",'26'!F71)</f>
        <v/>
      </c>
      <c r="G71" s="17" t="str">
        <f>IF('26'!G71="","",'26'!G71)</f>
        <v/>
      </c>
    </row>
    <row r="72" spans="1:7" ht="23.1" customHeight="1">
      <c r="A72" s="16" t="str">
        <f>IF('26'!A72="","",'26'!A72)</f>
        <v/>
      </c>
      <c r="B72" s="16">
        <f>IF('26'!B72="","",'26'!B72)</f>
        <v>59</v>
      </c>
      <c r="C72" s="17" t="str">
        <f>IF('26'!C72="","",'26'!C72)</f>
        <v/>
      </c>
      <c r="D72" s="249" t="str">
        <f>IF('26'!D72="","",'26'!D72)</f>
        <v/>
      </c>
      <c r="E72" s="17" t="str">
        <f>IF('26'!E72="","",'26'!E72)</f>
        <v/>
      </c>
      <c r="F72" s="249" t="str">
        <f>IF('26'!F72="","",'26'!F72)</f>
        <v/>
      </c>
      <c r="G72" s="17" t="str">
        <f>IF('26'!G72="","",'26'!G72)</f>
        <v/>
      </c>
    </row>
    <row r="73" spans="1:7" ht="23.1" customHeight="1">
      <c r="A73" s="16" t="str">
        <f>IF('26'!A73="","",'26'!A73)</f>
        <v/>
      </c>
      <c r="B73" s="16">
        <f>IF('26'!B73="","",'26'!B73)</f>
        <v>60</v>
      </c>
      <c r="C73" s="17" t="str">
        <f>IF('26'!C73="","",'26'!C73)</f>
        <v/>
      </c>
      <c r="D73" s="249" t="str">
        <f>IF('26'!D73="","",'26'!D73)</f>
        <v/>
      </c>
      <c r="E73" s="17" t="str">
        <f>IF('26'!E73="","",'26'!E73)</f>
        <v/>
      </c>
      <c r="F73" s="249" t="str">
        <f>IF('26'!F73="","",'26'!F73)</f>
        <v/>
      </c>
      <c r="G73" s="17" t="str">
        <f>IF('26'!G73="","",'26'!G73)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A3FF6-6558-4B5E-A48D-3E847836852F}">
  <sheetPr codeName="Sheet16">
    <tabColor rgb="FF0070C0"/>
  </sheetPr>
  <dimension ref="A4:J16"/>
  <sheetViews>
    <sheetView view="pageBreakPreview" topLeftCell="A4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'27_中C'!C7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'27_中C'!B8</f>
        <v>27</v>
      </c>
      <c r="C6" s="142" t="s">
        <v>42</v>
      </c>
      <c r="D6" s="145" t="str">
        <f>'27_中C'!D8:F8</f>
        <v>フジ中障害飛越競技Cファイナル（二段階）</v>
      </c>
    </row>
    <row r="8" spans="1:10" ht="30" customHeight="1">
      <c r="C8" s="142" t="s">
        <v>604</v>
      </c>
      <c r="E8" s="147" t="e">
        <f>#REF!</f>
        <v>#REF!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319" t="s">
        <v>620</v>
      </c>
      <c r="E12" s="319"/>
      <c r="F12" s="146"/>
      <c r="G12" s="146"/>
    </row>
    <row r="13" spans="1:10" ht="30" customHeight="1">
      <c r="C13" s="142" t="s">
        <v>610</v>
      </c>
      <c r="D13" s="319" t="s">
        <v>621</v>
      </c>
      <c r="E13" s="319"/>
      <c r="F13" s="146"/>
      <c r="G13" s="146"/>
    </row>
    <row r="14" spans="1:10" ht="30" customHeight="1">
      <c r="C14" s="142" t="s">
        <v>612</v>
      </c>
      <c r="D14" s="319" t="s">
        <v>617</v>
      </c>
      <c r="E14" s="319"/>
      <c r="G14" s="146"/>
    </row>
    <row r="15" spans="1:10" ht="30" customHeight="1">
      <c r="C15" s="142" t="s">
        <v>613</v>
      </c>
      <c r="D15" s="319" t="s">
        <v>609</v>
      </c>
      <c r="E15" s="319"/>
      <c r="G15" s="146"/>
    </row>
    <row r="16" spans="1:10" ht="30" customHeight="1">
      <c r="C16" s="142" t="s">
        <v>614</v>
      </c>
      <c r="D16" s="319" t="s">
        <v>622</v>
      </c>
      <c r="E16" s="319"/>
      <c r="F16" s="145"/>
      <c r="G16" s="145"/>
    </row>
  </sheetData>
  <mergeCells count="7">
    <mergeCell ref="D16:E16"/>
    <mergeCell ref="A4:J4"/>
    <mergeCell ref="C11:G11"/>
    <mergeCell ref="D12:E12"/>
    <mergeCell ref="D13:E13"/>
    <mergeCell ref="D14:E14"/>
    <mergeCell ref="D15:E15"/>
  </mergeCells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07325-2B3B-4C64-8D3C-8828EBEB32F2}">
  <sheetPr codeName="Sheet17">
    <tabColor rgb="FF0070C0"/>
  </sheetPr>
  <dimension ref="A4:J16"/>
  <sheetViews>
    <sheetView view="pageBreakPreview" topLeftCell="A5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8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'27_中C'!C7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'27_中C'!B8</f>
        <v>27</v>
      </c>
      <c r="C6" s="142" t="s">
        <v>42</v>
      </c>
      <c r="D6" s="145" t="str">
        <f>'27'!F4</f>
        <v>フジ中障害飛越競技Cファイナル（二段階）</v>
      </c>
    </row>
    <row r="8" spans="1:10" ht="30" customHeight="1">
      <c r="C8" s="142" t="s">
        <v>604</v>
      </c>
      <c r="E8" s="149">
        <v>0.59375</v>
      </c>
    </row>
    <row r="9" spans="1:10" ht="30" customHeight="1">
      <c r="C9" s="142" t="s">
        <v>605</v>
      </c>
      <c r="E9" s="147">
        <v>0.60416666666666663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175">
        <v>100000</v>
      </c>
      <c r="F12" s="146"/>
      <c r="G12" s="146"/>
    </row>
    <row r="13" spans="1:10" ht="30" customHeight="1">
      <c r="C13" s="142" t="s">
        <v>610</v>
      </c>
      <c r="D13" s="175">
        <v>55000</v>
      </c>
      <c r="F13" s="146"/>
      <c r="G13" s="146"/>
    </row>
    <row r="14" spans="1:10" ht="30" customHeight="1">
      <c r="C14" s="142" t="s">
        <v>612</v>
      </c>
      <c r="D14" s="175">
        <v>35000</v>
      </c>
      <c r="G14" s="146"/>
    </row>
    <row r="15" spans="1:10" ht="30" customHeight="1">
      <c r="C15" s="142" t="s">
        <v>613</v>
      </c>
      <c r="D15" s="175">
        <v>30000</v>
      </c>
      <c r="G15" s="146"/>
    </row>
    <row r="16" spans="1:10" ht="30" customHeight="1">
      <c r="C16" s="142" t="s">
        <v>614</v>
      </c>
      <c r="D16" s="176">
        <v>25000</v>
      </c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0070C0"/>
  </sheetPr>
  <dimension ref="A1:G73"/>
  <sheetViews>
    <sheetView tabSelected="1" view="pageBreakPreview" topLeftCell="A6" zoomScaleNormal="100" zoomScaleSheetLayoutView="100" workbookViewId="0">
      <selection activeCell="G8" sqref="G8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'27'!C3</f>
        <v xml:space="preserve">2026 Fuji Horse Show Autumn Grand Prix </v>
      </c>
      <c r="D7" s="9"/>
      <c r="E7" s="9"/>
      <c r="F7" s="9"/>
      <c r="G7" s="308" t="s">
        <v>1528</v>
      </c>
    </row>
    <row r="8" spans="1:7" ht="21" customHeight="1">
      <c r="A8" s="10" t="s">
        <v>41</v>
      </c>
      <c r="B8" s="70">
        <f>'27'!C4</f>
        <v>27</v>
      </c>
      <c r="C8" s="4" t="s">
        <v>42</v>
      </c>
      <c r="D8" s="311" t="str">
        <f>'27'!F4</f>
        <v>フジ中障害飛越競技Cファイナル（二段階）</v>
      </c>
      <c r="E8" s="311"/>
      <c r="F8" s="311"/>
    </row>
    <row r="9" spans="1:7" ht="18.75" customHeight="1">
      <c r="C9" s="11" t="s">
        <v>11</v>
      </c>
      <c r="D9" s="247">
        <f>'27'!D5</f>
        <v>11</v>
      </c>
      <c r="E9" s="4" t="s">
        <v>9</v>
      </c>
      <c r="F9" s="250" t="str">
        <f>'27'!K4</f>
        <v>中障害C</v>
      </c>
    </row>
    <row r="10" spans="1:7" ht="21" customHeight="1">
      <c r="A10" s="12" t="s">
        <v>43</v>
      </c>
      <c r="B10" s="12"/>
      <c r="C10" s="12"/>
      <c r="D10" s="248" t="str">
        <f>'27'!D6</f>
        <v>-</v>
      </c>
      <c r="E10" s="4" t="s">
        <v>12</v>
      </c>
      <c r="F10" s="251" t="str">
        <f>'27'!F5</f>
        <v>★★★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IF('27'!A14="","",'27'!A14)</f>
        <v/>
      </c>
      <c r="B14" s="16">
        <f>IF('27'!B14="","",'27'!B14)</f>
        <v>1</v>
      </c>
      <c r="C14" s="17" t="str">
        <f>IF('27'!C14="","",'27'!C14)</f>
        <v>平山　麻由子</v>
      </c>
      <c r="D14" s="249">
        <f>IF('27'!D14="","",'27'!D14)</f>
        <v>18817</v>
      </c>
      <c r="E14" s="17" t="str">
        <f>IF('27'!E14="","",'27'!E14)</f>
        <v>ウィンクルム</v>
      </c>
      <c r="F14" s="249">
        <f>IF('27'!F14="","",'27'!F14)</f>
        <v>61767</v>
      </c>
      <c r="G14" s="17" t="str">
        <f>IF('27'!G14="","",'27'!G14)</f>
        <v>乗馬クラブニューシーズン御殿場</v>
      </c>
    </row>
    <row r="15" spans="1:7" s="19" customFormat="1" ht="23.1" customHeight="1">
      <c r="A15" s="16" t="str">
        <f>IF('27'!A15="","",'27'!A15)</f>
        <v/>
      </c>
      <c r="B15" s="16">
        <f>IF('27'!B15="","",'27'!B15)</f>
        <v>2</v>
      </c>
      <c r="C15" s="17" t="str">
        <f>IF('27'!C15="","",'27'!C15)</f>
        <v>伊藤　正平</v>
      </c>
      <c r="D15" s="249">
        <f>IF('27'!D15="","",'27'!D15)</f>
        <v>11976</v>
      </c>
      <c r="E15" s="17" t="str">
        <f>IF('27'!E15="","",'27'!E15)</f>
        <v>アカペラ</v>
      </c>
      <c r="F15" s="249">
        <f>IF('27'!F15="","",'27'!F15)</f>
        <v>61272</v>
      </c>
      <c r="G15" s="17" t="str">
        <f>IF('27'!G15="","",'27'!G15)</f>
        <v>乗馬クラブクレイン伊奈</v>
      </c>
    </row>
    <row r="16" spans="1:7" s="19" customFormat="1" ht="23.1" customHeight="1">
      <c r="A16" s="16" t="str">
        <f>IF('27'!A16="","",'27'!A16)</f>
        <v/>
      </c>
      <c r="B16" s="16">
        <f>IF('27'!B16="","",'27'!B16)</f>
        <v>3</v>
      </c>
      <c r="C16" s="17" t="str">
        <f>IF('27'!C16="","",'27'!C16)</f>
        <v>川口　飛鳥</v>
      </c>
      <c r="D16" s="249">
        <f>IF('27'!D16="","",'27'!D16)</f>
        <v>27498</v>
      </c>
      <c r="E16" s="17" t="str">
        <f>IF('27'!E16="","",'27'!E16)</f>
        <v>ハーベスト</v>
      </c>
      <c r="F16" s="249">
        <f>IF('27'!F16="","",'27'!F16)</f>
        <v>57212</v>
      </c>
      <c r="G16" s="17" t="str">
        <f>IF('27'!G16="","",'27'!G16)</f>
        <v>ライディングクラブフジファーム</v>
      </c>
    </row>
    <row r="17" spans="1:7" s="19" customFormat="1" ht="23.1" customHeight="1">
      <c r="A17" s="16" t="str">
        <f>IF('27'!A17="","",'27'!A17)</f>
        <v/>
      </c>
      <c r="B17" s="16">
        <f>IF('27'!B17="","",'27'!B17)</f>
        <v>4</v>
      </c>
      <c r="C17" s="17" t="str">
        <f>IF('27'!C17="","",'27'!C17)</f>
        <v>上原　健司郎</v>
      </c>
      <c r="D17" s="249">
        <f>IF('27'!D17="","",'27'!D17)</f>
        <v>32403</v>
      </c>
      <c r="E17" s="17" t="str">
        <f>IF('27'!E17="","",'27'!E17)</f>
        <v>蘭丸</v>
      </c>
      <c r="F17" s="249">
        <f>IF('27'!F17="","",'27'!F17)</f>
        <v>58733</v>
      </c>
      <c r="G17" s="17" t="str">
        <f>IF('27'!G17="","",'27'!G17)</f>
        <v>八王子乗馬倶楽部</v>
      </c>
    </row>
    <row r="18" spans="1:7" s="19" customFormat="1" ht="23.1" customHeight="1">
      <c r="A18" s="16" t="str">
        <f>IF('27'!A18="","",'27'!A18)</f>
        <v/>
      </c>
      <c r="B18" s="16">
        <f>IF('27'!B18="","",'27'!B18)</f>
        <v>5</v>
      </c>
      <c r="C18" s="17" t="str">
        <f>IF('27'!C18="","",'27'!C18)</f>
        <v>阿部　成海</v>
      </c>
      <c r="D18" s="249">
        <f>IF('27'!D18="","",'27'!D18)</f>
        <v>32390</v>
      </c>
      <c r="E18" s="17" t="str">
        <f>IF('27'!E18="","",'27'!E18)</f>
        <v>コアインパルス</v>
      </c>
      <c r="F18" s="249">
        <f>IF('27'!F18="","",'27'!F18)</f>
        <v>59574</v>
      </c>
      <c r="G18" s="17" t="str">
        <f>IF('27'!G18="","",'27'!G18)</f>
        <v>やまがた乗馬クラブ</v>
      </c>
    </row>
    <row r="19" spans="1:7" s="19" customFormat="1" ht="23.1" customHeight="1">
      <c r="A19" s="16" t="str">
        <f>IF('27'!A19="","",'27'!A19)</f>
        <v/>
      </c>
      <c r="B19" s="16">
        <f>IF('27'!B19="","",'27'!B19)</f>
        <v>6</v>
      </c>
      <c r="C19" s="17" t="str">
        <f>IF('27'!C19="","",'27'!C19)</f>
        <v>遠藤　めい</v>
      </c>
      <c r="D19" s="249">
        <f>IF('27'!D19="","",'27'!D19)</f>
        <v>27382</v>
      </c>
      <c r="E19" s="17" t="str">
        <f>IF('27'!E19="","",'27'!E19)</f>
        <v>カールブルー</v>
      </c>
      <c r="F19" s="249">
        <f>IF('27'!F19="","",'27'!F19)</f>
        <v>61157</v>
      </c>
      <c r="G19" s="17" t="str">
        <f>IF('27'!G19="","",'27'!G19)</f>
        <v>riding team Regroup</v>
      </c>
    </row>
    <row r="20" spans="1:7" s="19" customFormat="1" ht="23.1" customHeight="1">
      <c r="A20" s="16" t="str">
        <f>IF('27'!A20="","",'27'!A20)</f>
        <v/>
      </c>
      <c r="B20" s="16">
        <f>IF('27'!B20="","",'27'!B20)</f>
        <v>7</v>
      </c>
      <c r="C20" s="17" t="str">
        <f>IF('27'!C20="","",'27'!C20)</f>
        <v>當間　桃子</v>
      </c>
      <c r="D20" s="249">
        <f>IF('27'!D20="","",'27'!D20)</f>
        <v>30276</v>
      </c>
      <c r="E20" s="17" t="str">
        <f>IF('27'!E20="","",'27'!E20)</f>
        <v>エドグリーヴァ</v>
      </c>
      <c r="F20" s="249">
        <f>IF('27'!F20="","",'27'!F20)</f>
        <v>61183</v>
      </c>
      <c r="G20" s="17" t="str">
        <f>IF('27'!G20="","",'27'!G20)</f>
        <v>STAR HORSES</v>
      </c>
    </row>
    <row r="21" spans="1:7" s="19" customFormat="1" ht="23.1" customHeight="1">
      <c r="A21" s="16" t="str">
        <f>IF('27'!A21="","",'27'!A21)</f>
        <v/>
      </c>
      <c r="B21" s="16">
        <f>IF('27'!B21="","",'27'!B21)</f>
        <v>8</v>
      </c>
      <c r="C21" s="17" t="str">
        <f>IF('27'!C21="","",'27'!C21)</f>
        <v>横田　真吾</v>
      </c>
      <c r="D21" s="249">
        <f>IF('27'!D21="","",'27'!D21)</f>
        <v>11693</v>
      </c>
      <c r="E21" s="17" t="str">
        <f>IF('27'!E21="","",'27'!E21)</f>
        <v>ハヤテ・ペガサス</v>
      </c>
      <c r="F21" s="249">
        <f>IF('27'!F21="","",'27'!F21)</f>
        <v>58584</v>
      </c>
      <c r="G21" s="17" t="str">
        <f>IF('27'!G21="","",'27'!G21)</f>
        <v>ペガサス乗馬クラブ</v>
      </c>
    </row>
    <row r="22" spans="1:7" s="19" customFormat="1" ht="23.1" customHeight="1">
      <c r="A22" s="16" t="str">
        <f>IF('27'!A22="","",'27'!A22)</f>
        <v/>
      </c>
      <c r="B22" s="16">
        <f>IF('27'!B22="","",'27'!B22)</f>
        <v>9</v>
      </c>
      <c r="C22" s="17" t="str">
        <f>IF('27'!C22="","",'27'!C22)</f>
        <v>宮井　果音</v>
      </c>
      <c r="D22" s="249">
        <f>IF('27'!D22="","",'27'!D22)</f>
        <v>31333</v>
      </c>
      <c r="E22" s="17" t="str">
        <f>IF('27'!E22="","",'27'!E22)</f>
        <v>カイレンバーリア</v>
      </c>
      <c r="F22" s="249">
        <f>IF('27'!F22="","",'27'!F22)</f>
        <v>60895</v>
      </c>
      <c r="G22" s="17" t="str">
        <f>IF('27'!G22="","",'27'!G22)</f>
        <v>riding team Regroup</v>
      </c>
    </row>
    <row r="23" spans="1:7" s="19" customFormat="1" ht="23.1" customHeight="1">
      <c r="A23" s="16" t="str">
        <f>IF('27'!A23="","",'27'!A23)</f>
        <v/>
      </c>
      <c r="B23" s="16">
        <f>IF('27'!B23="","",'27'!B23)</f>
        <v>10</v>
      </c>
      <c r="C23" s="17" t="str">
        <f>IF('27'!C23="","",'27'!C23)</f>
        <v>川口　大輔</v>
      </c>
      <c r="D23" s="249">
        <f>IF('27'!D23="","",'27'!D23)</f>
        <v>13141</v>
      </c>
      <c r="E23" s="17" t="str">
        <f>IF('27'!E23="","",'27'!E23)</f>
        <v>トランプカード</v>
      </c>
      <c r="F23" s="249">
        <f>IF('27'!F23="","",'27'!F23)</f>
        <v>60517</v>
      </c>
      <c r="G23" s="17" t="str">
        <f>IF('27'!G23="","",'27'!G23)</f>
        <v>ライディングクラブフジファーム</v>
      </c>
    </row>
    <row r="24" spans="1:7" s="19" customFormat="1" ht="23.1" customHeight="1">
      <c r="A24" s="16" t="str">
        <f>IF('27'!A24="","",'27'!A24)</f>
        <v/>
      </c>
      <c r="B24" s="16">
        <f>IF('27'!B24="","",'27'!B24)</f>
        <v>11</v>
      </c>
      <c r="C24" s="17" t="str">
        <f>IF('27'!C24="","",'27'!C24)</f>
        <v>桑原　咲季</v>
      </c>
      <c r="D24" s="249">
        <f>IF('27'!D24="","",'27'!D24)</f>
        <v>28809</v>
      </c>
      <c r="E24" s="17" t="str">
        <f>IF('27'!E24="","",'27'!E24)</f>
        <v>マルコS</v>
      </c>
      <c r="F24" s="249">
        <f>IF('27'!F24="","",'27'!F24)</f>
        <v>59063</v>
      </c>
      <c r="G24" s="17" t="str">
        <f>IF('27'!G24="","",'27'!G24)</f>
        <v>八王子乗馬倶楽部</v>
      </c>
    </row>
    <row r="25" spans="1:7" s="19" customFormat="1" ht="23.1" customHeight="1">
      <c r="A25" s="16" t="str">
        <f>IF('27'!A25="","",'27'!A25)</f>
        <v>WD</v>
      </c>
      <c r="B25" s="16">
        <f>IF('27'!B25="","",'27'!B25)</f>
        <v>12</v>
      </c>
      <c r="C25" s="17" t="str">
        <f>IF('27'!C25="","",'27'!C25)</f>
        <v>小泉　徹也</v>
      </c>
      <c r="D25" s="249">
        <f>IF('27'!D25="","",'27'!D25)</f>
        <v>30301</v>
      </c>
      <c r="E25" s="17" t="str">
        <f>IF('27'!E25="","",'27'!E25)</f>
        <v>フォーランダPS</v>
      </c>
      <c r="F25" s="249">
        <f>IF('27'!F25="","",'27'!F25)</f>
        <v>61511</v>
      </c>
      <c r="G25" s="17" t="str">
        <f>IF('27'!G25="","",'27'!G25)</f>
        <v>STAR HORSES</v>
      </c>
    </row>
    <row r="26" spans="1:7" s="19" customFormat="1" ht="23.1" customHeight="1">
      <c r="A26" s="16" t="str">
        <f>IF('27'!A26="","",'27'!A26)</f>
        <v/>
      </c>
      <c r="B26" s="16">
        <f>IF('27'!B26="","",'27'!B26)</f>
        <v>13</v>
      </c>
      <c r="C26" s="17" t="str">
        <f>IF('27'!C26="","",'27'!C26)</f>
        <v/>
      </c>
      <c r="D26" s="249" t="str">
        <f>IF('27'!D26="","",'27'!D26)</f>
        <v/>
      </c>
      <c r="E26" s="17" t="str">
        <f>IF('27'!E26="","",'27'!E26)</f>
        <v/>
      </c>
      <c r="F26" s="249" t="str">
        <f>IF('27'!F26="","",'27'!F26)</f>
        <v/>
      </c>
      <c r="G26" s="17" t="str">
        <f>IF('27'!G26="","",'27'!G26)</f>
        <v/>
      </c>
    </row>
    <row r="27" spans="1:7" s="19" customFormat="1" ht="23.1" customHeight="1">
      <c r="A27" s="16" t="str">
        <f>IF('27'!A27="","",'27'!A27)</f>
        <v/>
      </c>
      <c r="B27" s="16">
        <f>IF('27'!B27="","",'27'!B27)</f>
        <v>14</v>
      </c>
      <c r="C27" s="17" t="str">
        <f>IF('27'!C27="","",'27'!C27)</f>
        <v/>
      </c>
      <c r="D27" s="249" t="str">
        <f>IF('27'!D27="","",'27'!D27)</f>
        <v/>
      </c>
      <c r="E27" s="17" t="str">
        <f>IF('27'!E27="","",'27'!E27)</f>
        <v/>
      </c>
      <c r="F27" s="249" t="str">
        <f>IF('27'!F27="","",'27'!F27)</f>
        <v/>
      </c>
      <c r="G27" s="17" t="str">
        <f>IF('27'!G27="","",'27'!G27)</f>
        <v/>
      </c>
    </row>
    <row r="28" spans="1:7" s="19" customFormat="1" ht="23.1" customHeight="1">
      <c r="A28" s="16" t="str">
        <f>IF('27'!A28="","",'27'!A28)</f>
        <v/>
      </c>
      <c r="B28" s="16">
        <f>IF('27'!B28="","",'27'!B28)</f>
        <v>15</v>
      </c>
      <c r="C28" s="17" t="str">
        <f>IF('27'!C28="","",'27'!C28)</f>
        <v/>
      </c>
      <c r="D28" s="249" t="str">
        <f>IF('27'!D28="","",'27'!D28)</f>
        <v/>
      </c>
      <c r="E28" s="17" t="str">
        <f>IF('27'!E28="","",'27'!E28)</f>
        <v/>
      </c>
      <c r="F28" s="249" t="str">
        <f>IF('27'!F28="","",'27'!F28)</f>
        <v/>
      </c>
      <c r="G28" s="17" t="str">
        <f>IF('27'!G28="","",'27'!G28)</f>
        <v/>
      </c>
    </row>
    <row r="29" spans="1:7" s="19" customFormat="1" ht="23.1" customHeight="1">
      <c r="A29" s="16" t="str">
        <f>IF('27'!A29="","",'27'!A29)</f>
        <v/>
      </c>
      <c r="B29" s="16">
        <f>IF('27'!B29="","",'27'!B29)</f>
        <v>16</v>
      </c>
      <c r="C29" s="17" t="str">
        <f>IF('27'!C29="","",'27'!C29)</f>
        <v/>
      </c>
      <c r="D29" s="249" t="str">
        <f>IF('27'!D29="","",'27'!D29)</f>
        <v/>
      </c>
      <c r="E29" s="17" t="str">
        <f>IF('27'!E29="","",'27'!E29)</f>
        <v/>
      </c>
      <c r="F29" s="249" t="str">
        <f>IF('27'!F29="","",'27'!F29)</f>
        <v/>
      </c>
      <c r="G29" s="17" t="str">
        <f>IF('27'!G29="","",'27'!G29)</f>
        <v/>
      </c>
    </row>
    <row r="30" spans="1:7" s="19" customFormat="1" ht="23.1" customHeight="1">
      <c r="A30" s="16" t="str">
        <f>IF('27'!A30="","",'27'!A30)</f>
        <v/>
      </c>
      <c r="B30" s="16">
        <f>IF('27'!B30="","",'27'!B30)</f>
        <v>17</v>
      </c>
      <c r="C30" s="17" t="str">
        <f>IF('27'!C30="","",'27'!C30)</f>
        <v/>
      </c>
      <c r="D30" s="249" t="str">
        <f>IF('27'!D30="","",'27'!D30)</f>
        <v/>
      </c>
      <c r="E30" s="17" t="str">
        <f>IF('27'!E30="","",'27'!E30)</f>
        <v/>
      </c>
      <c r="F30" s="249" t="str">
        <f>IF('27'!F30="","",'27'!F30)</f>
        <v/>
      </c>
      <c r="G30" s="17" t="str">
        <f>IF('27'!G30="","",'27'!G30)</f>
        <v/>
      </c>
    </row>
    <row r="31" spans="1:7" s="19" customFormat="1" ht="23.1" customHeight="1">
      <c r="A31" s="16" t="str">
        <f>IF('27'!A31="","",'27'!A31)</f>
        <v/>
      </c>
      <c r="B31" s="16">
        <f>IF('27'!B31="","",'27'!B31)</f>
        <v>18</v>
      </c>
      <c r="C31" s="17" t="str">
        <f>IF('27'!C31="","",'27'!C31)</f>
        <v/>
      </c>
      <c r="D31" s="249" t="str">
        <f>IF('27'!D31="","",'27'!D31)</f>
        <v/>
      </c>
      <c r="E31" s="17" t="str">
        <f>IF('27'!E31="","",'27'!E31)</f>
        <v/>
      </c>
      <c r="F31" s="249" t="str">
        <f>IF('27'!F31="","",'27'!F31)</f>
        <v/>
      </c>
      <c r="G31" s="17" t="str">
        <f>IF('27'!G31="","",'27'!G31)</f>
        <v/>
      </c>
    </row>
    <row r="32" spans="1:7" s="19" customFormat="1" ht="23.1" customHeight="1">
      <c r="A32" s="16" t="str">
        <f>IF('27'!A32="","",'27'!A32)</f>
        <v/>
      </c>
      <c r="B32" s="16">
        <f>IF('27'!B32="","",'27'!B32)</f>
        <v>19</v>
      </c>
      <c r="C32" s="17" t="str">
        <f>IF('27'!C32="","",'27'!C32)</f>
        <v/>
      </c>
      <c r="D32" s="249" t="str">
        <f>IF('27'!D32="","",'27'!D32)</f>
        <v/>
      </c>
      <c r="E32" s="17" t="str">
        <f>IF('27'!E32="","",'27'!E32)</f>
        <v/>
      </c>
      <c r="F32" s="249" t="str">
        <f>IF('27'!F32="","",'27'!F32)</f>
        <v/>
      </c>
      <c r="G32" s="17" t="str">
        <f>IF('27'!G32="","",'27'!G32)</f>
        <v/>
      </c>
    </row>
    <row r="33" spans="1:7" s="19" customFormat="1" ht="23.1" customHeight="1">
      <c r="A33" s="16" t="str">
        <f>IF('27'!A33="","",'27'!A33)</f>
        <v/>
      </c>
      <c r="B33" s="16">
        <f>IF('27'!B33="","",'27'!B33)</f>
        <v>20</v>
      </c>
      <c r="C33" s="17" t="str">
        <f>IF('27'!C33="","",'27'!C33)</f>
        <v/>
      </c>
      <c r="D33" s="249" t="str">
        <f>IF('27'!D33="","",'27'!D33)</f>
        <v/>
      </c>
      <c r="E33" s="17" t="str">
        <f>IF('27'!E33="","",'27'!E33)</f>
        <v/>
      </c>
      <c r="F33" s="249" t="str">
        <f>IF('27'!F33="","",'27'!F33)</f>
        <v/>
      </c>
      <c r="G33" s="17" t="str">
        <f>IF('27'!G33="","",'27'!G33)</f>
        <v/>
      </c>
    </row>
    <row r="34" spans="1:7" s="19" customFormat="1" ht="23.1" customHeight="1">
      <c r="A34" s="16" t="str">
        <f>IF('27'!A34="","",'27'!A34)</f>
        <v/>
      </c>
      <c r="B34" s="16">
        <f>IF('27'!B34="","",'27'!B34)</f>
        <v>21</v>
      </c>
      <c r="C34" s="17" t="str">
        <f>IF('27'!C34="","",'27'!C34)</f>
        <v/>
      </c>
      <c r="D34" s="249" t="str">
        <f>IF('27'!D34="","",'27'!D34)</f>
        <v/>
      </c>
      <c r="E34" s="17" t="str">
        <f>IF('27'!E34="","",'27'!E34)</f>
        <v/>
      </c>
      <c r="F34" s="249" t="str">
        <f>IF('27'!F34="","",'27'!F34)</f>
        <v/>
      </c>
      <c r="G34" s="17" t="str">
        <f>IF('27'!G34="","",'27'!G34)</f>
        <v/>
      </c>
    </row>
    <row r="35" spans="1:7" s="19" customFormat="1" ht="23.1" customHeight="1">
      <c r="A35" s="16" t="str">
        <f>IF('27'!A35="","",'27'!A35)</f>
        <v/>
      </c>
      <c r="B35" s="16">
        <f>IF('27'!B35="","",'27'!B35)</f>
        <v>22</v>
      </c>
      <c r="C35" s="17" t="str">
        <f>IF('27'!C35="","",'27'!C35)</f>
        <v/>
      </c>
      <c r="D35" s="249" t="str">
        <f>IF('27'!D35="","",'27'!D35)</f>
        <v/>
      </c>
      <c r="E35" s="17" t="str">
        <f>IF('27'!E35="","",'27'!E35)</f>
        <v/>
      </c>
      <c r="F35" s="249" t="str">
        <f>IF('27'!F35="","",'27'!F35)</f>
        <v/>
      </c>
      <c r="G35" s="17" t="str">
        <f>IF('27'!G35="","",'27'!G35)</f>
        <v/>
      </c>
    </row>
    <row r="36" spans="1:7" s="19" customFormat="1" ht="23.1" customHeight="1">
      <c r="A36" s="16" t="str">
        <f>IF('27'!A36="","",'27'!A36)</f>
        <v/>
      </c>
      <c r="B36" s="16">
        <f>IF('27'!B36="","",'27'!B36)</f>
        <v>23</v>
      </c>
      <c r="C36" s="17" t="str">
        <f>IF('27'!C36="","",'27'!C36)</f>
        <v/>
      </c>
      <c r="D36" s="249" t="str">
        <f>IF('27'!D36="","",'27'!D36)</f>
        <v/>
      </c>
      <c r="E36" s="17" t="str">
        <f>IF('27'!E36="","",'27'!E36)</f>
        <v/>
      </c>
      <c r="F36" s="249" t="str">
        <f>IF('27'!F36="","",'27'!F36)</f>
        <v/>
      </c>
      <c r="G36" s="17" t="str">
        <f>IF('27'!G36="","",'27'!G36)</f>
        <v/>
      </c>
    </row>
    <row r="37" spans="1:7" s="19" customFormat="1" ht="23.1" customHeight="1">
      <c r="A37" s="16" t="str">
        <f>IF('27'!A37="","",'27'!A37)</f>
        <v/>
      </c>
      <c r="B37" s="16">
        <f>IF('27'!B37="","",'27'!B37)</f>
        <v>24</v>
      </c>
      <c r="C37" s="17" t="str">
        <f>IF('27'!C37="","",'27'!C37)</f>
        <v/>
      </c>
      <c r="D37" s="249" t="str">
        <f>IF('27'!D37="","",'27'!D37)</f>
        <v/>
      </c>
      <c r="E37" s="17" t="str">
        <f>IF('27'!E37="","",'27'!E37)</f>
        <v/>
      </c>
      <c r="F37" s="249" t="str">
        <f>IF('27'!F37="","",'27'!F37)</f>
        <v/>
      </c>
      <c r="G37" s="17" t="str">
        <f>IF('27'!G37="","",'27'!G37)</f>
        <v/>
      </c>
    </row>
    <row r="38" spans="1:7" s="19" customFormat="1" ht="23.1" customHeight="1">
      <c r="A38" s="16" t="str">
        <f>IF('27'!A38="","",'27'!A38)</f>
        <v/>
      </c>
      <c r="B38" s="16">
        <f>IF('27'!B38="","",'27'!B38)</f>
        <v>25</v>
      </c>
      <c r="C38" s="17" t="str">
        <f>IF('27'!C38="","",'27'!C38)</f>
        <v/>
      </c>
      <c r="D38" s="249" t="str">
        <f>IF('27'!D38="","",'27'!D38)</f>
        <v/>
      </c>
      <c r="E38" s="17" t="str">
        <f>IF('27'!E38="","",'27'!E38)</f>
        <v/>
      </c>
      <c r="F38" s="249" t="str">
        <f>IF('27'!F38="","",'27'!F38)</f>
        <v/>
      </c>
      <c r="G38" s="17" t="str">
        <f>IF('27'!G38="","",'27'!G38)</f>
        <v/>
      </c>
    </row>
    <row r="39" spans="1:7" s="19" customFormat="1" ht="23.1" customHeight="1">
      <c r="A39" s="16" t="str">
        <f>IF('27'!A39="","",'27'!A39)</f>
        <v/>
      </c>
      <c r="B39" s="16">
        <f>IF('27'!B39="","",'27'!B39)</f>
        <v>26</v>
      </c>
      <c r="C39" s="17" t="str">
        <f>IF('27'!C39="","",'27'!C39)</f>
        <v/>
      </c>
      <c r="D39" s="249" t="str">
        <f>IF('27'!D39="","",'27'!D39)</f>
        <v/>
      </c>
      <c r="E39" s="17" t="str">
        <f>IF('27'!E39="","",'27'!E39)</f>
        <v/>
      </c>
      <c r="F39" s="249" t="str">
        <f>IF('27'!F39="","",'27'!F39)</f>
        <v/>
      </c>
      <c r="G39" s="17" t="str">
        <f>IF('27'!G39="","",'27'!G39)</f>
        <v/>
      </c>
    </row>
    <row r="40" spans="1:7" s="19" customFormat="1" ht="23.1" customHeight="1">
      <c r="A40" s="16" t="str">
        <f>IF('27'!A40="","",'27'!A40)</f>
        <v/>
      </c>
      <c r="B40" s="16">
        <f>IF('27'!B40="","",'27'!B40)</f>
        <v>27</v>
      </c>
      <c r="C40" s="17" t="str">
        <f>IF('27'!C40="","",'27'!C40)</f>
        <v/>
      </c>
      <c r="D40" s="249" t="str">
        <f>IF('27'!D40="","",'27'!D40)</f>
        <v/>
      </c>
      <c r="E40" s="17" t="str">
        <f>IF('27'!E40="","",'27'!E40)</f>
        <v/>
      </c>
      <c r="F40" s="249" t="str">
        <f>IF('27'!F40="","",'27'!F40)</f>
        <v/>
      </c>
      <c r="G40" s="17" t="str">
        <f>IF('27'!G40="","",'27'!G40)</f>
        <v/>
      </c>
    </row>
    <row r="41" spans="1:7" s="19" customFormat="1" ht="23.1" customHeight="1">
      <c r="A41" s="16" t="str">
        <f>IF('27'!A41="","",'27'!A41)</f>
        <v/>
      </c>
      <c r="B41" s="16">
        <f>IF('27'!B41="","",'27'!B41)</f>
        <v>28</v>
      </c>
      <c r="C41" s="17" t="str">
        <f>IF('27'!C41="","",'27'!C41)</f>
        <v/>
      </c>
      <c r="D41" s="249" t="str">
        <f>IF('27'!D41="","",'27'!D41)</f>
        <v/>
      </c>
      <c r="E41" s="17" t="str">
        <f>IF('27'!E41="","",'27'!E41)</f>
        <v/>
      </c>
      <c r="F41" s="249" t="str">
        <f>IF('27'!F41="","",'27'!F41)</f>
        <v/>
      </c>
      <c r="G41" s="17" t="str">
        <f>IF('27'!G41="","",'27'!G41)</f>
        <v/>
      </c>
    </row>
    <row r="42" spans="1:7" s="19" customFormat="1" ht="23.1" customHeight="1">
      <c r="A42" s="16" t="str">
        <f>IF('27'!A42="","",'27'!A42)</f>
        <v/>
      </c>
      <c r="B42" s="16">
        <f>IF('27'!B42="","",'27'!B42)</f>
        <v>29</v>
      </c>
      <c r="C42" s="17" t="str">
        <f>IF('27'!C42="","",'27'!C42)</f>
        <v/>
      </c>
      <c r="D42" s="249" t="str">
        <f>IF('27'!D42="","",'27'!D42)</f>
        <v/>
      </c>
      <c r="E42" s="17" t="str">
        <f>IF('27'!E42="","",'27'!E42)</f>
        <v/>
      </c>
      <c r="F42" s="249" t="str">
        <f>IF('27'!F42="","",'27'!F42)</f>
        <v/>
      </c>
      <c r="G42" s="17" t="str">
        <f>IF('27'!G42="","",'27'!G42)</f>
        <v/>
      </c>
    </row>
    <row r="43" spans="1:7" s="19" customFormat="1" ht="23.1" customHeight="1">
      <c r="A43" s="16" t="str">
        <f>IF('27'!A43="","",'27'!A43)</f>
        <v/>
      </c>
      <c r="B43" s="16">
        <f>IF('27'!B43="","",'27'!B43)</f>
        <v>30</v>
      </c>
      <c r="C43" s="17" t="str">
        <f>IF('27'!C43="","",'27'!C43)</f>
        <v/>
      </c>
      <c r="D43" s="249" t="str">
        <f>IF('27'!D43="","",'27'!D43)</f>
        <v/>
      </c>
      <c r="E43" s="17" t="str">
        <f>IF('27'!E43="","",'27'!E43)</f>
        <v/>
      </c>
      <c r="F43" s="249" t="str">
        <f>IF('27'!F43="","",'27'!F43)</f>
        <v/>
      </c>
      <c r="G43" s="17" t="str">
        <f>IF('27'!G43="","",'27'!G43)</f>
        <v/>
      </c>
    </row>
    <row r="44" spans="1:7" ht="23.1" customHeight="1">
      <c r="A44" s="16" t="str">
        <f>IF('27'!A44="","",'27'!A44)</f>
        <v/>
      </c>
      <c r="B44" s="16">
        <f>IF('27'!B44="","",'27'!B44)</f>
        <v>31</v>
      </c>
      <c r="C44" s="17" t="str">
        <f>IF('27'!C44="","",'27'!C44)</f>
        <v/>
      </c>
      <c r="D44" s="249" t="str">
        <f>IF('27'!D44="","",'27'!D44)</f>
        <v/>
      </c>
      <c r="E44" s="17" t="str">
        <f>IF('27'!E44="","",'27'!E44)</f>
        <v/>
      </c>
      <c r="F44" s="249" t="str">
        <f>IF('27'!F44="","",'27'!F44)</f>
        <v/>
      </c>
      <c r="G44" s="17" t="str">
        <f>IF('27'!G44="","",'27'!G44)</f>
        <v/>
      </c>
    </row>
    <row r="45" spans="1:7" ht="23.1" customHeight="1">
      <c r="A45" s="16" t="str">
        <f>IF('27'!A45="","",'27'!A45)</f>
        <v/>
      </c>
      <c r="B45" s="16">
        <f>IF('27'!B45="","",'27'!B45)</f>
        <v>32</v>
      </c>
      <c r="C45" s="17" t="str">
        <f>IF('27'!C45="","",'27'!C45)</f>
        <v/>
      </c>
      <c r="D45" s="249" t="str">
        <f>IF('27'!D45="","",'27'!D45)</f>
        <v/>
      </c>
      <c r="E45" s="17" t="str">
        <f>IF('27'!E45="","",'27'!E45)</f>
        <v/>
      </c>
      <c r="F45" s="249" t="str">
        <f>IF('27'!F45="","",'27'!F45)</f>
        <v/>
      </c>
      <c r="G45" s="17" t="str">
        <f>IF('27'!G45="","",'27'!G45)</f>
        <v/>
      </c>
    </row>
    <row r="46" spans="1:7" ht="23.1" customHeight="1">
      <c r="A46" s="16" t="str">
        <f>IF('27'!A46="","",'27'!A46)</f>
        <v/>
      </c>
      <c r="B46" s="16">
        <f>IF('27'!B46="","",'27'!B46)</f>
        <v>33</v>
      </c>
      <c r="C46" s="17" t="str">
        <f>IF('27'!C46="","",'27'!C46)</f>
        <v/>
      </c>
      <c r="D46" s="249" t="str">
        <f>IF('27'!D46="","",'27'!D46)</f>
        <v/>
      </c>
      <c r="E46" s="17" t="str">
        <f>IF('27'!E46="","",'27'!E46)</f>
        <v/>
      </c>
      <c r="F46" s="249" t="str">
        <f>IF('27'!F46="","",'27'!F46)</f>
        <v/>
      </c>
      <c r="G46" s="17" t="str">
        <f>IF('27'!G46="","",'27'!G46)</f>
        <v/>
      </c>
    </row>
    <row r="47" spans="1:7" ht="23.1" customHeight="1">
      <c r="A47" s="16" t="str">
        <f>IF('27'!A47="","",'27'!A47)</f>
        <v/>
      </c>
      <c r="B47" s="16">
        <f>IF('27'!B47="","",'27'!B47)</f>
        <v>34</v>
      </c>
      <c r="C47" s="17" t="str">
        <f>IF('27'!C47="","",'27'!C47)</f>
        <v/>
      </c>
      <c r="D47" s="249" t="str">
        <f>IF('27'!D47="","",'27'!D47)</f>
        <v/>
      </c>
      <c r="E47" s="17" t="str">
        <f>IF('27'!E47="","",'27'!E47)</f>
        <v/>
      </c>
      <c r="F47" s="249" t="str">
        <f>IF('27'!F47="","",'27'!F47)</f>
        <v/>
      </c>
      <c r="G47" s="17" t="str">
        <f>IF('27'!G47="","",'27'!G47)</f>
        <v/>
      </c>
    </row>
    <row r="48" spans="1:7" ht="23.1" customHeight="1">
      <c r="A48" s="16" t="str">
        <f>IF('27'!A48="","",'27'!A48)</f>
        <v/>
      </c>
      <c r="B48" s="16">
        <f>IF('27'!B48="","",'27'!B48)</f>
        <v>35</v>
      </c>
      <c r="C48" s="17" t="str">
        <f>IF('27'!C48="","",'27'!C48)</f>
        <v/>
      </c>
      <c r="D48" s="249" t="str">
        <f>IF('27'!D48="","",'27'!D48)</f>
        <v/>
      </c>
      <c r="E48" s="17" t="str">
        <f>IF('27'!E48="","",'27'!E48)</f>
        <v/>
      </c>
      <c r="F48" s="249" t="str">
        <f>IF('27'!F48="","",'27'!F48)</f>
        <v/>
      </c>
      <c r="G48" s="17" t="str">
        <f>IF('27'!G48="","",'27'!G48)</f>
        <v/>
      </c>
    </row>
    <row r="49" spans="1:7" ht="23.1" customHeight="1">
      <c r="A49" s="16" t="str">
        <f>IF('27'!A49="","",'27'!A49)</f>
        <v/>
      </c>
      <c r="B49" s="16">
        <f>IF('27'!B49="","",'27'!B49)</f>
        <v>36</v>
      </c>
      <c r="C49" s="17" t="str">
        <f>IF('27'!C49="","",'27'!C49)</f>
        <v/>
      </c>
      <c r="D49" s="249" t="str">
        <f>IF('27'!D49="","",'27'!D49)</f>
        <v/>
      </c>
      <c r="E49" s="17" t="str">
        <f>IF('27'!E49="","",'27'!E49)</f>
        <v/>
      </c>
      <c r="F49" s="249" t="str">
        <f>IF('27'!F49="","",'27'!F49)</f>
        <v/>
      </c>
      <c r="G49" s="17" t="str">
        <f>IF('27'!G49="","",'27'!G49)</f>
        <v/>
      </c>
    </row>
    <row r="50" spans="1:7" ht="23.1" customHeight="1">
      <c r="A50" s="16" t="str">
        <f>IF('27'!A50="","",'27'!A50)</f>
        <v/>
      </c>
      <c r="B50" s="16">
        <f>IF('27'!B50="","",'27'!B50)</f>
        <v>37</v>
      </c>
      <c r="C50" s="17" t="str">
        <f>IF('27'!C50="","",'27'!C50)</f>
        <v/>
      </c>
      <c r="D50" s="249" t="str">
        <f>IF('27'!D50="","",'27'!D50)</f>
        <v/>
      </c>
      <c r="E50" s="17" t="str">
        <f>IF('27'!E50="","",'27'!E50)</f>
        <v/>
      </c>
      <c r="F50" s="249" t="str">
        <f>IF('27'!F50="","",'27'!F50)</f>
        <v/>
      </c>
      <c r="G50" s="17" t="str">
        <f>IF('27'!G50="","",'27'!G50)</f>
        <v/>
      </c>
    </row>
    <row r="51" spans="1:7" ht="23.1" customHeight="1">
      <c r="A51" s="16" t="str">
        <f>IF('27'!A51="","",'27'!A51)</f>
        <v/>
      </c>
      <c r="B51" s="16">
        <f>IF('27'!B51="","",'27'!B51)</f>
        <v>38</v>
      </c>
      <c r="C51" s="17" t="str">
        <f>IF('27'!C51="","",'27'!C51)</f>
        <v/>
      </c>
      <c r="D51" s="249" t="str">
        <f>IF('27'!D51="","",'27'!D51)</f>
        <v/>
      </c>
      <c r="E51" s="17" t="str">
        <f>IF('27'!E51="","",'27'!E51)</f>
        <v/>
      </c>
      <c r="F51" s="249" t="str">
        <f>IF('27'!F51="","",'27'!F51)</f>
        <v/>
      </c>
      <c r="G51" s="17" t="str">
        <f>IF('27'!G51="","",'27'!G51)</f>
        <v/>
      </c>
    </row>
    <row r="52" spans="1:7" ht="23.1" customHeight="1">
      <c r="A52" s="16" t="str">
        <f>IF('27'!A52="","",'27'!A52)</f>
        <v/>
      </c>
      <c r="B52" s="16">
        <f>IF('27'!B52="","",'27'!B52)</f>
        <v>39</v>
      </c>
      <c r="C52" s="17" t="str">
        <f>IF('27'!C52="","",'27'!C52)</f>
        <v/>
      </c>
      <c r="D52" s="249" t="str">
        <f>IF('27'!D52="","",'27'!D52)</f>
        <v/>
      </c>
      <c r="E52" s="17" t="str">
        <f>IF('27'!E52="","",'27'!E52)</f>
        <v/>
      </c>
      <c r="F52" s="249" t="str">
        <f>IF('27'!F52="","",'27'!F52)</f>
        <v/>
      </c>
      <c r="G52" s="17" t="str">
        <f>IF('27'!G52="","",'27'!G52)</f>
        <v/>
      </c>
    </row>
    <row r="53" spans="1:7" ht="23.1" customHeight="1">
      <c r="A53" s="16" t="str">
        <f>IF('27'!A53="","",'27'!A53)</f>
        <v/>
      </c>
      <c r="B53" s="16">
        <f>IF('27'!B53="","",'27'!B53)</f>
        <v>40</v>
      </c>
      <c r="C53" s="17" t="str">
        <f>IF('27'!C53="","",'27'!C53)</f>
        <v/>
      </c>
      <c r="D53" s="249" t="str">
        <f>IF('27'!D53="","",'27'!D53)</f>
        <v/>
      </c>
      <c r="E53" s="17" t="str">
        <f>IF('27'!E53="","",'27'!E53)</f>
        <v/>
      </c>
      <c r="F53" s="249" t="str">
        <f>IF('27'!F53="","",'27'!F53)</f>
        <v/>
      </c>
      <c r="G53" s="17" t="str">
        <f>IF('27'!G53="","",'27'!G53)</f>
        <v/>
      </c>
    </row>
    <row r="54" spans="1:7" ht="23.1" customHeight="1">
      <c r="A54" s="16" t="str">
        <f>IF('27'!A54="","",'27'!A54)</f>
        <v/>
      </c>
      <c r="B54" s="16" t="str">
        <f>IF('27'!B54="","",'27'!B54)</f>
        <v/>
      </c>
      <c r="C54" s="17" t="str">
        <f>IF('27'!C54="","",'27'!C54)</f>
        <v/>
      </c>
      <c r="D54" s="249" t="str">
        <f>IF('27'!D54="","",'27'!D54)</f>
        <v/>
      </c>
      <c r="E54" s="17" t="str">
        <f>IF('27'!E54="","",'27'!E54)</f>
        <v/>
      </c>
      <c r="F54" s="249" t="str">
        <f>IF('27'!F54="","",'27'!F54)</f>
        <v/>
      </c>
      <c r="G54" s="17" t="str">
        <f>IF('27'!G54="","",'27'!G54)</f>
        <v/>
      </c>
    </row>
    <row r="55" spans="1:7" ht="23.1" customHeight="1">
      <c r="A55" s="16" t="str">
        <f>IF('27'!A55="","",'27'!A55)</f>
        <v/>
      </c>
      <c r="B55" s="16" t="str">
        <f>IF('27'!B55="","",'27'!B55)</f>
        <v/>
      </c>
      <c r="C55" s="17" t="str">
        <f>IF('27'!C55="","",'27'!C55)</f>
        <v/>
      </c>
      <c r="D55" s="249" t="str">
        <f>IF('27'!D55="","",'27'!D55)</f>
        <v/>
      </c>
      <c r="E55" s="17" t="str">
        <f>IF('27'!E55="","",'27'!E55)</f>
        <v/>
      </c>
      <c r="F55" s="249" t="str">
        <f>IF('27'!F55="","",'27'!F55)</f>
        <v/>
      </c>
      <c r="G55" s="17" t="str">
        <f>IF('27'!G55="","",'27'!G55)</f>
        <v/>
      </c>
    </row>
    <row r="56" spans="1:7" ht="23.1" customHeight="1">
      <c r="A56" s="16" t="str">
        <f>IF('27'!A56="","",'27'!A56)</f>
        <v/>
      </c>
      <c r="B56" s="16" t="str">
        <f>IF('27'!B56="","",'27'!B56)</f>
        <v/>
      </c>
      <c r="C56" s="17" t="str">
        <f>IF('27'!C56="","",'27'!C56)</f>
        <v/>
      </c>
      <c r="D56" s="249" t="str">
        <f>IF('27'!D56="","",'27'!D56)</f>
        <v/>
      </c>
      <c r="E56" s="17" t="str">
        <f>IF('27'!E56="","",'27'!E56)</f>
        <v/>
      </c>
      <c r="F56" s="249" t="str">
        <f>IF('27'!F56="","",'27'!F56)</f>
        <v/>
      </c>
      <c r="G56" s="17" t="str">
        <f>IF('27'!G56="","",'27'!G56)</f>
        <v/>
      </c>
    </row>
    <row r="57" spans="1:7" ht="23.1" customHeight="1">
      <c r="A57" s="16" t="str">
        <f>IF('27'!A57="","",'27'!A57)</f>
        <v/>
      </c>
      <c r="B57" s="16" t="str">
        <f>IF('27'!B57="","",'27'!B57)</f>
        <v/>
      </c>
      <c r="C57" s="17" t="str">
        <f>IF('27'!C57="","",'27'!C57)</f>
        <v/>
      </c>
      <c r="D57" s="249" t="str">
        <f>IF('27'!D57="","",'27'!D57)</f>
        <v/>
      </c>
      <c r="E57" s="17" t="str">
        <f>IF('27'!E57="","",'27'!E57)</f>
        <v/>
      </c>
      <c r="F57" s="249" t="str">
        <f>IF('27'!F57="","",'27'!F57)</f>
        <v/>
      </c>
      <c r="G57" s="17" t="str">
        <f>IF('27'!G57="","",'27'!G57)</f>
        <v/>
      </c>
    </row>
    <row r="58" spans="1:7" ht="23.1" customHeight="1">
      <c r="A58" s="16" t="str">
        <f>IF('27'!A58="","",'27'!A58)</f>
        <v/>
      </c>
      <c r="B58" s="16" t="str">
        <f>IF('27'!B58="","",'27'!B58)</f>
        <v/>
      </c>
      <c r="C58" s="17" t="str">
        <f>IF('27'!C58="","",'27'!C58)</f>
        <v/>
      </c>
      <c r="D58" s="249" t="str">
        <f>IF('27'!D58="","",'27'!D58)</f>
        <v/>
      </c>
      <c r="E58" s="17" t="str">
        <f>IF('27'!E58="","",'27'!E58)</f>
        <v/>
      </c>
      <c r="F58" s="249" t="str">
        <f>IF('27'!F58="","",'27'!F58)</f>
        <v/>
      </c>
      <c r="G58" s="17" t="str">
        <f>IF('27'!G58="","",'27'!G58)</f>
        <v/>
      </c>
    </row>
    <row r="59" spans="1:7" ht="23.1" customHeight="1">
      <c r="A59" s="16" t="str">
        <f>IF('27'!A59="","",'27'!A59)</f>
        <v/>
      </c>
      <c r="B59" s="16" t="str">
        <f>IF('27'!B59="","",'27'!B59)</f>
        <v/>
      </c>
      <c r="C59" s="17" t="str">
        <f>IF('27'!C59="","",'27'!C59)</f>
        <v/>
      </c>
      <c r="D59" s="249" t="str">
        <f>IF('27'!D59="","",'27'!D59)</f>
        <v/>
      </c>
      <c r="E59" s="17" t="str">
        <f>IF('27'!E59="","",'27'!E59)</f>
        <v/>
      </c>
      <c r="F59" s="249" t="str">
        <f>IF('27'!F59="","",'27'!F59)</f>
        <v/>
      </c>
      <c r="G59" s="17" t="str">
        <f>IF('27'!G59="","",'27'!G59)</f>
        <v/>
      </c>
    </row>
    <row r="60" spans="1:7" ht="23.1" customHeight="1">
      <c r="A60" s="16" t="str">
        <f>IF('27'!A60="","",'27'!A60)</f>
        <v/>
      </c>
      <c r="B60" s="16" t="str">
        <f>IF('27'!B60="","",'27'!B60)</f>
        <v/>
      </c>
      <c r="C60" s="17" t="str">
        <f>IF('27'!C60="","",'27'!C60)</f>
        <v/>
      </c>
      <c r="D60" s="249" t="str">
        <f>IF('27'!D60="","",'27'!D60)</f>
        <v/>
      </c>
      <c r="E60" s="17" t="str">
        <f>IF('27'!E60="","",'27'!E60)</f>
        <v/>
      </c>
      <c r="F60" s="249" t="str">
        <f>IF('27'!F60="","",'27'!F60)</f>
        <v/>
      </c>
      <c r="G60" s="17" t="str">
        <f>IF('27'!G60="","",'27'!G60)</f>
        <v/>
      </c>
    </row>
    <row r="61" spans="1:7" ht="23.1" customHeight="1">
      <c r="A61" s="16" t="str">
        <f>IF('27'!A61="","",'27'!A61)</f>
        <v/>
      </c>
      <c r="B61" s="16" t="str">
        <f>IF('27'!B61="","",'27'!B61)</f>
        <v/>
      </c>
      <c r="C61" s="17" t="str">
        <f>IF('27'!C61="","",'27'!C61)</f>
        <v/>
      </c>
      <c r="D61" s="249" t="str">
        <f>IF('27'!D61="","",'27'!D61)</f>
        <v/>
      </c>
      <c r="E61" s="17" t="str">
        <f>IF('27'!E61="","",'27'!E61)</f>
        <v/>
      </c>
      <c r="F61" s="249" t="str">
        <f>IF('27'!F61="","",'27'!F61)</f>
        <v/>
      </c>
      <c r="G61" s="17" t="str">
        <f>IF('27'!G61="","",'27'!G61)</f>
        <v/>
      </c>
    </row>
    <row r="62" spans="1:7" ht="23.1" customHeight="1">
      <c r="A62" s="16" t="str">
        <f>IF('27'!A62="","",'27'!A62)</f>
        <v/>
      </c>
      <c r="B62" s="16" t="str">
        <f>IF('27'!B62="","",'27'!B62)</f>
        <v/>
      </c>
      <c r="C62" s="17" t="str">
        <f>IF('27'!C62="","",'27'!C62)</f>
        <v/>
      </c>
      <c r="D62" s="249" t="str">
        <f>IF('27'!D62="","",'27'!D62)</f>
        <v/>
      </c>
      <c r="E62" s="17" t="str">
        <f>IF('27'!E62="","",'27'!E62)</f>
        <v/>
      </c>
      <c r="F62" s="249" t="str">
        <f>IF('27'!F62="","",'27'!F62)</f>
        <v/>
      </c>
      <c r="G62" s="17" t="str">
        <f>IF('27'!G62="","",'27'!G62)</f>
        <v/>
      </c>
    </row>
    <row r="63" spans="1:7" ht="23.1" customHeight="1">
      <c r="A63" s="16" t="str">
        <f>IF('27'!A63="","",'27'!A63)</f>
        <v/>
      </c>
      <c r="B63" s="16" t="str">
        <f>IF('27'!B63="","",'27'!B63)</f>
        <v/>
      </c>
      <c r="C63" s="17" t="str">
        <f>IF('27'!C63="","",'27'!C63)</f>
        <v/>
      </c>
      <c r="D63" s="249" t="str">
        <f>IF('27'!D63="","",'27'!D63)</f>
        <v/>
      </c>
      <c r="E63" s="17" t="str">
        <f>IF('27'!E63="","",'27'!E63)</f>
        <v/>
      </c>
      <c r="F63" s="249" t="str">
        <f>IF('27'!F63="","",'27'!F63)</f>
        <v/>
      </c>
      <c r="G63" s="17" t="str">
        <f>IF('27'!G63="","",'27'!G63)</f>
        <v/>
      </c>
    </row>
    <row r="64" spans="1:7" ht="23.1" customHeight="1">
      <c r="A64" s="16" t="str">
        <f>IF('27'!A64="","",'27'!A64)</f>
        <v/>
      </c>
      <c r="B64" s="16" t="str">
        <f>IF('27'!B64="","",'27'!B64)</f>
        <v/>
      </c>
      <c r="C64" s="17" t="str">
        <f>IF('27'!C64="","",'27'!C64)</f>
        <v/>
      </c>
      <c r="D64" s="249" t="str">
        <f>IF('27'!D64="","",'27'!D64)</f>
        <v/>
      </c>
      <c r="E64" s="17" t="str">
        <f>IF('27'!E64="","",'27'!E64)</f>
        <v/>
      </c>
      <c r="F64" s="249" t="str">
        <f>IF('27'!F64="","",'27'!F64)</f>
        <v/>
      </c>
      <c r="G64" s="17" t="str">
        <f>IF('27'!G64="","",'27'!G64)</f>
        <v/>
      </c>
    </row>
    <row r="65" spans="1:7" ht="23.1" customHeight="1">
      <c r="A65" s="16" t="str">
        <f>IF('27'!A65="","",'27'!A65)</f>
        <v/>
      </c>
      <c r="B65" s="16" t="str">
        <f>IF('27'!B65="","",'27'!B65)</f>
        <v/>
      </c>
      <c r="C65" s="17" t="str">
        <f>IF('27'!C65="","",'27'!C65)</f>
        <v/>
      </c>
      <c r="D65" s="249" t="str">
        <f>IF('27'!D65="","",'27'!D65)</f>
        <v/>
      </c>
      <c r="E65" s="17" t="str">
        <f>IF('27'!E65="","",'27'!E65)</f>
        <v/>
      </c>
      <c r="F65" s="249" t="str">
        <f>IF('27'!F65="","",'27'!F65)</f>
        <v/>
      </c>
      <c r="G65" s="17" t="str">
        <f>IF('27'!G65="","",'27'!G65)</f>
        <v/>
      </c>
    </row>
    <row r="66" spans="1:7" ht="23.1" customHeight="1">
      <c r="A66" s="16" t="str">
        <f>IF('27'!A66="","",'27'!A66)</f>
        <v/>
      </c>
      <c r="B66" s="16" t="str">
        <f>IF('27'!B66="","",'27'!B66)</f>
        <v/>
      </c>
      <c r="C66" s="17" t="str">
        <f>IF('27'!C66="","",'27'!C66)</f>
        <v/>
      </c>
      <c r="D66" s="249" t="str">
        <f>IF('27'!D66="","",'27'!D66)</f>
        <v/>
      </c>
      <c r="E66" s="17" t="str">
        <f>IF('27'!E66="","",'27'!E66)</f>
        <v/>
      </c>
      <c r="F66" s="249" t="str">
        <f>IF('27'!F66="","",'27'!F66)</f>
        <v/>
      </c>
      <c r="G66" s="17" t="str">
        <f>IF('27'!G66="","",'27'!G66)</f>
        <v/>
      </c>
    </row>
    <row r="67" spans="1:7" ht="23.1" customHeight="1">
      <c r="A67" s="16" t="str">
        <f>IF('27'!A67="","",'27'!A67)</f>
        <v/>
      </c>
      <c r="B67" s="16" t="str">
        <f>IF('27'!B67="","",'27'!B67)</f>
        <v/>
      </c>
      <c r="C67" s="17" t="str">
        <f>IF('27'!C67="","",'27'!C67)</f>
        <v/>
      </c>
      <c r="D67" s="249" t="str">
        <f>IF('27'!D67="","",'27'!D67)</f>
        <v/>
      </c>
      <c r="E67" s="17" t="str">
        <f>IF('27'!E67="","",'27'!E67)</f>
        <v/>
      </c>
      <c r="F67" s="249" t="str">
        <f>IF('27'!F67="","",'27'!F67)</f>
        <v/>
      </c>
      <c r="G67" s="17" t="str">
        <f>IF('27'!G67="","",'27'!G67)</f>
        <v/>
      </c>
    </row>
    <row r="68" spans="1:7" ht="23.1" customHeight="1">
      <c r="A68" s="16" t="str">
        <f>IF('27'!A68="","",'27'!A68)</f>
        <v/>
      </c>
      <c r="B68" s="16" t="str">
        <f>IF('27'!B68="","",'27'!B68)</f>
        <v/>
      </c>
      <c r="C68" s="17" t="str">
        <f>IF('27'!C68="","",'27'!C68)</f>
        <v/>
      </c>
      <c r="D68" s="249" t="str">
        <f>IF('27'!D68="","",'27'!D68)</f>
        <v/>
      </c>
      <c r="E68" s="17" t="str">
        <f>IF('27'!E68="","",'27'!E68)</f>
        <v/>
      </c>
      <c r="F68" s="249" t="str">
        <f>IF('27'!F68="","",'27'!F68)</f>
        <v/>
      </c>
      <c r="G68" s="17" t="str">
        <f>IF('27'!G68="","",'27'!G68)</f>
        <v/>
      </c>
    </row>
    <row r="69" spans="1:7" ht="23.1" customHeight="1">
      <c r="A69" s="16" t="str">
        <f>IF('27'!A69="","",'27'!A69)</f>
        <v/>
      </c>
      <c r="B69" s="16" t="str">
        <f>IF('27'!B69="","",'27'!B69)</f>
        <v/>
      </c>
      <c r="C69" s="17" t="str">
        <f>IF('27'!C69="","",'27'!C69)</f>
        <v/>
      </c>
      <c r="D69" s="249" t="str">
        <f>IF('27'!D69="","",'27'!D69)</f>
        <v/>
      </c>
      <c r="E69" s="17" t="str">
        <f>IF('27'!E69="","",'27'!E69)</f>
        <v/>
      </c>
      <c r="F69" s="249" t="str">
        <f>IF('27'!F69="","",'27'!F69)</f>
        <v/>
      </c>
      <c r="G69" s="17" t="str">
        <f>IF('27'!G69="","",'27'!G69)</f>
        <v/>
      </c>
    </row>
    <row r="70" spans="1:7" ht="23.1" customHeight="1">
      <c r="A70" s="16" t="str">
        <f>IF('27'!A70="","",'27'!A70)</f>
        <v/>
      </c>
      <c r="B70" s="16" t="str">
        <f>IF('27'!B70="","",'27'!B70)</f>
        <v/>
      </c>
      <c r="C70" s="17" t="str">
        <f>IF('27'!C70="","",'27'!C70)</f>
        <v/>
      </c>
      <c r="D70" s="249" t="str">
        <f>IF('27'!D70="","",'27'!D70)</f>
        <v/>
      </c>
      <c r="E70" s="17" t="str">
        <f>IF('27'!E70="","",'27'!E70)</f>
        <v/>
      </c>
      <c r="F70" s="249" t="str">
        <f>IF('27'!F70="","",'27'!F70)</f>
        <v/>
      </c>
      <c r="G70" s="17" t="str">
        <f>IF('27'!G70="","",'27'!G70)</f>
        <v/>
      </c>
    </row>
    <row r="71" spans="1:7" ht="23.1" customHeight="1">
      <c r="A71" s="16" t="str">
        <f>IF('27'!A71="","",'27'!A71)</f>
        <v/>
      </c>
      <c r="B71" s="16" t="str">
        <f>IF('27'!B71="","",'27'!B71)</f>
        <v/>
      </c>
      <c r="C71" s="17" t="str">
        <f>IF('27'!C71="","",'27'!C71)</f>
        <v/>
      </c>
      <c r="D71" s="249" t="str">
        <f>IF('27'!D71="","",'27'!D71)</f>
        <v/>
      </c>
      <c r="E71" s="17" t="str">
        <f>IF('27'!E71="","",'27'!E71)</f>
        <v/>
      </c>
      <c r="F71" s="249" t="str">
        <f>IF('27'!F71="","",'27'!F71)</f>
        <v/>
      </c>
      <c r="G71" s="17" t="str">
        <f>IF('27'!G71="","",'27'!G71)</f>
        <v/>
      </c>
    </row>
    <row r="72" spans="1:7" ht="23.1" customHeight="1">
      <c r="A72" s="16" t="str">
        <f>IF('27'!A72="","",'27'!A72)</f>
        <v/>
      </c>
      <c r="B72" s="16" t="str">
        <f>IF('27'!B72="","",'27'!B72)</f>
        <v/>
      </c>
      <c r="C72" s="17" t="str">
        <f>IF('27'!C72="","",'27'!C72)</f>
        <v/>
      </c>
      <c r="D72" s="249" t="str">
        <f>IF('27'!D72="","",'27'!D72)</f>
        <v/>
      </c>
      <c r="E72" s="17" t="str">
        <f>IF('27'!E72="","",'27'!E72)</f>
        <v/>
      </c>
      <c r="F72" s="249" t="str">
        <f>IF('27'!F72="","",'27'!F72)</f>
        <v/>
      </c>
      <c r="G72" s="17" t="str">
        <f>IF('27'!G72="","",'27'!G72)</f>
        <v/>
      </c>
    </row>
    <row r="73" spans="1:7" ht="23.1" customHeight="1">
      <c r="A73" s="16" t="str">
        <f>IF('27'!A73="","",'27'!A73)</f>
        <v/>
      </c>
      <c r="B73" s="16" t="str">
        <f>IF('27'!B73="","",'27'!B73)</f>
        <v/>
      </c>
      <c r="C73" s="17" t="str">
        <f>IF('27'!C73="","",'27'!C73)</f>
        <v/>
      </c>
      <c r="D73" s="249" t="str">
        <f>IF('27'!D73="","",'27'!D73)</f>
        <v/>
      </c>
      <c r="E73" s="17" t="str">
        <f>IF('27'!E73="","",'27'!E73)</f>
        <v/>
      </c>
      <c r="F73" s="249" t="str">
        <f>IF('27'!F73="","",'27'!F73)</f>
        <v/>
      </c>
      <c r="G73" s="17" t="str">
        <f>IF('27'!G73="","",'27'!G73)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1E3A-01D3-4700-8893-3D70127972B3}">
  <sheetPr codeName="Sheet19">
    <tabColor rgb="FF0070C0"/>
  </sheetPr>
  <dimension ref="A4:J16"/>
  <sheetViews>
    <sheetView view="pageBreakPreview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'28_MC'!C7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'28_MC'!B8</f>
        <v>28</v>
      </c>
      <c r="C6" s="142" t="s">
        <v>42</v>
      </c>
      <c r="D6" s="145" t="str">
        <f>'28_MC'!D8:F8</f>
        <v>M-C級障害飛越競技</v>
      </c>
    </row>
    <row r="8" spans="1:10" ht="30" customHeight="1">
      <c r="C8" s="142" t="s">
        <v>604</v>
      </c>
      <c r="E8" s="147" t="s">
        <v>630</v>
      </c>
    </row>
    <row r="9" spans="1:10" ht="30" customHeight="1">
      <c r="C9" s="142" t="s">
        <v>605</v>
      </c>
      <c r="E9" s="150" t="s">
        <v>631</v>
      </c>
      <c r="F9" s="142" t="s">
        <v>606</v>
      </c>
    </row>
    <row r="10" spans="1:10" ht="30" customHeight="1">
      <c r="A10" s="320" t="s">
        <v>615</v>
      </c>
      <c r="B10" s="320"/>
      <c r="C10" s="320"/>
      <c r="D10" s="320"/>
      <c r="E10" s="320"/>
      <c r="F10" s="320"/>
      <c r="G10" s="320"/>
      <c r="H10" s="320"/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3">
    <mergeCell ref="A4:J4"/>
    <mergeCell ref="C11:G11"/>
    <mergeCell ref="A10:H10"/>
  </mergeCells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4A86-6BAC-4448-8C81-C8ACE482ED64}">
  <sheetPr codeName="Sheet20">
    <tabColor rgb="FF0070C0"/>
  </sheetPr>
  <dimension ref="A4:J16"/>
  <sheetViews>
    <sheetView view="pageBreakPreview" topLeftCell="A3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'28_MC'!C7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'28_MC'!B8</f>
        <v>28</v>
      </c>
      <c r="C6" s="142" t="s">
        <v>42</v>
      </c>
      <c r="D6" s="145" t="str">
        <f>'28'!F4</f>
        <v>M-C級障害飛越競技</v>
      </c>
    </row>
    <row r="8" spans="1:10" ht="30" customHeight="1">
      <c r="C8" s="142" t="s">
        <v>604</v>
      </c>
      <c r="E8" s="150" t="s">
        <v>630</v>
      </c>
    </row>
    <row r="9" spans="1:10" ht="30" customHeight="1">
      <c r="C9" s="142" t="s">
        <v>605</v>
      </c>
      <c r="E9" s="147" t="s">
        <v>631</v>
      </c>
      <c r="F9" s="142" t="s">
        <v>606</v>
      </c>
    </row>
    <row r="11" spans="1:10" ht="30" customHeight="1">
      <c r="A11" s="320" t="s">
        <v>615</v>
      </c>
      <c r="B11" s="320"/>
      <c r="C11" s="320"/>
      <c r="D11" s="320"/>
      <c r="E11" s="320"/>
      <c r="F11" s="320"/>
      <c r="G11" s="320"/>
      <c r="H11" s="320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A11:H11"/>
  </mergeCells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'28'!C3</f>
        <v xml:space="preserve">2026 Fuji Horse Show Autumn Grand Prix </v>
      </c>
      <c r="D7" s="9"/>
      <c r="E7" s="9"/>
      <c r="F7" s="9"/>
      <c r="G7" s="308" t="s">
        <v>1523</v>
      </c>
    </row>
    <row r="8" spans="1:7" ht="21" customHeight="1">
      <c r="A8" s="10" t="s">
        <v>41</v>
      </c>
      <c r="B8" s="70">
        <f>'28'!C4</f>
        <v>28</v>
      </c>
      <c r="C8" s="4" t="s">
        <v>42</v>
      </c>
      <c r="D8" s="311" t="str">
        <f>'28'!F4</f>
        <v>M-C級障害飛越競技</v>
      </c>
      <c r="E8" s="311"/>
      <c r="F8" s="311"/>
    </row>
    <row r="9" spans="1:7" ht="18.75" customHeight="1">
      <c r="C9" s="11" t="s">
        <v>11</v>
      </c>
      <c r="D9" s="247" t="str">
        <f>'28'!D5</f>
        <v>-</v>
      </c>
      <c r="E9" s="4" t="s">
        <v>9</v>
      </c>
      <c r="F9" s="250">
        <f>'28'!K4</f>
        <v>0</v>
      </c>
    </row>
    <row r="10" spans="1:7" ht="21" customHeight="1">
      <c r="A10" s="12" t="s">
        <v>43</v>
      </c>
      <c r="B10" s="12"/>
      <c r="C10" s="12"/>
      <c r="D10" s="248" t="str">
        <f>'28'!D6</f>
        <v>-</v>
      </c>
      <c r="E10" s="4" t="s">
        <v>12</v>
      </c>
      <c r="F10" s="251" t="str">
        <f>'28'!F5</f>
        <v>-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IF('28'!A14="","",'28'!A14)</f>
        <v/>
      </c>
      <c r="B14" s="16">
        <f>IF('28'!B14="","",'28'!B14)</f>
        <v>1</v>
      </c>
      <c r="C14" s="135" t="str">
        <f>IF('28'!C14="","",'28'!C14)</f>
        <v/>
      </c>
      <c r="D14" s="252" t="str">
        <f>IF('28'!D14="","",'28'!D14)</f>
        <v/>
      </c>
      <c r="E14" s="135" t="str">
        <f>IF('28'!E14="","",'28'!E14)</f>
        <v/>
      </c>
      <c r="F14" s="252" t="str">
        <f>IF('28'!F14="","",'28'!F14)</f>
        <v/>
      </c>
      <c r="G14" s="17" t="str">
        <f>IF('28'!G14="","",'28'!G14)</f>
        <v/>
      </c>
    </row>
    <row r="15" spans="1:7" s="19" customFormat="1" ht="23.1" customHeight="1">
      <c r="A15" s="16" t="str">
        <f>IF('28'!A15="","",'28'!A15)</f>
        <v/>
      </c>
      <c r="B15" s="16">
        <f>IF('28'!B15="","",'28'!B15)</f>
        <v>2</v>
      </c>
      <c r="C15" s="135" t="str">
        <f>IF('28'!C15="","",'28'!C15)</f>
        <v/>
      </c>
      <c r="D15" s="252" t="str">
        <f>IF('28'!D15="","",'28'!D15)</f>
        <v/>
      </c>
      <c r="E15" s="135" t="str">
        <f>IF('28'!E15="","",'28'!E15)</f>
        <v/>
      </c>
      <c r="F15" s="252" t="str">
        <f>IF('28'!F15="","",'28'!F15)</f>
        <v/>
      </c>
      <c r="G15" s="17" t="str">
        <f>IF('28'!G15="","",'28'!G15)</f>
        <v/>
      </c>
    </row>
    <row r="16" spans="1:7" s="19" customFormat="1" ht="23.1" customHeight="1">
      <c r="A16" s="16" t="str">
        <f>IF('28'!A16="","",'28'!A16)</f>
        <v/>
      </c>
      <c r="B16" s="16">
        <f>IF('28'!B16="","",'28'!B16)</f>
        <v>3</v>
      </c>
      <c r="C16" s="135" t="str">
        <f>IF('28'!C16="","",'28'!C16)</f>
        <v/>
      </c>
      <c r="D16" s="252" t="str">
        <f>IF('28'!D16="","",'28'!D16)</f>
        <v/>
      </c>
      <c r="E16" s="135" t="str">
        <f>IF('28'!E16="","",'28'!E16)</f>
        <v/>
      </c>
      <c r="F16" s="252" t="str">
        <f>IF('28'!F16="","",'28'!F16)</f>
        <v/>
      </c>
      <c r="G16" s="17" t="str">
        <f>IF('28'!G16="","",'28'!G16)</f>
        <v/>
      </c>
    </row>
    <row r="17" spans="1:7" s="19" customFormat="1" ht="23.1" customHeight="1">
      <c r="A17" s="16" t="str">
        <f>IF('28'!A17="","",'28'!A17)</f>
        <v/>
      </c>
      <c r="B17" s="16">
        <f>IF('28'!B17="","",'28'!B17)</f>
        <v>4</v>
      </c>
      <c r="C17" s="135" t="str">
        <f>IF('28'!C17="","",'28'!C17)</f>
        <v/>
      </c>
      <c r="D17" s="252" t="str">
        <f>IF('28'!D17="","",'28'!D17)</f>
        <v/>
      </c>
      <c r="E17" s="135" t="str">
        <f>IF('28'!E17="","",'28'!E17)</f>
        <v/>
      </c>
      <c r="F17" s="252" t="str">
        <f>IF('28'!F17="","",'28'!F17)</f>
        <v/>
      </c>
      <c r="G17" s="17" t="str">
        <f>IF('28'!G17="","",'28'!G17)</f>
        <v/>
      </c>
    </row>
    <row r="18" spans="1:7" s="19" customFormat="1" ht="23.1" customHeight="1">
      <c r="A18" s="16" t="str">
        <f>IF('28'!A18="","",'28'!A18)</f>
        <v/>
      </c>
      <c r="B18" s="16">
        <f>IF('28'!B18="","",'28'!B18)</f>
        <v>5</v>
      </c>
      <c r="C18" s="135" t="str">
        <f>IF('28'!C18="","",'28'!C18)</f>
        <v/>
      </c>
      <c r="D18" s="252" t="str">
        <f>IF('28'!D18="","",'28'!D18)</f>
        <v/>
      </c>
      <c r="E18" s="135" t="str">
        <f>IF('28'!E18="","",'28'!E18)</f>
        <v/>
      </c>
      <c r="F18" s="252" t="str">
        <f>IF('28'!F18="","",'28'!F18)</f>
        <v/>
      </c>
      <c r="G18" s="17" t="str">
        <f>IF('28'!G18="","",'28'!G18)</f>
        <v/>
      </c>
    </row>
    <row r="19" spans="1:7" s="19" customFormat="1" ht="23.1" customHeight="1">
      <c r="A19" s="16" t="str">
        <f>IF('28'!A19="","",'28'!A19)</f>
        <v/>
      </c>
      <c r="B19" s="16">
        <f>IF('28'!B19="","",'28'!B19)</f>
        <v>6</v>
      </c>
      <c r="C19" s="135" t="str">
        <f>IF('28'!C19="","",'28'!C19)</f>
        <v/>
      </c>
      <c r="D19" s="252" t="str">
        <f>IF('28'!D19="","",'28'!D19)</f>
        <v/>
      </c>
      <c r="E19" s="135" t="str">
        <f>IF('28'!E19="","",'28'!E19)</f>
        <v/>
      </c>
      <c r="F19" s="252" t="str">
        <f>IF('28'!F19="","",'28'!F19)</f>
        <v/>
      </c>
      <c r="G19" s="17" t="str">
        <f>IF('28'!G19="","",'28'!G19)</f>
        <v/>
      </c>
    </row>
    <row r="20" spans="1:7" s="19" customFormat="1" ht="23.1" customHeight="1">
      <c r="A20" s="16" t="str">
        <f>IF('28'!A20="","",'28'!A20)</f>
        <v/>
      </c>
      <c r="B20" s="16">
        <f>IF('28'!B20="","",'28'!B20)</f>
        <v>7</v>
      </c>
      <c r="C20" s="135" t="str">
        <f>IF('28'!C20="","",'28'!C20)</f>
        <v/>
      </c>
      <c r="D20" s="252" t="str">
        <f>IF('28'!D20="","",'28'!D20)</f>
        <v/>
      </c>
      <c r="E20" s="135" t="str">
        <f>IF('28'!E20="","",'28'!E20)</f>
        <v/>
      </c>
      <c r="F20" s="252" t="str">
        <f>IF('28'!F20="","",'28'!F20)</f>
        <v/>
      </c>
      <c r="G20" s="17" t="str">
        <f>IF('28'!G20="","",'28'!G20)</f>
        <v/>
      </c>
    </row>
    <row r="21" spans="1:7" s="19" customFormat="1" ht="23.1" customHeight="1">
      <c r="A21" s="16" t="str">
        <f>IF('28'!A21="","",'28'!A21)</f>
        <v/>
      </c>
      <c r="B21" s="16">
        <f>IF('28'!B21="","",'28'!B21)</f>
        <v>8</v>
      </c>
      <c r="C21" s="135" t="str">
        <f>IF('28'!C21="","",'28'!C21)</f>
        <v/>
      </c>
      <c r="D21" s="252" t="str">
        <f>IF('28'!D21="","",'28'!D21)</f>
        <v/>
      </c>
      <c r="E21" s="135" t="str">
        <f>IF('28'!E21="","",'28'!E21)</f>
        <v/>
      </c>
      <c r="F21" s="252" t="str">
        <f>IF('28'!F21="","",'28'!F21)</f>
        <v/>
      </c>
      <c r="G21" s="17" t="str">
        <f>IF('28'!G21="","",'28'!G21)</f>
        <v/>
      </c>
    </row>
    <row r="22" spans="1:7" s="19" customFormat="1" ht="23.1" customHeight="1">
      <c r="A22" s="16" t="str">
        <f>IF('28'!A22="","",'28'!A22)</f>
        <v/>
      </c>
      <c r="B22" s="16">
        <f>IF('28'!B22="","",'28'!B22)</f>
        <v>9</v>
      </c>
      <c r="C22" s="135" t="str">
        <f>IF('28'!C22="","",'28'!C22)</f>
        <v/>
      </c>
      <c r="D22" s="252" t="str">
        <f>IF('28'!D22="","",'28'!D22)</f>
        <v/>
      </c>
      <c r="E22" s="135" t="str">
        <f>IF('28'!E22="","",'28'!E22)</f>
        <v/>
      </c>
      <c r="F22" s="252" t="str">
        <f>IF('28'!F22="","",'28'!F22)</f>
        <v/>
      </c>
      <c r="G22" s="17" t="str">
        <f>IF('28'!G22="","",'28'!G22)</f>
        <v/>
      </c>
    </row>
    <row r="23" spans="1:7" s="19" customFormat="1" ht="23.1" customHeight="1">
      <c r="A23" s="16" t="str">
        <f>IF('28'!A23="","",'28'!A23)</f>
        <v/>
      </c>
      <c r="B23" s="16">
        <f>IF('28'!B23="","",'28'!B23)</f>
        <v>10</v>
      </c>
      <c r="C23" s="135" t="str">
        <f>IF('28'!C23="","",'28'!C23)</f>
        <v/>
      </c>
      <c r="D23" s="252" t="str">
        <f>IF('28'!D23="","",'28'!D23)</f>
        <v/>
      </c>
      <c r="E23" s="135" t="str">
        <f>IF('28'!E23="","",'28'!E23)</f>
        <v/>
      </c>
      <c r="F23" s="252" t="str">
        <f>IF('28'!F23="","",'28'!F23)</f>
        <v/>
      </c>
      <c r="G23" s="17" t="str">
        <f>IF('28'!G23="","",'28'!G23)</f>
        <v/>
      </c>
    </row>
    <row r="24" spans="1:7" s="19" customFormat="1" ht="23.1" customHeight="1">
      <c r="A24" s="16" t="str">
        <f>IF('28'!A24="","",'28'!A24)</f>
        <v/>
      </c>
      <c r="B24" s="16">
        <f>IF('28'!B24="","",'28'!B24)</f>
        <v>11</v>
      </c>
      <c r="C24" s="135" t="str">
        <f>IF('28'!C24="","",'28'!C24)</f>
        <v/>
      </c>
      <c r="D24" s="252" t="str">
        <f>IF('28'!D24="","",'28'!D24)</f>
        <v/>
      </c>
      <c r="E24" s="135" t="str">
        <f>IF('28'!E24="","",'28'!E24)</f>
        <v/>
      </c>
      <c r="F24" s="252" t="str">
        <f>IF('28'!F24="","",'28'!F24)</f>
        <v/>
      </c>
      <c r="G24" s="17" t="str">
        <f>IF('28'!G24="","",'28'!G24)</f>
        <v/>
      </c>
    </row>
    <row r="25" spans="1:7" s="19" customFormat="1" ht="23.1" customHeight="1">
      <c r="A25" s="16" t="str">
        <f>IF('28'!A25="","",'28'!A25)</f>
        <v/>
      </c>
      <c r="B25" s="16">
        <f>IF('28'!B25="","",'28'!B25)</f>
        <v>12</v>
      </c>
      <c r="C25" s="135" t="str">
        <f>IF('28'!C25="","",'28'!C25)</f>
        <v/>
      </c>
      <c r="D25" s="252" t="str">
        <f>IF('28'!D25="","",'28'!D25)</f>
        <v/>
      </c>
      <c r="E25" s="135" t="str">
        <f>IF('28'!E25="","",'28'!E25)</f>
        <v/>
      </c>
      <c r="F25" s="252" t="str">
        <f>IF('28'!F25="","",'28'!F25)</f>
        <v/>
      </c>
      <c r="G25" s="17" t="str">
        <f>IF('28'!G25="","",'28'!G25)</f>
        <v/>
      </c>
    </row>
    <row r="26" spans="1:7" s="19" customFormat="1" ht="23.1" customHeight="1">
      <c r="A26" s="16" t="str">
        <f>IF('28'!A26="","",'28'!A26)</f>
        <v/>
      </c>
      <c r="B26" s="16">
        <f>IF('28'!B26="","",'28'!B26)</f>
        <v>13</v>
      </c>
      <c r="C26" s="135" t="str">
        <f>IF('28'!C26="","",'28'!C26)</f>
        <v/>
      </c>
      <c r="D26" s="252" t="str">
        <f>IF('28'!D26="","",'28'!D26)</f>
        <v/>
      </c>
      <c r="E26" s="135" t="str">
        <f>IF('28'!E26="","",'28'!E26)</f>
        <v/>
      </c>
      <c r="F26" s="252" t="str">
        <f>IF('28'!F26="","",'28'!F26)</f>
        <v/>
      </c>
      <c r="G26" s="17" t="str">
        <f>IF('28'!G26="","",'28'!G26)</f>
        <v/>
      </c>
    </row>
    <row r="27" spans="1:7" s="19" customFormat="1" ht="23.1" customHeight="1">
      <c r="A27" s="16" t="str">
        <f>IF('28'!A27="","",'28'!A27)</f>
        <v/>
      </c>
      <c r="B27" s="16">
        <f>IF('28'!B27="","",'28'!B27)</f>
        <v>14</v>
      </c>
      <c r="C27" s="135" t="str">
        <f>IF('28'!C27="","",'28'!C27)</f>
        <v/>
      </c>
      <c r="D27" s="252" t="str">
        <f>IF('28'!D27="","",'28'!D27)</f>
        <v/>
      </c>
      <c r="E27" s="135" t="str">
        <f>IF('28'!E27="","",'28'!E27)</f>
        <v/>
      </c>
      <c r="F27" s="252" t="str">
        <f>IF('28'!F27="","",'28'!F27)</f>
        <v/>
      </c>
      <c r="G27" s="17" t="str">
        <f>IF('28'!G27="","",'28'!G27)</f>
        <v/>
      </c>
    </row>
    <row r="28" spans="1:7" s="19" customFormat="1" ht="23.1" customHeight="1">
      <c r="A28" s="16" t="str">
        <f>IF('28'!A28="","",'28'!A28)</f>
        <v/>
      </c>
      <c r="B28" s="16">
        <f>IF('28'!B28="","",'28'!B28)</f>
        <v>15</v>
      </c>
      <c r="C28" s="135" t="str">
        <f>IF('28'!C28="","",'28'!C28)</f>
        <v/>
      </c>
      <c r="D28" s="252" t="str">
        <f>IF('28'!D28="","",'28'!D28)</f>
        <v/>
      </c>
      <c r="E28" s="135" t="str">
        <f>IF('28'!E28="","",'28'!E28)</f>
        <v/>
      </c>
      <c r="F28" s="252" t="str">
        <f>IF('28'!F28="","",'28'!F28)</f>
        <v/>
      </c>
      <c r="G28" s="17" t="str">
        <f>IF('28'!G28="","",'28'!G28)</f>
        <v/>
      </c>
    </row>
    <row r="29" spans="1:7" s="19" customFormat="1" ht="23.1" customHeight="1">
      <c r="A29" s="16" t="str">
        <f>IF('28'!A29="","",'28'!A29)</f>
        <v/>
      </c>
      <c r="B29" s="16">
        <f>IF('28'!B29="","",'28'!B29)</f>
        <v>16</v>
      </c>
      <c r="C29" s="135" t="str">
        <f>IF('28'!C29="","",'28'!C29)</f>
        <v/>
      </c>
      <c r="D29" s="252" t="str">
        <f>IF('28'!D29="","",'28'!D29)</f>
        <v/>
      </c>
      <c r="E29" s="135" t="str">
        <f>IF('28'!E29="","",'28'!E29)</f>
        <v/>
      </c>
      <c r="F29" s="252" t="str">
        <f>IF('28'!F29="","",'28'!F29)</f>
        <v/>
      </c>
      <c r="G29" s="17" t="str">
        <f>IF('28'!G29="","",'28'!G29)</f>
        <v/>
      </c>
    </row>
    <row r="30" spans="1:7" s="19" customFormat="1" ht="23.1" customHeight="1">
      <c r="A30" s="16" t="str">
        <f>IF('28'!A30="","",'28'!A30)</f>
        <v/>
      </c>
      <c r="B30" s="16">
        <f>IF('28'!B30="","",'28'!B30)</f>
        <v>17</v>
      </c>
      <c r="C30" s="135" t="str">
        <f>IF('28'!C30="","",'28'!C30)</f>
        <v/>
      </c>
      <c r="D30" s="252" t="str">
        <f>IF('28'!D30="","",'28'!D30)</f>
        <v/>
      </c>
      <c r="E30" s="135" t="str">
        <f>IF('28'!E30="","",'28'!E30)</f>
        <v/>
      </c>
      <c r="F30" s="252" t="str">
        <f>IF('28'!F30="","",'28'!F30)</f>
        <v/>
      </c>
      <c r="G30" s="17" t="str">
        <f>IF('28'!G30="","",'28'!G30)</f>
        <v/>
      </c>
    </row>
    <row r="31" spans="1:7" s="19" customFormat="1" ht="23.1" customHeight="1">
      <c r="A31" s="16" t="str">
        <f>IF('28'!A31="","",'28'!A31)</f>
        <v/>
      </c>
      <c r="B31" s="16">
        <f>IF('28'!B31="","",'28'!B31)</f>
        <v>18</v>
      </c>
      <c r="C31" s="18" t="str">
        <f>IF('28'!C31="","",'28'!C31)</f>
        <v/>
      </c>
      <c r="D31" s="252" t="str">
        <f>IF('28'!D31="","",'28'!D31)</f>
        <v/>
      </c>
      <c r="E31" s="135" t="str">
        <f>IF('28'!E31="","",'28'!E31)</f>
        <v/>
      </c>
      <c r="F31" s="252" t="str">
        <f>IF('28'!F31="","",'28'!F31)</f>
        <v/>
      </c>
      <c r="G31" s="17" t="str">
        <f>IF('28'!G31="","",'28'!G31)</f>
        <v/>
      </c>
    </row>
    <row r="32" spans="1:7" s="19" customFormat="1" ht="23.1" customHeight="1">
      <c r="A32" s="16" t="str">
        <f>IF('28'!A32="","",'28'!A32)</f>
        <v/>
      </c>
      <c r="B32" s="16">
        <f>IF('28'!B32="","",'28'!B32)</f>
        <v>19</v>
      </c>
      <c r="C32" s="18" t="str">
        <f>IF('28'!C32="","",'28'!C32)</f>
        <v/>
      </c>
      <c r="D32" s="253" t="str">
        <f>IF('28'!D32="","",'28'!D32)</f>
        <v/>
      </c>
      <c r="E32" s="135" t="str">
        <f>IF('28'!E32="","",'28'!E32)</f>
        <v/>
      </c>
      <c r="F32" s="252" t="str">
        <f>IF('28'!F32="","",'28'!F32)</f>
        <v/>
      </c>
      <c r="G32" s="17" t="str">
        <f>IF('28'!G32="","",'28'!G32)</f>
        <v/>
      </c>
    </row>
    <row r="33" spans="1:7" s="19" customFormat="1" ht="23.1" customHeight="1">
      <c r="A33" s="16" t="str">
        <f>IF('28'!A33="","",'28'!A33)</f>
        <v/>
      </c>
      <c r="B33" s="16">
        <f>IF('28'!B33="","",'28'!B33)</f>
        <v>20</v>
      </c>
      <c r="C33" s="18" t="str">
        <f>IF('28'!C33="","",'28'!C33)</f>
        <v/>
      </c>
      <c r="D33" s="253" t="str">
        <f>IF('28'!D33="","",'28'!D33)</f>
        <v/>
      </c>
      <c r="E33" s="135" t="str">
        <f>IF('28'!E33="","",'28'!E33)</f>
        <v/>
      </c>
      <c r="F33" s="252" t="str">
        <f>IF('28'!F33="","",'28'!F33)</f>
        <v/>
      </c>
      <c r="G33" s="17" t="str">
        <f>IF('28'!G33="","",'28'!G33)</f>
        <v/>
      </c>
    </row>
    <row r="34" spans="1:7" s="19" customFormat="1" ht="23.1" customHeight="1">
      <c r="A34" s="16" t="str">
        <f>IF('28'!A34="","",'28'!A34)</f>
        <v/>
      </c>
      <c r="B34" s="16">
        <f>IF('28'!B34="","",'28'!B34)</f>
        <v>21</v>
      </c>
      <c r="C34" s="18" t="str">
        <f>IF('28'!C34="","",'28'!C34)</f>
        <v/>
      </c>
      <c r="D34" s="253" t="str">
        <f>IF('28'!D34="","",'28'!D34)</f>
        <v/>
      </c>
      <c r="E34" s="135" t="str">
        <f>IF('28'!E34="","",'28'!E34)</f>
        <v/>
      </c>
      <c r="F34" s="252" t="str">
        <f>IF('28'!F34="","",'28'!F34)</f>
        <v/>
      </c>
      <c r="G34" s="17" t="str">
        <f>IF('28'!G34="","",'28'!G34)</f>
        <v/>
      </c>
    </row>
    <row r="35" spans="1:7" s="19" customFormat="1" ht="23.1" customHeight="1">
      <c r="A35" s="16" t="str">
        <f>IF('28'!A35="","",'28'!A35)</f>
        <v/>
      </c>
      <c r="B35" s="16">
        <f>IF('28'!B35="","",'28'!B35)</f>
        <v>22</v>
      </c>
      <c r="C35" s="18" t="str">
        <f>IF('28'!C35="","",'28'!C35)</f>
        <v/>
      </c>
      <c r="D35" s="253" t="str">
        <f>IF('28'!D35="","",'28'!D35)</f>
        <v/>
      </c>
      <c r="E35" s="18" t="str">
        <f>IF('28'!E35="","",'28'!E35)</f>
        <v/>
      </c>
      <c r="F35" s="252" t="str">
        <f>IF('28'!F35="","",'28'!F35)</f>
        <v/>
      </c>
      <c r="G35" s="17" t="str">
        <f>IF('28'!G35="","",'28'!G35)</f>
        <v/>
      </c>
    </row>
    <row r="36" spans="1:7" s="19" customFormat="1" ht="23.1" customHeight="1">
      <c r="A36" s="16" t="str">
        <f>IF('28'!A36="","",'28'!A36)</f>
        <v/>
      </c>
      <c r="B36" s="16">
        <f>IF('28'!B36="","",'28'!B36)</f>
        <v>23</v>
      </c>
      <c r="C36" s="18" t="str">
        <f>IF('28'!C36="","",'28'!C36)</f>
        <v/>
      </c>
      <c r="D36" s="253" t="str">
        <f>IF('28'!D36="","",'28'!D36)</f>
        <v/>
      </c>
      <c r="E36" s="18" t="str">
        <f>IF('28'!E36="","",'28'!E36)</f>
        <v/>
      </c>
      <c r="F36" s="252" t="str">
        <f>IF('28'!F36="","",'28'!F36)</f>
        <v/>
      </c>
      <c r="G36" s="17" t="str">
        <f>IF('28'!G36="","",'28'!G36)</f>
        <v/>
      </c>
    </row>
    <row r="37" spans="1:7" s="19" customFormat="1" ht="23.1" customHeight="1">
      <c r="A37" s="16" t="str">
        <f>IF('28'!A37="","",'28'!A37)</f>
        <v/>
      </c>
      <c r="B37" s="16">
        <f>IF('28'!B37="","",'28'!B37)</f>
        <v>24</v>
      </c>
      <c r="C37" s="18" t="str">
        <f>IF('28'!C37="","",'28'!C37)</f>
        <v/>
      </c>
      <c r="D37" s="253" t="str">
        <f>IF('28'!D37="","",'28'!D37)</f>
        <v/>
      </c>
      <c r="E37" s="18" t="str">
        <f>IF('28'!E37="","",'28'!E37)</f>
        <v/>
      </c>
      <c r="F37" s="253" t="str">
        <f>IF('28'!F37="","",'28'!F37)</f>
        <v/>
      </c>
      <c r="G37" s="17" t="str">
        <f>IF('28'!G37="","",'28'!G37)</f>
        <v/>
      </c>
    </row>
    <row r="38" spans="1:7" s="19" customFormat="1" ht="23.1" customHeight="1">
      <c r="A38" s="16" t="str">
        <f>IF('28'!A38="","",'28'!A38)</f>
        <v/>
      </c>
      <c r="B38" s="16">
        <f>IF('28'!B38="","",'28'!B38)</f>
        <v>25</v>
      </c>
      <c r="C38" s="18" t="str">
        <f>IF('28'!C38="","",'28'!C38)</f>
        <v/>
      </c>
      <c r="D38" s="253" t="str">
        <f>IF('28'!D38="","",'28'!D38)</f>
        <v/>
      </c>
      <c r="E38" s="18" t="str">
        <f>IF('28'!E38="","",'28'!E38)</f>
        <v/>
      </c>
      <c r="F38" s="253" t="str">
        <f>IF('28'!F38="","",'28'!F38)</f>
        <v/>
      </c>
      <c r="G38" s="17" t="str">
        <f>IF('28'!G38="","",'28'!G38)</f>
        <v/>
      </c>
    </row>
    <row r="39" spans="1:7" s="19" customFormat="1" ht="23.1" customHeight="1">
      <c r="A39" s="16" t="str">
        <f>IF('28'!A39="","",'28'!A39)</f>
        <v/>
      </c>
      <c r="B39" s="16">
        <f>IF('28'!B39="","",'28'!B39)</f>
        <v>26</v>
      </c>
      <c r="C39" s="18" t="str">
        <f>IF('28'!C39="","",'28'!C39)</f>
        <v/>
      </c>
      <c r="D39" s="253" t="str">
        <f>IF('28'!D39="","",'28'!D39)</f>
        <v/>
      </c>
      <c r="E39" s="18" t="str">
        <f>IF('28'!E39="","",'28'!E39)</f>
        <v/>
      </c>
      <c r="F39" s="253" t="str">
        <f>IF('28'!F39="","",'28'!F39)</f>
        <v/>
      </c>
      <c r="G39" s="17" t="str">
        <f>IF('28'!G39="","",'28'!G39)</f>
        <v/>
      </c>
    </row>
    <row r="40" spans="1:7" s="19" customFormat="1" ht="23.1" customHeight="1">
      <c r="A40" s="16" t="str">
        <f>IF('28'!A40="","",'28'!A40)</f>
        <v/>
      </c>
      <c r="B40" s="16">
        <f>IF('28'!B40="","",'28'!B40)</f>
        <v>27</v>
      </c>
      <c r="C40" s="18" t="str">
        <f>IF('28'!C40="","",'28'!C40)</f>
        <v/>
      </c>
      <c r="D40" s="253" t="str">
        <f>IF('28'!D40="","",'28'!D40)</f>
        <v/>
      </c>
      <c r="E40" s="18" t="str">
        <f>IF('28'!E40="","",'28'!E40)</f>
        <v/>
      </c>
      <c r="F40" s="253" t="str">
        <f>IF('28'!F40="","",'28'!F40)</f>
        <v/>
      </c>
      <c r="G40" s="17" t="str">
        <f>IF('28'!G40="","",'28'!G40)</f>
        <v/>
      </c>
    </row>
    <row r="41" spans="1:7" s="19" customFormat="1" ht="23.1" customHeight="1">
      <c r="A41" s="16" t="str">
        <f>IF('28'!A41="","",'28'!A41)</f>
        <v/>
      </c>
      <c r="B41" s="16">
        <f>IF('28'!B41="","",'28'!B41)</f>
        <v>28</v>
      </c>
      <c r="C41" s="18" t="str">
        <f>IF('28'!C41="","",'28'!C41)</f>
        <v/>
      </c>
      <c r="D41" s="253" t="str">
        <f>IF('28'!D41="","",'28'!D41)</f>
        <v/>
      </c>
      <c r="E41" s="18" t="str">
        <f>IF('28'!E41="","",'28'!E41)</f>
        <v/>
      </c>
      <c r="F41" s="253" t="str">
        <f>IF('28'!F41="","",'28'!F41)</f>
        <v/>
      </c>
      <c r="G41" s="17" t="str">
        <f>IF('28'!G41="","",'28'!G41)</f>
        <v/>
      </c>
    </row>
    <row r="42" spans="1:7" s="19" customFormat="1" ht="23.1" customHeight="1">
      <c r="A42" s="16" t="str">
        <f>IF('28'!A42="","",'28'!A42)</f>
        <v/>
      </c>
      <c r="B42" s="16">
        <f>IF('28'!B42="","",'28'!B42)</f>
        <v>29</v>
      </c>
      <c r="C42" s="18" t="str">
        <f>IF('28'!C42="","",'28'!C42)</f>
        <v/>
      </c>
      <c r="D42" s="253" t="str">
        <f>IF('28'!D42="","",'28'!D42)</f>
        <v/>
      </c>
      <c r="E42" s="18" t="str">
        <f>IF('28'!E42="","",'28'!E42)</f>
        <v/>
      </c>
      <c r="F42" s="253" t="str">
        <f>IF('28'!F42="","",'28'!F42)</f>
        <v/>
      </c>
      <c r="G42" s="17" t="str">
        <f>IF('28'!G42="","",'28'!G42)</f>
        <v/>
      </c>
    </row>
    <row r="43" spans="1:7" s="19" customFormat="1" ht="23.1" customHeight="1">
      <c r="A43" s="16" t="str">
        <f>IF('28'!A43="","",'28'!A43)</f>
        <v/>
      </c>
      <c r="B43" s="16">
        <f>IF('28'!B43="","",'28'!B43)</f>
        <v>30</v>
      </c>
      <c r="C43" s="18" t="str">
        <f>IF('28'!C43="","",'28'!C43)</f>
        <v/>
      </c>
      <c r="D43" s="253" t="str">
        <f>IF('28'!D43="","",'28'!D43)</f>
        <v/>
      </c>
      <c r="E43" s="18" t="str">
        <f>IF('28'!E43="","",'28'!E43)</f>
        <v/>
      </c>
      <c r="F43" s="253" t="str">
        <f>IF('28'!F43="","",'28'!F43)</f>
        <v/>
      </c>
      <c r="G43" s="17" t="str">
        <f>IF('28'!G43="","",'28'!G43)</f>
        <v/>
      </c>
    </row>
    <row r="44" spans="1:7" ht="23.1" customHeight="1">
      <c r="A44" s="16" t="str">
        <f>IF('28'!A44="","",'28'!A44)</f>
        <v/>
      </c>
      <c r="B44" s="16">
        <f>IF('28'!B44="","",'28'!B44)</f>
        <v>31</v>
      </c>
      <c r="C44" s="18" t="str">
        <f>IF('28'!C44="","",'28'!C44)</f>
        <v/>
      </c>
      <c r="D44" s="253" t="str">
        <f>IF('28'!D44="","",'28'!D44)</f>
        <v/>
      </c>
      <c r="E44" s="18" t="str">
        <f>IF('28'!E44="","",'28'!E44)</f>
        <v/>
      </c>
      <c r="F44" s="253" t="str">
        <f>IF('28'!F44="","",'28'!F44)</f>
        <v/>
      </c>
      <c r="G44" s="17" t="str">
        <f>IF('28'!G44="","",'28'!G44)</f>
        <v/>
      </c>
    </row>
    <row r="45" spans="1:7" ht="23.1" customHeight="1">
      <c r="A45" s="16" t="str">
        <f>IF('28'!A45="","",'28'!A45)</f>
        <v/>
      </c>
      <c r="B45" s="16">
        <f>IF('28'!B45="","",'28'!B45)</f>
        <v>32</v>
      </c>
      <c r="C45" s="18" t="str">
        <f>IF('28'!C45="","",'28'!C45)</f>
        <v/>
      </c>
      <c r="D45" s="253" t="str">
        <f>IF('28'!D45="","",'28'!D45)</f>
        <v/>
      </c>
      <c r="E45" s="18" t="str">
        <f>IF('28'!E45="","",'28'!E45)</f>
        <v/>
      </c>
      <c r="F45" s="253" t="str">
        <f>IF('28'!F45="","",'28'!F45)</f>
        <v/>
      </c>
      <c r="G45" s="17" t="str">
        <f>IF('28'!G45="","",'28'!G45)</f>
        <v/>
      </c>
    </row>
    <row r="46" spans="1:7" ht="23.1" customHeight="1">
      <c r="A46" s="16" t="str">
        <f>IF('28'!A46="","",'28'!A46)</f>
        <v/>
      </c>
      <c r="B46" s="16">
        <f>IF('28'!B46="","",'28'!B46)</f>
        <v>33</v>
      </c>
      <c r="C46" s="18" t="str">
        <f>IF('28'!C46="","",'28'!C46)</f>
        <v/>
      </c>
      <c r="D46" s="253" t="str">
        <f>IF('28'!D46="","",'28'!D46)</f>
        <v/>
      </c>
      <c r="E46" s="18" t="str">
        <f>IF('28'!E46="","",'28'!E46)</f>
        <v/>
      </c>
      <c r="F46" s="253" t="str">
        <f>IF('28'!F46="","",'28'!F46)</f>
        <v/>
      </c>
      <c r="G46" s="17" t="str">
        <f>IF('28'!G46="","",'28'!G46)</f>
        <v/>
      </c>
    </row>
    <row r="47" spans="1:7" ht="23.1" customHeight="1">
      <c r="A47" s="16" t="str">
        <f>IF('28'!A47="","",'28'!A47)</f>
        <v/>
      </c>
      <c r="B47" s="16">
        <f>IF('28'!B47="","",'28'!B47)</f>
        <v>34</v>
      </c>
      <c r="C47" s="18" t="str">
        <f>IF('28'!C47="","",'28'!C47)</f>
        <v/>
      </c>
      <c r="D47" s="253" t="str">
        <f>IF('28'!D47="","",'28'!D47)</f>
        <v/>
      </c>
      <c r="E47" s="18" t="str">
        <f>IF('28'!E47="","",'28'!E47)</f>
        <v/>
      </c>
      <c r="F47" s="253" t="str">
        <f>IF('28'!F47="","",'28'!F47)</f>
        <v/>
      </c>
      <c r="G47" s="17" t="str">
        <f>IF('28'!G47="","",'28'!G47)</f>
        <v/>
      </c>
    </row>
    <row r="48" spans="1:7" ht="23.1" customHeight="1">
      <c r="A48" s="16" t="str">
        <f>IF('28'!A48="","",'28'!A48)</f>
        <v/>
      </c>
      <c r="B48" s="16">
        <f>IF('28'!B48="","",'28'!B48)</f>
        <v>35</v>
      </c>
      <c r="C48" s="18" t="str">
        <f>IF('28'!C48="","",'28'!C48)</f>
        <v/>
      </c>
      <c r="D48" s="253" t="str">
        <f>IF('28'!D48="","",'28'!D48)</f>
        <v/>
      </c>
      <c r="E48" s="18" t="str">
        <f>IF('28'!E48="","",'28'!E48)</f>
        <v/>
      </c>
      <c r="F48" s="253" t="str">
        <f>IF('28'!F48="","",'28'!F48)</f>
        <v/>
      </c>
      <c r="G48" s="17" t="str">
        <f>IF('28'!G48="","",'28'!G48)</f>
        <v/>
      </c>
    </row>
    <row r="49" spans="1:7" ht="23.1" customHeight="1">
      <c r="A49" s="16" t="str">
        <f>IF('28'!A49="","",'28'!A49)</f>
        <v/>
      </c>
      <c r="B49" s="16" t="str">
        <f>IF('28'!B49="","",'28'!B49)</f>
        <v/>
      </c>
      <c r="C49" s="18" t="str">
        <f>IF('28'!C49="","",'28'!C49)</f>
        <v/>
      </c>
      <c r="D49" s="253" t="str">
        <f>IF('28'!D49="","",'28'!D49)</f>
        <v/>
      </c>
      <c r="E49" s="18" t="str">
        <f>IF('28'!E49="","",'28'!E49)</f>
        <v/>
      </c>
      <c r="F49" s="253" t="str">
        <f>IF('28'!F49="","",'28'!F49)</f>
        <v/>
      </c>
      <c r="G49" s="17" t="str">
        <f>IF('28'!G49="","",'28'!G49)</f>
        <v/>
      </c>
    </row>
    <row r="50" spans="1:7" ht="23.1" customHeight="1">
      <c r="A50" s="16" t="str">
        <f>IF('28'!A50="","",'28'!A50)</f>
        <v/>
      </c>
      <c r="B50" s="16" t="str">
        <f>IF('28'!B50="","",'28'!B50)</f>
        <v/>
      </c>
      <c r="C50" s="18" t="str">
        <f>IF('28'!C50="","",'28'!C50)</f>
        <v/>
      </c>
      <c r="D50" s="253" t="str">
        <f>IF('28'!D50="","",'28'!D50)</f>
        <v/>
      </c>
      <c r="E50" s="18" t="str">
        <f>IF('28'!E50="","",'28'!E50)</f>
        <v/>
      </c>
      <c r="F50" s="253" t="str">
        <f>IF('28'!F50="","",'28'!F50)</f>
        <v/>
      </c>
      <c r="G50" s="17" t="str">
        <f>IF('28'!G50="","",'28'!G50)</f>
        <v/>
      </c>
    </row>
    <row r="51" spans="1:7" ht="23.1" customHeight="1">
      <c r="A51" s="16" t="str">
        <f>IF('28'!A51="","",'28'!A51)</f>
        <v/>
      </c>
      <c r="B51" s="16" t="str">
        <f>IF('28'!B51="","",'28'!B51)</f>
        <v/>
      </c>
      <c r="C51" s="18" t="str">
        <f>IF('28'!C51="","",'28'!C51)</f>
        <v/>
      </c>
      <c r="D51" s="253" t="str">
        <f>IF('28'!D51="","",'28'!D51)</f>
        <v/>
      </c>
      <c r="E51" s="18" t="str">
        <f>IF('28'!E51="","",'28'!E51)</f>
        <v/>
      </c>
      <c r="F51" s="253" t="str">
        <f>IF('28'!F51="","",'28'!F51)</f>
        <v/>
      </c>
      <c r="G51" s="17" t="str">
        <f>IF('28'!G51="","",'28'!G51)</f>
        <v/>
      </c>
    </row>
    <row r="52" spans="1:7" ht="23.1" customHeight="1">
      <c r="A52" s="16" t="str">
        <f>IF('28'!A52="","",'28'!A52)</f>
        <v/>
      </c>
      <c r="B52" s="16" t="str">
        <f>IF('28'!B52="","",'28'!B52)</f>
        <v/>
      </c>
      <c r="C52" s="18" t="str">
        <f>IF('28'!C52="","",'28'!C52)</f>
        <v/>
      </c>
      <c r="D52" s="253" t="str">
        <f>IF('28'!D52="","",'28'!D52)</f>
        <v/>
      </c>
      <c r="E52" s="18" t="str">
        <f>IF('28'!E52="","",'28'!E52)</f>
        <v/>
      </c>
      <c r="F52" s="253" t="str">
        <f>IF('28'!F52="","",'28'!F52)</f>
        <v/>
      </c>
      <c r="G52" s="17" t="str">
        <f>IF('28'!G52="","",'28'!G52)</f>
        <v/>
      </c>
    </row>
    <row r="53" spans="1:7" ht="23.1" customHeight="1">
      <c r="A53" s="16" t="str">
        <f>IF('28'!A53="","",'28'!A53)</f>
        <v/>
      </c>
      <c r="B53" s="16" t="str">
        <f>IF('28'!B53="","",'28'!B53)</f>
        <v/>
      </c>
      <c r="C53" s="18" t="str">
        <f>IF('28'!C53="","",'28'!C53)</f>
        <v/>
      </c>
      <c r="D53" s="253" t="str">
        <f>IF('28'!D53="","",'28'!D53)</f>
        <v/>
      </c>
      <c r="E53" s="18" t="str">
        <f>IF('28'!E53="","",'28'!E53)</f>
        <v/>
      </c>
      <c r="F53" s="253" t="str">
        <f>IF('28'!F53="","",'28'!F53)</f>
        <v/>
      </c>
      <c r="G53" s="17" t="str">
        <f>IF('28'!G53="","",'28'!G53)</f>
        <v/>
      </c>
    </row>
    <row r="54" spans="1:7" ht="23.1" customHeight="1">
      <c r="A54" s="16" t="str">
        <f>IF('28'!A54="","",'28'!A54)</f>
        <v/>
      </c>
      <c r="B54" s="16" t="str">
        <f>IF('28'!B54="","",'28'!B54)</f>
        <v/>
      </c>
      <c r="C54" s="18" t="str">
        <f>IF('28'!C54="","",'28'!C54)</f>
        <v/>
      </c>
      <c r="D54" s="253" t="str">
        <f>IF('28'!D54="","",'28'!D54)</f>
        <v/>
      </c>
      <c r="E54" s="18" t="str">
        <f>IF('28'!E54="","",'28'!E54)</f>
        <v/>
      </c>
      <c r="F54" s="253" t="str">
        <f>IF('28'!F54="","",'28'!F54)</f>
        <v/>
      </c>
      <c r="G54" s="17" t="str">
        <f>IF('28'!G54="","",'28'!G54)</f>
        <v/>
      </c>
    </row>
    <row r="55" spans="1:7" ht="23.1" customHeight="1">
      <c r="A55" s="16" t="str">
        <f>IF('28'!A55="","",'28'!A55)</f>
        <v/>
      </c>
      <c r="B55" s="16" t="str">
        <f>IF('28'!B55="","",'28'!B55)</f>
        <v/>
      </c>
      <c r="C55" s="18" t="str">
        <f>IF('28'!C55="","",'28'!C55)</f>
        <v/>
      </c>
      <c r="D55" s="253" t="str">
        <f>IF('28'!D55="","",'28'!D55)</f>
        <v/>
      </c>
      <c r="E55" s="18" t="str">
        <f>IF('28'!E55="","",'28'!E55)</f>
        <v/>
      </c>
      <c r="F55" s="253" t="str">
        <f>IF('28'!F55="","",'28'!F55)</f>
        <v/>
      </c>
      <c r="G55" s="17" t="str">
        <f>IF('28'!G55="","",'28'!G55)</f>
        <v/>
      </c>
    </row>
    <row r="56" spans="1:7" ht="23.1" customHeight="1">
      <c r="A56" s="16" t="str">
        <f>IF('28'!A56="","",'28'!A56)</f>
        <v/>
      </c>
      <c r="B56" s="16" t="str">
        <f>IF('28'!B56="","",'28'!B56)</f>
        <v/>
      </c>
      <c r="C56" s="18" t="str">
        <f>IF('28'!C56="","",'28'!C56)</f>
        <v/>
      </c>
      <c r="D56" s="253" t="str">
        <f>IF('28'!D56="","",'28'!D56)</f>
        <v/>
      </c>
      <c r="E56" s="18" t="str">
        <f>IF('28'!E56="","",'28'!E56)</f>
        <v/>
      </c>
      <c r="F56" s="253" t="str">
        <f>IF('28'!F56="","",'28'!F56)</f>
        <v/>
      </c>
      <c r="G56" s="17" t="str">
        <f>IF('28'!G56="","",'28'!G56)</f>
        <v/>
      </c>
    </row>
    <row r="57" spans="1:7" ht="23.1" customHeight="1">
      <c r="A57" s="16" t="str">
        <f>IF('28'!A57="","",'28'!A57)</f>
        <v/>
      </c>
      <c r="B57" s="16" t="str">
        <f>IF('28'!B57="","",'28'!B57)</f>
        <v/>
      </c>
      <c r="C57" s="18" t="str">
        <f>IF('28'!C57="","",'28'!C57)</f>
        <v/>
      </c>
      <c r="D57" s="253" t="str">
        <f>IF('28'!D57="","",'28'!D57)</f>
        <v/>
      </c>
      <c r="E57" s="18" t="str">
        <f>IF('28'!E57="","",'28'!E57)</f>
        <v/>
      </c>
      <c r="F57" s="253" t="str">
        <f>IF('28'!F57="","",'28'!F57)</f>
        <v/>
      </c>
      <c r="G57" s="17" t="str">
        <f>IF('28'!G57="","",'28'!G57)</f>
        <v/>
      </c>
    </row>
    <row r="58" spans="1:7" ht="23.1" customHeight="1">
      <c r="A58" s="16" t="str">
        <f>IF('28'!A58="","",'28'!A58)</f>
        <v/>
      </c>
      <c r="B58" s="16" t="str">
        <f>IF('28'!B58="","",'28'!B58)</f>
        <v/>
      </c>
      <c r="C58" s="18" t="str">
        <f>IF('28'!C58="","",'28'!C58)</f>
        <v/>
      </c>
      <c r="D58" s="253" t="str">
        <f>IF('28'!D58="","",'28'!D58)</f>
        <v/>
      </c>
      <c r="E58" s="18" t="str">
        <f>IF('28'!E58="","",'28'!E58)</f>
        <v/>
      </c>
      <c r="F58" s="253" t="str">
        <f>IF('28'!F58="","",'28'!F58)</f>
        <v/>
      </c>
      <c r="G58" s="17" t="str">
        <f>IF('28'!G58="","",'28'!G58)</f>
        <v/>
      </c>
    </row>
    <row r="59" spans="1:7" ht="23.1" customHeight="1">
      <c r="A59" s="16" t="str">
        <f>IF('28'!A59="","",'28'!A59)</f>
        <v/>
      </c>
      <c r="B59" s="16" t="str">
        <f>IF('28'!B59="","",'28'!B59)</f>
        <v/>
      </c>
      <c r="C59" s="18" t="str">
        <f>IF('28'!C59="","",'28'!C59)</f>
        <v/>
      </c>
      <c r="D59" s="253" t="str">
        <f>IF('28'!D59="","",'28'!D59)</f>
        <v/>
      </c>
      <c r="E59" s="18" t="str">
        <f>IF('28'!E59="","",'28'!E59)</f>
        <v/>
      </c>
      <c r="F59" s="253" t="str">
        <f>IF('28'!F59="","",'28'!F59)</f>
        <v/>
      </c>
      <c r="G59" s="17" t="str">
        <f>IF('28'!G59="","",'28'!G59)</f>
        <v/>
      </c>
    </row>
    <row r="60" spans="1:7" ht="23.1" customHeight="1">
      <c r="A60" s="16" t="str">
        <f>IF('28'!A60="","",'28'!A60)</f>
        <v/>
      </c>
      <c r="B60" s="16" t="str">
        <f>IF('28'!B60="","",'28'!B60)</f>
        <v/>
      </c>
      <c r="C60" s="18" t="str">
        <f>IF('28'!C60="","",'28'!C60)</f>
        <v/>
      </c>
      <c r="D60" s="253" t="str">
        <f>IF('28'!D60="","",'28'!D60)</f>
        <v/>
      </c>
      <c r="E60" s="18" t="str">
        <f>IF('28'!E60="","",'28'!E60)</f>
        <v/>
      </c>
      <c r="F60" s="253" t="str">
        <f>IF('28'!F60="","",'28'!F60)</f>
        <v/>
      </c>
      <c r="G60" s="17" t="str">
        <f>IF('28'!G60="","",'28'!G60)</f>
        <v/>
      </c>
    </row>
    <row r="61" spans="1:7" ht="23.1" customHeight="1">
      <c r="A61" s="16" t="str">
        <f>IF('28'!A61="","",'28'!A61)</f>
        <v/>
      </c>
      <c r="B61" s="16" t="str">
        <f>IF('28'!B61="","",'28'!B61)</f>
        <v/>
      </c>
      <c r="C61" s="18" t="str">
        <f>IF('28'!C61="","",'28'!C61)</f>
        <v/>
      </c>
      <c r="D61" s="253" t="str">
        <f>IF('28'!D61="","",'28'!D61)</f>
        <v/>
      </c>
      <c r="E61" s="18" t="str">
        <f>IF('28'!E61="","",'28'!E61)</f>
        <v/>
      </c>
      <c r="F61" s="253" t="str">
        <f>IF('28'!F61="","",'28'!F61)</f>
        <v/>
      </c>
      <c r="G61" s="17" t="str">
        <f>IF('28'!G61="","",'28'!G61)</f>
        <v/>
      </c>
    </row>
    <row r="62" spans="1:7" ht="23.1" customHeight="1">
      <c r="A62" s="16" t="str">
        <f>IF('28'!A62="","",'28'!A62)</f>
        <v/>
      </c>
      <c r="B62" s="16" t="str">
        <f>IF('28'!B62="","",'28'!B62)</f>
        <v/>
      </c>
      <c r="C62" s="18" t="str">
        <f>IF('28'!C62="","",'28'!C62)</f>
        <v/>
      </c>
      <c r="D62" s="253" t="str">
        <f>IF('28'!D62="","",'28'!D62)</f>
        <v/>
      </c>
      <c r="E62" s="18" t="str">
        <f>IF('28'!E62="","",'28'!E62)</f>
        <v/>
      </c>
      <c r="F62" s="253" t="str">
        <f>IF('28'!F62="","",'28'!F62)</f>
        <v/>
      </c>
      <c r="G62" s="17" t="str">
        <f>IF('28'!G62="","",'28'!G62)</f>
        <v/>
      </c>
    </row>
    <row r="63" spans="1:7" ht="23.1" customHeight="1">
      <c r="A63" s="16" t="str">
        <f>IF('28'!A63="","",'28'!A63)</f>
        <v/>
      </c>
      <c r="B63" s="16" t="str">
        <f>IF('28'!B63="","",'28'!B63)</f>
        <v/>
      </c>
      <c r="C63" s="18" t="str">
        <f>IF('28'!C63="","",'28'!C63)</f>
        <v/>
      </c>
      <c r="D63" s="253" t="str">
        <f>IF('28'!D63="","",'28'!D63)</f>
        <v/>
      </c>
      <c r="E63" s="18" t="str">
        <f>IF('28'!E63="","",'28'!E63)</f>
        <v/>
      </c>
      <c r="F63" s="253" t="str">
        <f>IF('28'!F63="","",'28'!F63)</f>
        <v/>
      </c>
      <c r="G63" s="17" t="str">
        <f>IF('28'!G63="","",'28'!G63)</f>
        <v/>
      </c>
    </row>
    <row r="64" spans="1:7" ht="23.1" customHeight="1">
      <c r="A64" s="16" t="str">
        <f>IF('28'!A64="","",'28'!A64)</f>
        <v/>
      </c>
      <c r="B64" s="16" t="str">
        <f>IF('28'!B64="","",'28'!B64)</f>
        <v/>
      </c>
      <c r="C64" s="18" t="str">
        <f>IF('28'!C64="","",'28'!C64)</f>
        <v/>
      </c>
      <c r="D64" s="253" t="str">
        <f>IF('28'!D64="","",'28'!D64)</f>
        <v/>
      </c>
      <c r="E64" s="18" t="str">
        <f>IF('28'!E64="","",'28'!E64)</f>
        <v/>
      </c>
      <c r="F64" s="253" t="str">
        <f>IF('28'!F64="","",'28'!F64)</f>
        <v/>
      </c>
      <c r="G64" s="17" t="str">
        <f>IF('28'!G64="","",'28'!G64)</f>
        <v/>
      </c>
    </row>
    <row r="65" spans="1:7" ht="23.1" customHeight="1">
      <c r="A65" s="16" t="str">
        <f>IF('28'!A65="","",'28'!A65)</f>
        <v/>
      </c>
      <c r="B65" s="16" t="str">
        <f>IF('28'!B65="","",'28'!B65)</f>
        <v/>
      </c>
      <c r="C65" s="18" t="str">
        <f>IF('28'!C65="","",'28'!C65)</f>
        <v/>
      </c>
      <c r="D65" s="253" t="str">
        <f>IF('28'!D65="","",'28'!D65)</f>
        <v/>
      </c>
      <c r="E65" s="18" t="str">
        <f>IF('28'!E65="","",'28'!E65)</f>
        <v/>
      </c>
      <c r="F65" s="253" t="str">
        <f>IF('28'!F65="","",'28'!F65)</f>
        <v/>
      </c>
      <c r="G65" s="17" t="str">
        <f>IF('28'!G65="","",'28'!G65)</f>
        <v/>
      </c>
    </row>
    <row r="66" spans="1:7" ht="23.1" customHeight="1">
      <c r="A66" s="16" t="str">
        <f>IF('28'!A66="","",'28'!A66)</f>
        <v/>
      </c>
      <c r="B66" s="16" t="str">
        <f>IF('28'!B66="","",'28'!B66)</f>
        <v/>
      </c>
      <c r="C66" s="18" t="str">
        <f>IF('28'!C66="","",'28'!C66)</f>
        <v/>
      </c>
      <c r="D66" s="253" t="str">
        <f>IF('28'!D66="","",'28'!D66)</f>
        <v/>
      </c>
      <c r="E66" s="18" t="str">
        <f>IF('28'!E66="","",'28'!E66)</f>
        <v/>
      </c>
      <c r="F66" s="253" t="str">
        <f>IF('28'!F66="","",'28'!F66)</f>
        <v/>
      </c>
      <c r="G66" s="17" t="str">
        <f>IF('28'!G66="","",'28'!G66)</f>
        <v/>
      </c>
    </row>
    <row r="67" spans="1:7" ht="23.1" customHeight="1">
      <c r="A67" s="16" t="str">
        <f>IF('28'!A67="","",'28'!A67)</f>
        <v/>
      </c>
      <c r="B67" s="16" t="str">
        <f>IF('28'!B67="","",'28'!B67)</f>
        <v/>
      </c>
      <c r="C67" s="18" t="str">
        <f>IF('28'!C67="","",'28'!C67)</f>
        <v/>
      </c>
      <c r="D67" s="253" t="str">
        <f>IF('28'!D67="","",'28'!D67)</f>
        <v/>
      </c>
      <c r="E67" s="18" t="str">
        <f>IF('28'!E67="","",'28'!E67)</f>
        <v/>
      </c>
      <c r="F67" s="253" t="str">
        <f>IF('28'!F67="","",'28'!F67)</f>
        <v/>
      </c>
      <c r="G67" s="17" t="str">
        <f>IF('28'!G67="","",'28'!G67)</f>
        <v/>
      </c>
    </row>
    <row r="68" spans="1:7" ht="23.1" customHeight="1">
      <c r="A68" s="16" t="str">
        <f>IF('28'!A68="","",'28'!A68)</f>
        <v/>
      </c>
      <c r="B68" s="16" t="str">
        <f>IF('28'!B68="","",'28'!B68)</f>
        <v/>
      </c>
      <c r="C68" s="18" t="str">
        <f>IF('28'!C68="","",'28'!C68)</f>
        <v/>
      </c>
      <c r="D68" s="253" t="str">
        <f>IF('28'!D68="","",'28'!D68)</f>
        <v/>
      </c>
      <c r="E68" s="18" t="str">
        <f>IF('28'!E68="","",'28'!E68)</f>
        <v/>
      </c>
      <c r="F68" s="253" t="str">
        <f>IF('28'!F68="","",'28'!F68)</f>
        <v/>
      </c>
      <c r="G68" s="17" t="str">
        <f>IF('28'!G68="","",'28'!G68)</f>
        <v/>
      </c>
    </row>
    <row r="69" spans="1:7" ht="23.1" customHeight="1">
      <c r="A69" s="16" t="str">
        <f>IF('28'!A69="","",'28'!A69)</f>
        <v/>
      </c>
      <c r="B69" s="16" t="str">
        <f>IF('28'!B69="","",'28'!B69)</f>
        <v/>
      </c>
      <c r="C69" s="18" t="str">
        <f>IF('28'!C69="","",'28'!C69)</f>
        <v/>
      </c>
      <c r="D69" s="253" t="str">
        <f>IF('28'!D69="","",'28'!D69)</f>
        <v/>
      </c>
      <c r="E69" s="18" t="str">
        <f>IF('28'!E69="","",'28'!E69)</f>
        <v/>
      </c>
      <c r="F69" s="253" t="str">
        <f>IF('28'!F69="","",'28'!F69)</f>
        <v/>
      </c>
      <c r="G69" s="17" t="str">
        <f>IF('28'!G69="","",'28'!G69)</f>
        <v/>
      </c>
    </row>
    <row r="70" spans="1:7" ht="23.1" customHeight="1">
      <c r="A70" s="16" t="str">
        <f>IF('28'!A70="","",'28'!A70)</f>
        <v/>
      </c>
      <c r="B70" s="16" t="str">
        <f>IF('28'!B70="","",'28'!B70)</f>
        <v/>
      </c>
      <c r="C70" s="18" t="str">
        <f>IF('28'!C70="","",'28'!C70)</f>
        <v/>
      </c>
      <c r="D70" s="253" t="str">
        <f>IF('28'!D70="","",'28'!D70)</f>
        <v/>
      </c>
      <c r="E70" s="18" t="str">
        <f>IF('28'!E70="","",'28'!E70)</f>
        <v/>
      </c>
      <c r="F70" s="253" t="str">
        <f>IF('28'!F70="","",'28'!F70)</f>
        <v/>
      </c>
      <c r="G70" s="17" t="str">
        <f>IF('28'!G70="","",'28'!G70)</f>
        <v/>
      </c>
    </row>
    <row r="71" spans="1:7" ht="23.1" customHeight="1">
      <c r="A71" s="16" t="str">
        <f>IF('28'!A71="","",'28'!A71)</f>
        <v/>
      </c>
      <c r="B71" s="16" t="str">
        <f>IF('28'!B71="","",'28'!B71)</f>
        <v/>
      </c>
      <c r="C71" s="18" t="str">
        <f>IF('28'!C71="","",'28'!C71)</f>
        <v/>
      </c>
      <c r="D71" s="253" t="str">
        <f>IF('28'!D71="","",'28'!D71)</f>
        <v/>
      </c>
      <c r="E71" s="18" t="str">
        <f>IF('28'!E71="","",'28'!E71)</f>
        <v/>
      </c>
      <c r="F71" s="253" t="str">
        <f>IF('28'!F71="","",'28'!F71)</f>
        <v/>
      </c>
      <c r="G71" s="17" t="str">
        <f>IF('28'!G71="","",'28'!G71)</f>
        <v/>
      </c>
    </row>
    <row r="72" spans="1:7" ht="23.1" customHeight="1">
      <c r="A72" s="16" t="str">
        <f>IF('28'!A72="","",'28'!A72)</f>
        <v/>
      </c>
      <c r="B72" s="16" t="str">
        <f>IF('28'!B72="","",'28'!B72)</f>
        <v/>
      </c>
      <c r="C72" s="18" t="str">
        <f>IF('28'!C72="","",'28'!C72)</f>
        <v/>
      </c>
      <c r="D72" s="253" t="str">
        <f>IF('28'!D72="","",'28'!D72)</f>
        <v/>
      </c>
      <c r="E72" s="18" t="str">
        <f>IF('28'!E72="","",'28'!E72)</f>
        <v/>
      </c>
      <c r="F72" s="253" t="str">
        <f>IF('28'!F72="","",'28'!F72)</f>
        <v/>
      </c>
      <c r="G72" s="17" t="str">
        <f>IF('28'!G72="","",'28'!G72)</f>
        <v/>
      </c>
    </row>
    <row r="73" spans="1:7" ht="23.1" customHeight="1">
      <c r="A73" s="16" t="str">
        <f>IF('28'!A73="","",'28'!A73)</f>
        <v/>
      </c>
      <c r="B73" s="16" t="str">
        <f>IF('28'!B73="","",'28'!B73)</f>
        <v/>
      </c>
      <c r="C73" s="18" t="str">
        <f>IF('28'!C73="","",'28'!C73)</f>
        <v/>
      </c>
      <c r="D73" s="253" t="str">
        <f>IF('28'!D73="","",'28'!D73)</f>
        <v/>
      </c>
      <c r="E73" s="18" t="str">
        <f>IF('28'!E73="","",'28'!E73)</f>
        <v/>
      </c>
      <c r="F73" s="253" t="str">
        <f>IF('28'!F73="","",'28'!F73)</f>
        <v/>
      </c>
      <c r="G73" s="17" t="str">
        <f>IF('28'!G73="","",'28'!G73)</f>
        <v/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1BE15-39FE-4E23-93B4-E81B8FFA66EE}">
  <sheetPr codeName="Sheet23">
    <tabColor rgb="FF0070C0"/>
  </sheetPr>
  <dimension ref="A4:J16"/>
  <sheetViews>
    <sheetView view="pageBreakPreview" topLeftCell="A4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'29_中D'!C7</f>
        <v xml:space="preserve">2025 Fuji Horse Show Autumn Grand Prix CSI1*-W Fuji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'29_中D'!B8</f>
        <v>29</v>
      </c>
      <c r="C6" s="142" t="s">
        <v>42</v>
      </c>
      <c r="D6" s="145" t="str">
        <f>'29_中D'!D8:F8</f>
        <v>フジ中障害飛越競技Dファイナル（二段階）</v>
      </c>
    </row>
    <row r="8" spans="1:10" ht="30" customHeight="1">
      <c r="C8" s="142" t="s">
        <v>604</v>
      </c>
      <c r="E8" s="147" t="e">
        <f>#REF!</f>
        <v>#REF!</v>
      </c>
    </row>
    <row r="9" spans="1:10" ht="30" customHeight="1">
      <c r="C9" s="142" t="s">
        <v>605</v>
      </c>
      <c r="E9" s="147" t="e">
        <f>#REF!</f>
        <v>#REF!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319" t="s">
        <v>616</v>
      </c>
      <c r="E12" s="319"/>
      <c r="F12" s="146"/>
      <c r="G12" s="146"/>
    </row>
    <row r="13" spans="1:10" ht="30" customHeight="1">
      <c r="C13" s="142" t="s">
        <v>610</v>
      </c>
      <c r="D13" s="319" t="s">
        <v>617</v>
      </c>
      <c r="E13" s="319"/>
      <c r="F13" s="146"/>
      <c r="G13" s="146"/>
    </row>
    <row r="14" spans="1:10" ht="30" customHeight="1">
      <c r="C14" s="142" t="s">
        <v>612</v>
      </c>
      <c r="D14" s="319" t="s">
        <v>609</v>
      </c>
      <c r="E14" s="319"/>
      <c r="G14" s="146"/>
    </row>
    <row r="15" spans="1:10" ht="30" customHeight="1">
      <c r="C15" s="142" t="s">
        <v>613</v>
      </c>
      <c r="D15" s="319" t="s">
        <v>618</v>
      </c>
      <c r="E15" s="319"/>
      <c r="G15" s="146"/>
    </row>
    <row r="16" spans="1:10" ht="30" customHeight="1">
      <c r="C16" s="142" t="s">
        <v>614</v>
      </c>
      <c r="D16" s="319" t="s">
        <v>619</v>
      </c>
      <c r="E16" s="319"/>
      <c r="F16" s="145"/>
      <c r="G16" s="145"/>
    </row>
  </sheetData>
  <mergeCells count="7">
    <mergeCell ref="D16:E16"/>
    <mergeCell ref="A4:J4"/>
    <mergeCell ref="C11:G11"/>
    <mergeCell ref="D12:E12"/>
    <mergeCell ref="D13:E13"/>
    <mergeCell ref="D14:E14"/>
    <mergeCell ref="D15:E15"/>
  </mergeCells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97FC4-98A5-4F5E-9CA1-8AD8C29CD7B9}">
  <sheetPr codeName="Sheet24">
    <tabColor rgb="FF0070C0"/>
  </sheetPr>
  <dimension ref="A4:J16"/>
  <sheetViews>
    <sheetView view="pageBreakPreview" topLeftCell="A5" zoomScale="79" zoomScaleNormal="100" zoomScaleSheetLayoutView="79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8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'29_中D'!C7</f>
        <v xml:space="preserve">2025 Fuji Horse Show Autumn Grand Prix CSI1*-W Fuji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'29_中D'!B8</f>
        <v>29</v>
      </c>
      <c r="C6" s="142" t="s">
        <v>42</v>
      </c>
      <c r="D6" s="145" t="str">
        <f>'29'!F4</f>
        <v>フジ中障害飛越競技Dファイナル（二段階）</v>
      </c>
    </row>
    <row r="8" spans="1:10" ht="30" customHeight="1">
      <c r="C8" s="142" t="s">
        <v>604</v>
      </c>
      <c r="E8" s="149">
        <v>0.64583333333333337</v>
      </c>
    </row>
    <row r="9" spans="1:10" ht="30" customHeight="1">
      <c r="C9" s="142" t="s">
        <v>605</v>
      </c>
      <c r="E9" s="147">
        <v>0.65625</v>
      </c>
      <c r="F9" s="142" t="s">
        <v>606</v>
      </c>
    </row>
    <row r="11" spans="1:10" ht="30" customHeight="1">
      <c r="C11" s="319" t="s">
        <v>607</v>
      </c>
      <c r="D11" s="319"/>
      <c r="E11" s="319"/>
      <c r="F11" s="319"/>
      <c r="G11" s="319"/>
    </row>
    <row r="12" spans="1:10" ht="30" customHeight="1">
      <c r="C12" s="142" t="s">
        <v>608</v>
      </c>
      <c r="D12" s="175">
        <v>80000</v>
      </c>
      <c r="F12" s="146"/>
      <c r="G12" s="146"/>
    </row>
    <row r="13" spans="1:10" ht="30" customHeight="1">
      <c r="C13" s="142" t="s">
        <v>610</v>
      </c>
      <c r="D13" s="175">
        <v>45000</v>
      </c>
      <c r="F13" s="146"/>
      <c r="G13" s="146"/>
    </row>
    <row r="14" spans="1:10" ht="30" customHeight="1">
      <c r="C14" s="142" t="s">
        <v>612</v>
      </c>
      <c r="D14" s="175">
        <v>30000</v>
      </c>
      <c r="G14" s="146"/>
    </row>
    <row r="15" spans="1:10" ht="30" customHeight="1">
      <c r="C15" s="142" t="s">
        <v>613</v>
      </c>
      <c r="D15" s="175">
        <v>25000</v>
      </c>
      <c r="G15" s="146"/>
    </row>
    <row r="16" spans="1:10" ht="30" customHeight="1">
      <c r="C16" s="142" t="s">
        <v>614</v>
      </c>
      <c r="D16" s="176">
        <v>20000</v>
      </c>
      <c r="E16" s="145"/>
      <c r="F16" s="145"/>
      <c r="G16" s="145"/>
    </row>
  </sheetData>
  <mergeCells count="2">
    <mergeCell ref="A4:J4"/>
    <mergeCell ref="C11:G11"/>
  </mergeCells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">
    <tabColor rgb="FF0070C0"/>
  </sheetPr>
  <dimension ref="A1:G73"/>
  <sheetViews>
    <sheetView view="pageBreakPreview" topLeftCell="A30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30" customWidth="1"/>
    <col min="4" max="4" width="7.88671875" style="254" customWidth="1"/>
    <col min="5" max="5" width="23.6640625" style="130" customWidth="1"/>
    <col min="6" max="6" width="9.88671875" style="254" customWidth="1"/>
    <col min="7" max="7" width="30.6640625" style="1" customWidth="1"/>
    <col min="8" max="16384" width="10.6640625" style="1"/>
  </cols>
  <sheetData>
    <row r="1" spans="1:7" hidden="1">
      <c r="C1" s="129"/>
    </row>
    <row r="2" spans="1:7" hidden="1">
      <c r="C2" s="129" t="s">
        <v>40</v>
      </c>
    </row>
    <row r="3" spans="1:7" hidden="1">
      <c r="C3" s="129"/>
    </row>
    <row r="4" spans="1:7" hidden="1"/>
    <row r="5" spans="1:7" hidden="1"/>
    <row r="6" spans="1:7" ht="20.100000000000001" customHeight="1">
      <c r="A6" s="3"/>
      <c r="B6" s="4" t="s">
        <v>1</v>
      </c>
      <c r="C6" s="131"/>
      <c r="D6" s="255"/>
      <c r="F6" s="255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'29'!C3</f>
        <v xml:space="preserve">2025 Fuji Horse Show Autumn Grand Prix CSI1*-W Fuji </v>
      </c>
      <c r="D7" s="256"/>
      <c r="E7" s="137"/>
      <c r="F7" s="256"/>
      <c r="G7" s="308" t="s">
        <v>1523</v>
      </c>
    </row>
    <row r="8" spans="1:7" ht="21" customHeight="1">
      <c r="A8" s="10" t="s">
        <v>41</v>
      </c>
      <c r="B8" s="70">
        <f>'29'!C4</f>
        <v>29</v>
      </c>
      <c r="C8" s="132" t="s">
        <v>42</v>
      </c>
      <c r="D8" s="311" t="str">
        <f>'29'!F4</f>
        <v>フジ中障害飛越競技Dファイナル（二段階）</v>
      </c>
      <c r="E8" s="311"/>
      <c r="F8" s="311"/>
    </row>
    <row r="9" spans="1:7" ht="18.75" customHeight="1">
      <c r="C9" s="133" t="s">
        <v>11</v>
      </c>
      <c r="D9" s="257">
        <f>'29'!D5</f>
        <v>12</v>
      </c>
      <c r="E9" s="132" t="s">
        <v>9</v>
      </c>
      <c r="F9" s="259" t="str">
        <f>'29'!K4</f>
        <v>中障害D</v>
      </c>
    </row>
    <row r="10" spans="1:7" ht="21" customHeight="1">
      <c r="A10" s="12" t="s">
        <v>43</v>
      </c>
      <c r="B10" s="12"/>
      <c r="C10" s="133"/>
      <c r="D10" s="258" t="str">
        <f>'29'!D6</f>
        <v>-</v>
      </c>
      <c r="E10" s="132" t="s">
        <v>12</v>
      </c>
      <c r="F10" s="260" t="str">
        <f>'29'!F5</f>
        <v>★★★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34" t="s">
        <v>52</v>
      </c>
      <c r="D13" s="15" t="s">
        <v>53</v>
      </c>
      <c r="E13" s="138" t="s">
        <v>54</v>
      </c>
      <c r="F13" s="15" t="s">
        <v>55</v>
      </c>
      <c r="G13" s="310"/>
    </row>
    <row r="14" spans="1:7" s="19" customFormat="1" ht="23.1" customHeight="1">
      <c r="A14" s="16" t="str">
        <f>IF('29'!A14="","",'29'!A14)</f>
        <v/>
      </c>
      <c r="B14" s="16">
        <f>IF('29'!B14="","",'29'!B14)</f>
        <v>1</v>
      </c>
      <c r="C14" s="135" t="str">
        <f>IF('29'!C14="","",'29'!C14)</f>
        <v>林　義昌</v>
      </c>
      <c r="D14" s="252">
        <f>IF('29'!D14="","",'29'!D14)</f>
        <v>18717</v>
      </c>
      <c r="E14" s="135" t="str">
        <f>IF('29'!E14="","",'29'!E14)</f>
        <v>ラストドラフト</v>
      </c>
      <c r="F14" s="252">
        <f>IF('29'!F14="","",'29'!F14)</f>
        <v>61372</v>
      </c>
      <c r="G14" s="17" t="str">
        <f>IF('29'!G14="","",'29'!G14)</f>
        <v>北総乗馬クラブ</v>
      </c>
    </row>
    <row r="15" spans="1:7" s="19" customFormat="1" ht="23.1" customHeight="1">
      <c r="A15" s="16" t="str">
        <f>IF('29'!A15="","",'29'!A15)</f>
        <v/>
      </c>
      <c r="B15" s="16">
        <f>IF('29'!B15="","",'29'!B15)</f>
        <v>2</v>
      </c>
      <c r="C15" s="135" t="str">
        <f>IF('29'!C15="","",'29'!C15)</f>
        <v>川口　飛鳥</v>
      </c>
      <c r="D15" s="252">
        <f>IF('29'!D15="","",'29'!D15)</f>
        <v>27498</v>
      </c>
      <c r="E15" s="135" t="str">
        <f>IF('29'!E15="","",'29'!E15)</f>
        <v>ハリーポッター・D</v>
      </c>
      <c r="F15" s="252">
        <f>IF('29'!F15="","",'29'!F15)</f>
        <v>57474</v>
      </c>
      <c r="G15" s="17" t="str">
        <f>IF('29'!G15="","",'29'!G15)</f>
        <v>ライディングクラブフジファーム</v>
      </c>
    </row>
    <row r="16" spans="1:7" s="19" customFormat="1" ht="23.1" customHeight="1">
      <c r="A16" s="16" t="str">
        <f>IF('29'!A16="","",'29'!A16)</f>
        <v/>
      </c>
      <c r="B16" s="16">
        <f>IF('29'!B16="","",'29'!B16)</f>
        <v>3</v>
      </c>
      <c r="C16" s="135" t="str">
        <f>IF('29'!C16="","",'29'!C16)</f>
        <v>秋山　花吏奈</v>
      </c>
      <c r="D16" s="252">
        <f>IF('29'!D16="","",'29'!D16)</f>
        <v>32313</v>
      </c>
      <c r="E16" s="135" t="str">
        <f>IF('29'!E16="","",'29'!E16)</f>
        <v>プルプァズィガーZ</v>
      </c>
      <c r="F16" s="252">
        <f>IF('29'!F16="","",'29'!F16)</f>
        <v>58633</v>
      </c>
      <c r="G16" s="17" t="str">
        <f>IF('29'!G16="","",'29'!G16)</f>
        <v>Horse'sNewStage</v>
      </c>
    </row>
    <row r="17" spans="1:7" s="19" customFormat="1" ht="23.1" customHeight="1">
      <c r="A17" s="16" t="str">
        <f>IF('29'!A17="","",'29'!A17)</f>
        <v/>
      </c>
      <c r="B17" s="16">
        <f>IF('29'!B17="","",'29'!B17)</f>
        <v>4</v>
      </c>
      <c r="C17" s="135" t="str">
        <f>IF('29'!C17="","",'29'!C17)</f>
        <v>川口　大輔</v>
      </c>
      <c r="D17" s="252">
        <f>IF('29'!D17="","",'29'!D17)</f>
        <v>13141</v>
      </c>
      <c r="E17" s="135" t="str">
        <f>IF('29'!E17="","",'29'!E17)</f>
        <v>モキハナ</v>
      </c>
      <c r="F17" s="252">
        <f>IF('29'!F17="","",'29'!F17)</f>
        <v>62098</v>
      </c>
      <c r="G17" s="17" t="str">
        <f>IF('29'!G17="","",'29'!G17)</f>
        <v>ライディングクラブフジファーム</v>
      </c>
    </row>
    <row r="18" spans="1:7" s="19" customFormat="1" ht="23.1" customHeight="1">
      <c r="A18" s="16" t="str">
        <f>IF('29'!A18="","",'29'!A18)</f>
        <v/>
      </c>
      <c r="B18" s="16">
        <f>IF('29'!B18="","",'29'!B18)</f>
        <v>5</v>
      </c>
      <c r="C18" s="135" t="str">
        <f>IF('29'!C18="","",'29'!C18)</f>
        <v>須藤　すみれ</v>
      </c>
      <c r="D18" s="252">
        <f>IF('29'!D18="","",'29'!D18)</f>
        <v>34060</v>
      </c>
      <c r="E18" s="135" t="str">
        <f>IF('29'!E18="","",'29'!E18)</f>
        <v>スーリアラヴィ</v>
      </c>
      <c r="F18" s="252">
        <f>IF('29'!F18="","",'29'!F18)</f>
        <v>62130</v>
      </c>
      <c r="G18" s="17" t="str">
        <f>IF('29'!G18="","",'29'!G18)</f>
        <v>STAR HORSES</v>
      </c>
    </row>
    <row r="19" spans="1:7" s="19" customFormat="1" ht="23.1" customHeight="1">
      <c r="A19" s="16" t="str">
        <f>IF('29'!A19="","",'29'!A19)</f>
        <v/>
      </c>
      <c r="B19" s="16">
        <f>IF('29'!B19="","",'29'!B19)</f>
        <v>6</v>
      </c>
      <c r="C19" s="135" t="str">
        <f>IF('29'!C19="","",'29'!C19)</f>
        <v>島貫　咲雅</v>
      </c>
      <c r="D19" s="252">
        <f>IF('29'!D19="","",'29'!D19)</f>
        <v>26053</v>
      </c>
      <c r="E19" s="135" t="str">
        <f>IF('29'!E19="","",'29'!E19)</f>
        <v>フォンガンツ</v>
      </c>
      <c r="F19" s="252">
        <f>IF('29'!F19="","",'29'!F19)</f>
        <v>61561</v>
      </c>
      <c r="G19" s="17" t="str">
        <f>IF('29'!G19="","",'29'!G19)</f>
        <v>岡本ライディングクラブJAPAN</v>
      </c>
    </row>
    <row r="20" spans="1:7" s="19" customFormat="1" ht="23.1" customHeight="1">
      <c r="A20" s="16" t="str">
        <f>IF('29'!A20="","",'29'!A20)</f>
        <v/>
      </c>
      <c r="B20" s="16">
        <f>IF('29'!B20="","",'29'!B20)</f>
        <v>7</v>
      </c>
      <c r="C20" s="135" t="str">
        <f>IF('29'!C20="","",'29'!C20)</f>
        <v>増田　惺太</v>
      </c>
      <c r="D20" s="252">
        <f>IF('29'!D20="","",'29'!D20)</f>
        <v>33558</v>
      </c>
      <c r="E20" s="135" t="str">
        <f>IF('29'!E20="","",'29'!E20)</f>
        <v>ユイマヴェーラ</v>
      </c>
      <c r="F20" s="252">
        <f>IF('29'!F20="","",'29'!F20)</f>
        <v>58736</v>
      </c>
      <c r="G20" s="17" t="str">
        <f>IF('29'!G20="","",'29'!G20)</f>
        <v>静岡乗馬クラブ</v>
      </c>
    </row>
    <row r="21" spans="1:7" s="19" customFormat="1" ht="23.1" customHeight="1">
      <c r="A21" s="16" t="str">
        <f>IF('29'!A21="","",'29'!A21)</f>
        <v/>
      </c>
      <c r="B21" s="16">
        <f>IF('29'!B21="","",'29'!B21)</f>
        <v>8</v>
      </c>
      <c r="C21" s="135" t="str">
        <f>IF('29'!C21="","",'29'!C21)</f>
        <v>松岡　健心</v>
      </c>
      <c r="D21" s="252">
        <f>IF('29'!D21="","",'29'!D21)</f>
        <v>30642</v>
      </c>
      <c r="E21" s="135" t="str">
        <f>IF('29'!E21="","",'29'!E21)</f>
        <v>カービー</v>
      </c>
      <c r="F21" s="252">
        <f>IF('29'!F21="","",'29'!F21)</f>
        <v>58902</v>
      </c>
      <c r="G21" s="17" t="str">
        <f>IF('29'!G21="","",'29'!G21)</f>
        <v>静岡乗馬クラブ</v>
      </c>
    </row>
    <row r="22" spans="1:7" s="19" customFormat="1" ht="23.1" customHeight="1">
      <c r="A22" s="16" t="str">
        <f>IF('29'!A22="","",'29'!A22)</f>
        <v/>
      </c>
      <c r="B22" s="16">
        <f>IF('29'!B22="","",'29'!B22)</f>
        <v>9</v>
      </c>
      <c r="C22" s="135" t="str">
        <f>IF('29'!C22="","",'29'!C22)</f>
        <v>小林　穂乃花</v>
      </c>
      <c r="D22" s="252">
        <f>IF('29'!D22="","",'29'!D22)</f>
        <v>33930</v>
      </c>
      <c r="E22" s="135" t="str">
        <f>IF('29'!E22="","",'29'!E22)</f>
        <v>ミケランジェロ</v>
      </c>
      <c r="F22" s="252">
        <f>IF('29'!F22="","",'29'!F22)</f>
        <v>61903</v>
      </c>
      <c r="G22" s="17" t="str">
        <f>IF('29'!G22="","",'29'!G22)</f>
        <v>静岡乗馬クラブ</v>
      </c>
    </row>
    <row r="23" spans="1:7" s="19" customFormat="1" ht="23.1" customHeight="1">
      <c r="A23" s="16" t="str">
        <f>IF('29'!A23="","",'29'!A23)</f>
        <v/>
      </c>
      <c r="B23" s="16">
        <f>IF('29'!B23="","",'29'!B23)</f>
        <v>10</v>
      </c>
      <c r="C23" s="135" t="str">
        <f>IF('29'!C23="","",'29'!C23)</f>
        <v>溝口　莉沙</v>
      </c>
      <c r="D23" s="252">
        <f>IF('29'!D23="","",'29'!D23)</f>
        <v>31991</v>
      </c>
      <c r="E23" s="135" t="str">
        <f>IF('29'!E23="","",'29'!E23)</f>
        <v>ハーベスト</v>
      </c>
      <c r="F23" s="252">
        <f>IF('29'!F23="","",'29'!F23)</f>
        <v>57212</v>
      </c>
      <c r="G23" s="17" t="str">
        <f>IF('29'!G23="","",'29'!G23)</f>
        <v>ライディングクラブフジファーム</v>
      </c>
    </row>
    <row r="24" spans="1:7" s="19" customFormat="1" ht="23.1" customHeight="1">
      <c r="A24" s="16" t="str">
        <f>IF('29'!A24="","",'29'!A24)</f>
        <v/>
      </c>
      <c r="B24" s="16">
        <f>IF('29'!B24="","",'29'!B24)</f>
        <v>11</v>
      </c>
      <c r="C24" s="135" t="str">
        <f>IF('29'!C24="","",'29'!C24)</f>
        <v>木下　仁</v>
      </c>
      <c r="D24" s="252">
        <f>IF('29'!D24="","",'29'!D24)</f>
        <v>13449</v>
      </c>
      <c r="E24" s="135" t="str">
        <f>IF('29'!E24="","",'29'!E24)</f>
        <v>マデスカ</v>
      </c>
      <c r="F24" s="252">
        <f>IF('29'!F24="","",'29'!F24)</f>
        <v>60944</v>
      </c>
      <c r="G24" s="17" t="str">
        <f>IF('29'!G24="","",'29'!G24)</f>
        <v>北駿ホースヴィラ</v>
      </c>
    </row>
    <row r="25" spans="1:7" s="19" customFormat="1" ht="23.1" customHeight="1">
      <c r="A25" s="16" t="str">
        <f>IF('29'!A25="","",'29'!A25)</f>
        <v/>
      </c>
      <c r="B25" s="16">
        <f>IF('29'!B25="","",'29'!B25)</f>
        <v>12</v>
      </c>
      <c r="C25" s="135" t="str">
        <f>IF('29'!C25="","",'29'!C25)</f>
        <v>増山　大治郎</v>
      </c>
      <c r="D25" s="252">
        <f>IF('29'!D25="","",'29'!D25)</f>
        <v>12159</v>
      </c>
      <c r="E25" s="135" t="str">
        <f>IF('29'!E25="","",'29'!E25)</f>
        <v>アリス</v>
      </c>
      <c r="F25" s="252">
        <f>IF('29'!F25="","",'29'!F25)</f>
        <v>57710</v>
      </c>
      <c r="G25" s="17" t="str">
        <f>IF('29'!G25="","",'29'!G25)</f>
        <v>筑波スカイラインスティーブル</v>
      </c>
    </row>
    <row r="26" spans="1:7" s="19" customFormat="1" ht="23.1" customHeight="1">
      <c r="A26" s="16" t="str">
        <f>IF('29'!A26="","",'29'!A26)</f>
        <v/>
      </c>
      <c r="B26" s="16">
        <f>IF('29'!B26="","",'29'!B26)</f>
        <v>13</v>
      </c>
      <c r="C26" s="135" t="str">
        <f>IF('29'!C26="","",'29'!C26)</f>
        <v>小田　淳子</v>
      </c>
      <c r="D26" s="252">
        <f>IF('29'!D26="","",'29'!D26)</f>
        <v>25219</v>
      </c>
      <c r="E26" s="135" t="str">
        <f>IF('29'!E26="","",'29'!E26)</f>
        <v>AJ・ナイト</v>
      </c>
      <c r="F26" s="252">
        <f>IF('29'!F26="","",'29'!F26)</f>
        <v>53892</v>
      </c>
      <c r="G26" s="17" t="str">
        <f>IF('29'!G26="","",'29'!G26)</f>
        <v>フジホースライディングクラブ</v>
      </c>
    </row>
    <row r="27" spans="1:7" s="19" customFormat="1" ht="23.1" customHeight="1">
      <c r="A27" s="16" t="str">
        <f>IF('29'!A27="","",'29'!A27)</f>
        <v/>
      </c>
      <c r="B27" s="16">
        <f>IF('29'!B27="","",'29'!B27)</f>
        <v>14</v>
      </c>
      <c r="C27" s="135" t="str">
        <f>IF('29'!C27="","",'29'!C27)</f>
        <v>出澤　真理子</v>
      </c>
      <c r="D27" s="252">
        <f>IF('29'!D27="","",'29'!D27)</f>
        <v>32428</v>
      </c>
      <c r="E27" s="135" t="str">
        <f>IF('29'!E27="","",'29'!E27)</f>
        <v>カステッロ</v>
      </c>
      <c r="F27" s="252">
        <f>IF('29'!F27="","",'29'!F27)</f>
        <v>60948</v>
      </c>
      <c r="G27" s="17" t="str">
        <f>IF('29'!G27="","",'29'!G27)</f>
        <v>STAR HORSES</v>
      </c>
    </row>
    <row r="28" spans="1:7" s="19" customFormat="1" ht="23.1" customHeight="1">
      <c r="A28" s="16" t="str">
        <f>IF('29'!A28="","",'29'!A28)</f>
        <v/>
      </c>
      <c r="B28" s="16">
        <f>IF('29'!B28="","",'29'!B28)</f>
        <v>15</v>
      </c>
      <c r="C28" s="135" t="str">
        <f>IF('29'!C28="","",'29'!C28)</f>
        <v>桑原　咲季</v>
      </c>
      <c r="D28" s="252">
        <f>IF('29'!D28="","",'29'!D28)</f>
        <v>28809</v>
      </c>
      <c r="E28" s="135" t="str">
        <f>IF('29'!E28="","",'29'!E28)</f>
        <v>ジェフティDGK</v>
      </c>
      <c r="F28" s="252">
        <f>IF('29'!F28="","",'29'!F28)</f>
        <v>60576</v>
      </c>
      <c r="G28" s="17" t="str">
        <f>IF('29'!G28="","",'29'!G28)</f>
        <v>八王子乗馬倶楽部</v>
      </c>
    </row>
    <row r="29" spans="1:7" s="19" customFormat="1" ht="23.1" customHeight="1">
      <c r="A29" s="16" t="str">
        <f>IF('29'!A29="","",'29'!A29)</f>
        <v/>
      </c>
      <c r="B29" s="16">
        <f>IF('29'!B29="","",'29'!B29)</f>
        <v>16</v>
      </c>
      <c r="C29" s="135" t="str">
        <f>IF('29'!C29="","",'29'!C29)</f>
        <v>東　彩加</v>
      </c>
      <c r="D29" s="252">
        <f>IF('29'!D29="","",'29'!D29)</f>
        <v>32418</v>
      </c>
      <c r="E29" s="135" t="str">
        <f>IF('29'!E29="","",'29'!E29)</f>
        <v>カスカヴェル</v>
      </c>
      <c r="F29" s="252">
        <f>IF('29'!F29="","",'29'!F29)</f>
        <v>57969</v>
      </c>
      <c r="G29" s="17" t="str">
        <f>IF('29'!G29="","",'29'!G29)</f>
        <v>ペガサス乗馬クラブ</v>
      </c>
    </row>
    <row r="30" spans="1:7" s="19" customFormat="1" ht="23.1" customHeight="1">
      <c r="A30" s="16" t="str">
        <f>IF('29'!A30="","",'29'!A30)</f>
        <v/>
      </c>
      <c r="B30" s="16">
        <f>IF('29'!B30="","",'29'!B30)</f>
        <v>17</v>
      </c>
      <c r="C30" s="135" t="str">
        <f>IF('29'!C30="","",'29'!C30)</f>
        <v>渡部　遼大</v>
      </c>
      <c r="D30" s="252">
        <f>IF('29'!D30="","",'29'!D30)</f>
        <v>33929</v>
      </c>
      <c r="E30" s="135" t="str">
        <f>IF('29'!E30="","",'29'!E30)</f>
        <v>キャリーズセブン</v>
      </c>
      <c r="F30" s="252">
        <f>IF('29'!F30="","",'29'!F30)</f>
        <v>58085</v>
      </c>
      <c r="G30" s="17" t="str">
        <f>IF('29'!G30="","",'29'!G30)</f>
        <v>北総乗馬クラブ</v>
      </c>
    </row>
    <row r="31" spans="1:7" s="19" customFormat="1" ht="23.1" customHeight="1">
      <c r="A31" s="16" t="str">
        <f>IF('29'!A31="","",'29'!A31)</f>
        <v/>
      </c>
      <c r="B31" s="16">
        <f>IF('29'!B31="","",'29'!B31)</f>
        <v>18</v>
      </c>
      <c r="C31" s="135" t="str">
        <f>IF('29'!C31="","",'29'!C31)</f>
        <v>溝口　莉沙</v>
      </c>
      <c r="D31" s="252">
        <f>IF('29'!D31="","",'29'!D31)</f>
        <v>31991</v>
      </c>
      <c r="E31" s="135" t="str">
        <f>IF('29'!E31="","",'29'!E31)</f>
        <v>ローゼスドリーム</v>
      </c>
      <c r="F31" s="252">
        <f>IF('29'!F31="","",'29'!F31)</f>
        <v>57652</v>
      </c>
      <c r="G31" s="17" t="str">
        <f>IF('29'!G31="","",'29'!G31)</f>
        <v>オリエント馬事センター</v>
      </c>
    </row>
    <row r="32" spans="1:7" s="19" customFormat="1" ht="23.1" customHeight="1">
      <c r="A32" s="16" t="str">
        <f>IF('29'!A32="","",'29'!A32)</f>
        <v/>
      </c>
      <c r="B32" s="16">
        <f>IF('29'!B32="","",'29'!B32)</f>
        <v>19</v>
      </c>
      <c r="C32" s="135" t="str">
        <f>IF('29'!C32="","",'29'!C32)</f>
        <v>藤田　魁馬</v>
      </c>
      <c r="D32" s="252">
        <f>IF('29'!D32="","",'29'!D32)</f>
        <v>31537</v>
      </c>
      <c r="E32" s="135" t="str">
        <f>IF('29'!E32="","",'29'!E32)</f>
        <v>フリージア</v>
      </c>
      <c r="F32" s="252">
        <f>IF('29'!F32="","",'29'!F32)</f>
        <v>61051</v>
      </c>
      <c r="G32" s="17" t="str">
        <f>IF('29'!G32="","",'29'!G32)</f>
        <v>フジホースライディングクラブ</v>
      </c>
    </row>
    <row r="33" spans="1:7" s="19" customFormat="1" ht="23.1" customHeight="1">
      <c r="A33" s="16" t="str">
        <f>IF('29'!A33="","",'29'!A33)</f>
        <v/>
      </c>
      <c r="B33" s="16">
        <f>IF('29'!B33="","",'29'!B33)</f>
        <v>20</v>
      </c>
      <c r="C33" s="135" t="str">
        <f>IF('29'!C33="","",'29'!C33)</f>
        <v>須藤　すみれ</v>
      </c>
      <c r="D33" s="252">
        <f>IF('29'!D33="","",'29'!D33)</f>
        <v>34060</v>
      </c>
      <c r="E33" s="135" t="str">
        <f>IF('29'!E33="","",'29'!E33)</f>
        <v>ハッピースマイル</v>
      </c>
      <c r="F33" s="252">
        <f>IF('29'!F33="","",'29'!F33)</f>
        <v>59772</v>
      </c>
      <c r="G33" s="17" t="str">
        <f>IF('29'!G33="","",'29'!G33)</f>
        <v>STAR HORSES</v>
      </c>
    </row>
    <row r="34" spans="1:7" s="19" customFormat="1" ht="23.1" customHeight="1">
      <c r="A34" s="16" t="str">
        <f>IF('29'!A34="","",'29'!A34)</f>
        <v/>
      </c>
      <c r="B34" s="16">
        <f>IF('29'!B34="","",'29'!B34)</f>
        <v>21</v>
      </c>
      <c r="C34" s="135" t="str">
        <f>IF('29'!C34="","",'29'!C34)</f>
        <v>千葉　奈鶴</v>
      </c>
      <c r="D34" s="252">
        <f>IF('29'!D34="","",'29'!D34)</f>
        <v>20359</v>
      </c>
      <c r="E34" s="135" t="str">
        <f>IF('29'!E34="","",'29'!E34)</f>
        <v>イクスプロージョン</v>
      </c>
      <c r="F34" s="252">
        <f>IF('29'!F34="","",'29'!F34)</f>
        <v>61773</v>
      </c>
      <c r="G34" s="17" t="str">
        <f>IF('29'!G34="","",'29'!G34)</f>
        <v>ライディングクラブモーヴァン</v>
      </c>
    </row>
    <row r="35" spans="1:7" s="19" customFormat="1" ht="23.1" customHeight="1">
      <c r="A35" s="16" t="str">
        <f>IF('29'!A35="","",'29'!A35)</f>
        <v/>
      </c>
      <c r="B35" s="16">
        <f>IF('29'!B35="","",'29'!B35)</f>
        <v>22</v>
      </c>
      <c r="C35" s="135" t="str">
        <f>IF('29'!C35="","",'29'!C35)</f>
        <v>藤田　麻夢</v>
      </c>
      <c r="D35" s="252">
        <f>IF('29'!D35="","",'29'!D35)</f>
        <v>33372</v>
      </c>
      <c r="E35" s="135" t="str">
        <f>IF('29'!E35="","",'29'!E35)</f>
        <v>カルチェラタン</v>
      </c>
      <c r="F35" s="252">
        <f>IF('29'!F35="","",'29'!F35)</f>
        <v>56840</v>
      </c>
      <c r="G35" s="17" t="str">
        <f>IF('29'!G35="","",'29'!G35)</f>
        <v>フジホースライディングクラブ</v>
      </c>
    </row>
    <row r="36" spans="1:7" s="19" customFormat="1" ht="23.1" customHeight="1">
      <c r="A36" s="16" t="str">
        <f>IF('29'!A36="","",'29'!A36)</f>
        <v/>
      </c>
      <c r="B36" s="16">
        <f>IF('29'!B36="","",'29'!B36)</f>
        <v>23</v>
      </c>
      <c r="C36" s="135" t="str">
        <f>IF('29'!C36="","",'29'!C36)</f>
        <v>島貫　咲雅</v>
      </c>
      <c r="D36" s="252">
        <f>IF('29'!D36="","",'29'!D36)</f>
        <v>19572</v>
      </c>
      <c r="E36" s="135" t="str">
        <f>IF('29'!E36="","",'29'!E36)</f>
        <v>ココ</v>
      </c>
      <c r="F36" s="252">
        <f>IF('29'!F36="","",'29'!F36)</f>
        <v>59233</v>
      </c>
      <c r="G36" s="17" t="str">
        <f>IF('29'!G36="","",'29'!G36)</f>
        <v>岡本ライディングクラブJAPAN</v>
      </c>
    </row>
    <row r="37" spans="1:7" s="19" customFormat="1" ht="23.1" customHeight="1">
      <c r="A37" s="16" t="str">
        <f>IF('29'!A37="","",'29'!A37)</f>
        <v/>
      </c>
      <c r="B37" s="16">
        <f>IF('29'!B37="","",'29'!B37)</f>
        <v>24</v>
      </c>
      <c r="C37" s="135" t="str">
        <f>IF('29'!C37="","",'29'!C37)</f>
        <v>二位関　奏人</v>
      </c>
      <c r="D37" s="252">
        <f>IF('29'!D37="","",'29'!D37)</f>
        <v>32526</v>
      </c>
      <c r="E37" s="135" t="str">
        <f>IF('29'!E37="","",'29'!E37)</f>
        <v>ビリーカート</v>
      </c>
      <c r="F37" s="252">
        <f>IF('29'!F37="","",'29'!F37)</f>
        <v>57857</v>
      </c>
      <c r="G37" s="17" t="str">
        <f>IF('29'!G37="","",'29'!G37)</f>
        <v>やまがた乗馬クラブ</v>
      </c>
    </row>
    <row r="38" spans="1:7" s="19" customFormat="1" ht="23.1" customHeight="1">
      <c r="A38" s="16" t="str">
        <f>IF('29'!A38="","",'29'!A38)</f>
        <v/>
      </c>
      <c r="B38" s="16">
        <f>IF('29'!B38="","",'29'!B38)</f>
        <v>25</v>
      </c>
      <c r="C38" s="135" t="str">
        <f>IF('29'!C38="","",'29'!C38)</f>
        <v>本間　唯純</v>
      </c>
      <c r="D38" s="252">
        <f>IF('29'!D38="","",'29'!D38)</f>
        <v>14546</v>
      </c>
      <c r="E38" s="135" t="str">
        <f>IF('29'!E38="","",'29'!E38)</f>
        <v>アーチー</v>
      </c>
      <c r="F38" s="252">
        <f>IF('29'!F38="","",'29'!F38)</f>
        <v>60834</v>
      </c>
      <c r="G38" s="17" t="str">
        <f>IF('29'!G38="","",'29'!G38)</f>
        <v>乗馬クラブクレイン神奈川</v>
      </c>
    </row>
    <row r="39" spans="1:7" s="19" customFormat="1" ht="23.1" customHeight="1">
      <c r="A39" s="16" t="str">
        <f>IF('29'!A39="","",'29'!A39)</f>
        <v/>
      </c>
      <c r="B39" s="16">
        <f>IF('29'!B39="","",'29'!B39)</f>
        <v>26</v>
      </c>
      <c r="C39" s="135" t="str">
        <f>IF('29'!C39="","",'29'!C39)</f>
        <v>鈴木　良明</v>
      </c>
      <c r="D39" s="252">
        <f>IF('29'!D39="","",'29'!D39)</f>
        <v>26433</v>
      </c>
      <c r="E39" s="135" t="str">
        <f>IF('29'!E39="","",'29'!E39)</f>
        <v>フォルティス</v>
      </c>
      <c r="F39" s="252">
        <f>IF('29'!F39="","",'29'!F39)</f>
        <v>61240</v>
      </c>
      <c r="G39" s="17" t="str">
        <f>IF('29'!G39="","",'29'!G39)</f>
        <v>乗馬クラブクレイン神奈川</v>
      </c>
    </row>
    <row r="40" spans="1:7" s="19" customFormat="1" ht="23.1" customHeight="1">
      <c r="A40" s="16" t="str">
        <f>IF('29'!A40="","",'29'!A40)</f>
        <v/>
      </c>
      <c r="B40" s="16">
        <f>IF('29'!B40="","",'29'!B40)</f>
        <v>27</v>
      </c>
      <c r="C40" s="135" t="str">
        <f>IF('29'!C40="","",'29'!C40)</f>
        <v>宮井　絢佳</v>
      </c>
      <c r="D40" s="252">
        <f>IF('29'!D40="","",'29'!D40)</f>
        <v>28295</v>
      </c>
      <c r="E40" s="135" t="str">
        <f>IF('29'!E40="","",'29'!E40)</f>
        <v>ドムヘァ</v>
      </c>
      <c r="F40" s="252">
        <f>IF('29'!F40="","",'29'!F40)</f>
        <v>59349</v>
      </c>
      <c r="G40" s="17" t="str">
        <f>IF('29'!G40="","",'29'!G40)</f>
        <v>riding team Regroup</v>
      </c>
    </row>
    <row r="41" spans="1:7" s="19" customFormat="1" ht="23.1" customHeight="1">
      <c r="A41" s="16" t="str">
        <f>IF('29'!A41="","",'29'!A41)</f>
        <v/>
      </c>
      <c r="B41" s="16">
        <f>IF('29'!B41="","",'29'!B41)</f>
        <v>28</v>
      </c>
      <c r="C41" s="135" t="str">
        <f>IF('29'!C41="","",'29'!C41)</f>
        <v>海和　功樹</v>
      </c>
      <c r="D41" s="252">
        <f>IF('29'!D41="","",'29'!D41)</f>
        <v>32525</v>
      </c>
      <c r="E41" s="135" t="str">
        <f>IF('29'!E41="","",'29'!E41)</f>
        <v>デイリー4</v>
      </c>
      <c r="F41" s="252">
        <f>IF('29'!F41="","",'29'!F41)</f>
        <v>61841</v>
      </c>
      <c r="G41" s="17" t="str">
        <f>IF('29'!G41="","",'29'!G41)</f>
        <v>やまがた乗馬クラブ</v>
      </c>
    </row>
    <row r="42" spans="1:7" s="19" customFormat="1" ht="23.1" customHeight="1">
      <c r="A42" s="16" t="str">
        <f>IF('29'!A42="","",'29'!A42)</f>
        <v/>
      </c>
      <c r="B42" s="16">
        <f>IF('29'!B42="","",'29'!B42)</f>
        <v>29</v>
      </c>
      <c r="C42" s="135" t="str">
        <f>IF('29'!C42="","",'29'!C42)</f>
        <v>溝口　莉沙</v>
      </c>
      <c r="D42" s="252">
        <f>IF('29'!D42="","",'29'!D42)</f>
        <v>31991</v>
      </c>
      <c r="E42" s="135" t="str">
        <f>IF('29'!E42="","",'29'!E42)</f>
        <v>グレイスドリーム</v>
      </c>
      <c r="F42" s="252">
        <f>IF('29'!F42="","",'29'!F42)</f>
        <v>60825</v>
      </c>
      <c r="G42" s="17" t="str">
        <f>IF('29'!G42="","",'29'!G42)</f>
        <v>オリエント馬事センター</v>
      </c>
    </row>
    <row r="43" spans="1:7" s="19" customFormat="1" ht="23.1" customHeight="1">
      <c r="A43" s="16" t="str">
        <f>IF('29'!A43="","",'29'!A43)</f>
        <v/>
      </c>
      <c r="B43" s="16">
        <f>IF('29'!B43="","",'29'!B43)</f>
        <v>30</v>
      </c>
      <c r="C43" s="135" t="str">
        <f>IF('29'!C43="","",'29'!C43)</f>
        <v>林　義昌</v>
      </c>
      <c r="D43" s="252">
        <f>IF('29'!D43="","",'29'!D43)</f>
        <v>18717</v>
      </c>
      <c r="E43" s="135" t="str">
        <f>IF('29'!E43="","",'29'!E43)</f>
        <v>ルーニー21</v>
      </c>
      <c r="F43" s="252">
        <f>IF('29'!F43="","",'29'!F43)</f>
        <v>62148</v>
      </c>
      <c r="G43" s="17" t="str">
        <f>IF('29'!G43="","",'29'!G43)</f>
        <v>北総乗馬クラブ</v>
      </c>
    </row>
    <row r="44" spans="1:7" ht="23.1" customHeight="1">
      <c r="A44" s="16" t="str">
        <f>IF('29'!A44="","",'29'!A44)</f>
        <v/>
      </c>
      <c r="B44" s="16">
        <f>IF('29'!B44="","",'29'!B44)</f>
        <v>31</v>
      </c>
      <c r="C44" s="135" t="str">
        <f>IF('29'!C44="","",'29'!C44)</f>
        <v/>
      </c>
      <c r="D44" s="252" t="str">
        <f>IF('29'!D44="","",'29'!D44)</f>
        <v/>
      </c>
      <c r="E44" s="135" t="str">
        <f>IF('29'!E44="","",'29'!E44)</f>
        <v/>
      </c>
      <c r="F44" s="252" t="str">
        <f>IF('29'!F44="","",'29'!F44)</f>
        <v/>
      </c>
      <c r="G44" s="17" t="str">
        <f>IF('29'!G44="","",'29'!G44)</f>
        <v/>
      </c>
    </row>
    <row r="45" spans="1:7" ht="23.1" customHeight="1">
      <c r="A45" s="16" t="str">
        <f>IF('29'!A45="","",'29'!A45)</f>
        <v/>
      </c>
      <c r="B45" s="16">
        <f>IF('29'!B45="","",'29'!B45)</f>
        <v>32</v>
      </c>
      <c r="C45" s="135" t="str">
        <f>IF('29'!C45="","",'29'!C45)</f>
        <v/>
      </c>
      <c r="D45" s="252" t="str">
        <f>IF('29'!D45="","",'29'!D45)</f>
        <v/>
      </c>
      <c r="E45" s="135" t="str">
        <f>IF('29'!E45="","",'29'!E45)</f>
        <v/>
      </c>
      <c r="F45" s="252" t="str">
        <f>IF('29'!F45="","",'29'!F45)</f>
        <v/>
      </c>
      <c r="G45" s="17" t="str">
        <f>IF('29'!G45="","",'29'!G45)</f>
        <v/>
      </c>
    </row>
    <row r="46" spans="1:7" ht="23.1" customHeight="1">
      <c r="A46" s="16" t="str">
        <f>IF('29'!A46="","",'29'!A46)</f>
        <v/>
      </c>
      <c r="B46" s="16">
        <f>IF('29'!B46="","",'29'!B46)</f>
        <v>33</v>
      </c>
      <c r="C46" s="135" t="str">
        <f>IF('29'!C46="","",'29'!C46)</f>
        <v/>
      </c>
      <c r="D46" s="252" t="str">
        <f>IF('29'!D46="","",'29'!D46)</f>
        <v/>
      </c>
      <c r="E46" s="135" t="str">
        <f>IF('29'!E46="","",'29'!E46)</f>
        <v/>
      </c>
      <c r="F46" s="252" t="str">
        <f>IF('29'!F46="","",'29'!F46)</f>
        <v/>
      </c>
      <c r="G46" s="17" t="str">
        <f>IF('29'!G46="","",'29'!G46)</f>
        <v/>
      </c>
    </row>
    <row r="47" spans="1:7" ht="23.1" customHeight="1">
      <c r="A47" s="16" t="str">
        <f>IF('29'!A47="","",'29'!A47)</f>
        <v/>
      </c>
      <c r="B47" s="16">
        <f>IF('29'!B47="","",'29'!B47)</f>
        <v>34</v>
      </c>
      <c r="C47" s="135" t="str">
        <f>IF('29'!C47="","",'29'!C47)</f>
        <v/>
      </c>
      <c r="D47" s="252" t="str">
        <f>IF('29'!D47="","",'29'!D47)</f>
        <v/>
      </c>
      <c r="E47" s="135" t="str">
        <f>IF('29'!E47="","",'29'!E47)</f>
        <v/>
      </c>
      <c r="F47" s="252" t="str">
        <f>IF('29'!F47="","",'29'!F47)</f>
        <v/>
      </c>
      <c r="G47" s="17" t="str">
        <f>IF('29'!G47="","",'29'!G47)</f>
        <v/>
      </c>
    </row>
    <row r="48" spans="1:7" ht="23.1" customHeight="1">
      <c r="A48" s="16" t="str">
        <f>IF('29'!A48="","",'29'!A48)</f>
        <v/>
      </c>
      <c r="B48" s="16">
        <f>IF('29'!B48="","",'29'!B48)</f>
        <v>35</v>
      </c>
      <c r="C48" s="135" t="str">
        <f>IF('29'!C48="","",'29'!C48)</f>
        <v/>
      </c>
      <c r="D48" s="252" t="str">
        <f>IF('29'!D48="","",'29'!D48)</f>
        <v/>
      </c>
      <c r="E48" s="135" t="str">
        <f>IF('29'!E48="","",'29'!E48)</f>
        <v/>
      </c>
      <c r="F48" s="252" t="str">
        <f>IF('29'!F48="","",'29'!F48)</f>
        <v/>
      </c>
      <c r="G48" s="17" t="str">
        <f>IF('29'!G48="","",'29'!G48)</f>
        <v/>
      </c>
    </row>
    <row r="49" spans="1:7" ht="23.1" customHeight="1">
      <c r="A49" s="16" t="str">
        <f>IF('29'!A49="","",'29'!A49)</f>
        <v/>
      </c>
      <c r="B49" s="16">
        <f>IF('29'!B49="","",'29'!B49)</f>
        <v>36</v>
      </c>
      <c r="C49" s="135" t="str">
        <f>IF('29'!C49="","",'29'!C49)</f>
        <v/>
      </c>
      <c r="D49" s="252" t="str">
        <f>IF('29'!D49="","",'29'!D49)</f>
        <v/>
      </c>
      <c r="E49" s="135" t="str">
        <f>IF('29'!E49="","",'29'!E49)</f>
        <v/>
      </c>
      <c r="F49" s="252" t="str">
        <f>IF('29'!F49="","",'29'!F49)</f>
        <v/>
      </c>
      <c r="G49" s="17" t="str">
        <f>IF('29'!G49="","",'29'!G49)</f>
        <v/>
      </c>
    </row>
    <row r="50" spans="1:7" ht="23.1" customHeight="1">
      <c r="A50" s="16" t="str">
        <f>IF('29'!A50="","",'29'!A50)</f>
        <v/>
      </c>
      <c r="B50" s="16">
        <f>IF('29'!B50="","",'29'!B50)</f>
        <v>37</v>
      </c>
      <c r="C50" s="135" t="str">
        <f>IF('29'!C50="","",'29'!C50)</f>
        <v/>
      </c>
      <c r="D50" s="252" t="str">
        <f>IF('29'!D50="","",'29'!D50)</f>
        <v/>
      </c>
      <c r="E50" s="135" t="str">
        <f>IF('29'!E50="","",'29'!E50)</f>
        <v/>
      </c>
      <c r="F50" s="252" t="str">
        <f>IF('29'!F50="","",'29'!F50)</f>
        <v/>
      </c>
      <c r="G50" s="17" t="str">
        <f>IF('29'!G50="","",'29'!G50)</f>
        <v/>
      </c>
    </row>
    <row r="51" spans="1:7" ht="23.1" customHeight="1">
      <c r="A51" s="16" t="str">
        <f>IF('29'!A51="","",'29'!A51)</f>
        <v/>
      </c>
      <c r="B51" s="16">
        <f>IF('29'!B51="","",'29'!B51)</f>
        <v>38</v>
      </c>
      <c r="C51" s="135" t="str">
        <f>IF('29'!C51="","",'29'!C51)</f>
        <v/>
      </c>
      <c r="D51" s="252" t="str">
        <f>IF('29'!D51="","",'29'!D51)</f>
        <v/>
      </c>
      <c r="E51" s="135" t="str">
        <f>IF('29'!E51="","",'29'!E51)</f>
        <v/>
      </c>
      <c r="F51" s="252" t="str">
        <f>IF('29'!F51="","",'29'!F51)</f>
        <v/>
      </c>
      <c r="G51" s="17" t="str">
        <f>IF('29'!G51="","",'29'!G51)</f>
        <v/>
      </c>
    </row>
    <row r="52" spans="1:7" ht="23.1" customHeight="1">
      <c r="A52" s="16" t="str">
        <f>IF('29'!A52="","",'29'!A52)</f>
        <v/>
      </c>
      <c r="B52" s="16">
        <f>IF('29'!B52="","",'29'!B52)</f>
        <v>39</v>
      </c>
      <c r="C52" s="135" t="str">
        <f>IF('29'!C52="","",'29'!C52)</f>
        <v/>
      </c>
      <c r="D52" s="252" t="str">
        <f>IF('29'!D52="","",'29'!D52)</f>
        <v/>
      </c>
      <c r="E52" s="135" t="str">
        <f>IF('29'!E52="","",'29'!E52)</f>
        <v/>
      </c>
      <c r="F52" s="252" t="str">
        <f>IF('29'!F52="","",'29'!F52)</f>
        <v/>
      </c>
      <c r="G52" s="17" t="str">
        <f>IF('29'!G52="","",'29'!G52)</f>
        <v/>
      </c>
    </row>
    <row r="53" spans="1:7" ht="23.1" customHeight="1">
      <c r="A53" s="16" t="str">
        <f>IF('29'!A53="","",'29'!A53)</f>
        <v/>
      </c>
      <c r="B53" s="16">
        <f>IF('29'!B53="","",'29'!B53)</f>
        <v>40</v>
      </c>
      <c r="C53" s="135" t="str">
        <f>IF('29'!C53="","",'29'!C53)</f>
        <v/>
      </c>
      <c r="D53" s="252" t="str">
        <f>IF('29'!D53="","",'29'!D53)</f>
        <v/>
      </c>
      <c r="E53" s="135" t="str">
        <f>IF('29'!E53="","",'29'!E53)</f>
        <v/>
      </c>
      <c r="F53" s="252" t="str">
        <f>IF('29'!F53="","",'29'!F53)</f>
        <v/>
      </c>
      <c r="G53" s="17" t="str">
        <f>IF('29'!G53="","",'29'!G53)</f>
        <v/>
      </c>
    </row>
    <row r="54" spans="1:7" ht="23.1" customHeight="1">
      <c r="A54" s="16" t="str">
        <f>IF('29'!A54="","",'29'!A54)</f>
        <v/>
      </c>
      <c r="B54" s="16">
        <f>IF('29'!B54="","",'29'!B54)</f>
        <v>41</v>
      </c>
      <c r="C54" s="135" t="str">
        <f>IF('29'!C54="","",'29'!C54)</f>
        <v/>
      </c>
      <c r="D54" s="252" t="str">
        <f>IF('29'!D54="","",'29'!D54)</f>
        <v/>
      </c>
      <c r="E54" s="135" t="str">
        <f>IF('29'!E54="","",'29'!E54)</f>
        <v/>
      </c>
      <c r="F54" s="252" t="str">
        <f>IF('29'!F54="","",'29'!F54)</f>
        <v/>
      </c>
      <c r="G54" s="17" t="str">
        <f>IF('29'!G54="","",'29'!G54)</f>
        <v/>
      </c>
    </row>
    <row r="55" spans="1:7" ht="23.1" customHeight="1">
      <c r="A55" s="16" t="str">
        <f>IF('29'!A55="","",'29'!A55)</f>
        <v/>
      </c>
      <c r="B55" s="16">
        <f>IF('29'!B55="","",'29'!B55)</f>
        <v>42</v>
      </c>
      <c r="C55" s="135" t="str">
        <f>IF('29'!C55="","",'29'!C55)</f>
        <v/>
      </c>
      <c r="D55" s="252" t="str">
        <f>IF('29'!D55="","",'29'!D55)</f>
        <v/>
      </c>
      <c r="E55" s="135" t="str">
        <f>IF('29'!E55="","",'29'!E55)</f>
        <v/>
      </c>
      <c r="F55" s="252" t="str">
        <f>IF('29'!F55="","",'29'!F55)</f>
        <v/>
      </c>
      <c r="G55" s="17" t="str">
        <f>IF('29'!G55="","",'29'!G55)</f>
        <v/>
      </c>
    </row>
    <row r="56" spans="1:7" ht="23.1" customHeight="1">
      <c r="A56" s="16" t="str">
        <f>IF('29'!A56="","",'29'!A56)</f>
        <v/>
      </c>
      <c r="B56" s="16">
        <f>IF('29'!B56="","",'29'!B56)</f>
        <v>43</v>
      </c>
      <c r="C56" s="135" t="str">
        <f>IF('29'!C56="","",'29'!C56)</f>
        <v/>
      </c>
      <c r="D56" s="252" t="str">
        <f>IF('29'!D56="","",'29'!D56)</f>
        <v/>
      </c>
      <c r="E56" s="135" t="str">
        <f>IF('29'!E56="","",'29'!E56)</f>
        <v/>
      </c>
      <c r="F56" s="252" t="str">
        <f>IF('29'!F56="","",'29'!F56)</f>
        <v/>
      </c>
      <c r="G56" s="17" t="str">
        <f>IF('29'!G56="","",'29'!G56)</f>
        <v/>
      </c>
    </row>
    <row r="57" spans="1:7" ht="23.1" customHeight="1">
      <c r="A57" s="16" t="str">
        <f>IF('29'!A57="","",'29'!A57)</f>
        <v/>
      </c>
      <c r="B57" s="16">
        <f>IF('29'!B57="","",'29'!B57)</f>
        <v>44</v>
      </c>
      <c r="C57" s="135" t="str">
        <f>IF('29'!C57="","",'29'!C57)</f>
        <v/>
      </c>
      <c r="D57" s="252" t="str">
        <f>IF('29'!D57="","",'29'!D57)</f>
        <v/>
      </c>
      <c r="E57" s="135" t="str">
        <f>IF('29'!E57="","",'29'!E57)</f>
        <v/>
      </c>
      <c r="F57" s="252" t="str">
        <f>IF('29'!F57="","",'29'!F57)</f>
        <v/>
      </c>
      <c r="G57" s="17" t="str">
        <f>IF('29'!G57="","",'29'!G57)</f>
        <v/>
      </c>
    </row>
    <row r="58" spans="1:7" ht="23.1" customHeight="1">
      <c r="A58" s="16" t="str">
        <f>IF('29'!A58="","",'29'!A58)</f>
        <v/>
      </c>
      <c r="B58" s="16">
        <f>IF('29'!B58="","",'29'!B58)</f>
        <v>45</v>
      </c>
      <c r="C58" s="135" t="str">
        <f>IF('29'!C58="","",'29'!C58)</f>
        <v/>
      </c>
      <c r="D58" s="252" t="str">
        <f>IF('29'!D58="","",'29'!D58)</f>
        <v/>
      </c>
      <c r="E58" s="135" t="str">
        <f>IF('29'!E58="","",'29'!E58)</f>
        <v/>
      </c>
      <c r="F58" s="252" t="str">
        <f>IF('29'!F58="","",'29'!F58)</f>
        <v/>
      </c>
      <c r="G58" s="17" t="str">
        <f>IF('29'!G58="","",'29'!G58)</f>
        <v/>
      </c>
    </row>
    <row r="59" spans="1:7" ht="23.1" customHeight="1">
      <c r="A59" s="16" t="str">
        <f>IF('29'!A59="","",'29'!A59)</f>
        <v/>
      </c>
      <c r="B59" s="16">
        <f>IF('29'!B59="","",'29'!B59)</f>
        <v>46</v>
      </c>
      <c r="C59" s="135" t="str">
        <f>IF('29'!C59="","",'29'!C59)</f>
        <v/>
      </c>
      <c r="D59" s="252" t="str">
        <f>IF('29'!D59="","",'29'!D59)</f>
        <v/>
      </c>
      <c r="E59" s="135" t="str">
        <f>IF('29'!E59="","",'29'!E59)</f>
        <v/>
      </c>
      <c r="F59" s="252" t="str">
        <f>IF('29'!F59="","",'29'!F59)</f>
        <v/>
      </c>
      <c r="G59" s="17" t="str">
        <f>IF('29'!G59="","",'29'!G59)</f>
        <v/>
      </c>
    </row>
    <row r="60" spans="1:7" ht="23.1" customHeight="1">
      <c r="A60" s="16" t="str">
        <f>IF('29'!A60="","",'29'!A60)</f>
        <v/>
      </c>
      <c r="B60" s="16">
        <f>IF('29'!B60="","",'29'!B60)</f>
        <v>47</v>
      </c>
      <c r="C60" s="135" t="str">
        <f>IF('29'!C60="","",'29'!C60)</f>
        <v/>
      </c>
      <c r="D60" s="252" t="str">
        <f>IF('29'!D60="","",'29'!D60)</f>
        <v/>
      </c>
      <c r="E60" s="135" t="str">
        <f>IF('29'!E60="","",'29'!E60)</f>
        <v/>
      </c>
      <c r="F60" s="252" t="str">
        <f>IF('29'!F60="","",'29'!F60)</f>
        <v/>
      </c>
      <c r="G60" s="17" t="str">
        <f>IF('29'!G60="","",'29'!G60)</f>
        <v/>
      </c>
    </row>
    <row r="61" spans="1:7" ht="23.1" customHeight="1">
      <c r="A61" s="16" t="str">
        <f>IF('29'!A61="","",'29'!A61)</f>
        <v/>
      </c>
      <c r="B61" s="16">
        <f>IF('29'!B61="","",'29'!B61)</f>
        <v>48</v>
      </c>
      <c r="C61" s="135" t="str">
        <f>IF('29'!C61="","",'29'!C61)</f>
        <v/>
      </c>
      <c r="D61" s="252" t="str">
        <f>IF('29'!D61="","",'29'!D61)</f>
        <v/>
      </c>
      <c r="E61" s="135" t="str">
        <f>IF('29'!E61="","",'29'!E61)</f>
        <v/>
      </c>
      <c r="F61" s="252" t="str">
        <f>IF('29'!F61="","",'29'!F61)</f>
        <v/>
      </c>
      <c r="G61" s="17" t="str">
        <f>IF('29'!G61="","",'29'!G61)</f>
        <v/>
      </c>
    </row>
    <row r="62" spans="1:7" ht="23.1" customHeight="1">
      <c r="A62" s="16" t="str">
        <f>IF('29'!A62="","",'29'!A62)</f>
        <v/>
      </c>
      <c r="B62" s="16">
        <f>IF('29'!B62="","",'29'!B62)</f>
        <v>49</v>
      </c>
      <c r="C62" s="135" t="str">
        <f>IF('29'!C62="","",'29'!C62)</f>
        <v/>
      </c>
      <c r="D62" s="252" t="str">
        <f>IF('29'!D62="","",'29'!D62)</f>
        <v/>
      </c>
      <c r="E62" s="135" t="str">
        <f>IF('29'!E62="","",'29'!E62)</f>
        <v/>
      </c>
      <c r="F62" s="252" t="str">
        <f>IF('29'!F62="","",'29'!F62)</f>
        <v/>
      </c>
      <c r="G62" s="17" t="str">
        <f>IF('29'!G62="","",'29'!G62)</f>
        <v/>
      </c>
    </row>
    <row r="63" spans="1:7" ht="23.1" customHeight="1">
      <c r="A63" s="16" t="str">
        <f>IF('29'!A63="","",'29'!A63)</f>
        <v/>
      </c>
      <c r="B63" s="16">
        <f>IF('29'!B63="","",'29'!B63)</f>
        <v>50</v>
      </c>
      <c r="C63" s="135" t="str">
        <f>IF('29'!C63="","",'29'!C63)</f>
        <v/>
      </c>
      <c r="D63" s="252" t="str">
        <f>IF('29'!D63="","",'29'!D63)</f>
        <v/>
      </c>
      <c r="E63" s="135" t="str">
        <f>IF('29'!E63="","",'29'!E63)</f>
        <v/>
      </c>
      <c r="F63" s="252" t="str">
        <f>IF('29'!F63="","",'29'!F63)</f>
        <v/>
      </c>
      <c r="G63" s="17" t="str">
        <f>IF('29'!G63="","",'29'!G63)</f>
        <v/>
      </c>
    </row>
    <row r="64" spans="1:7" ht="23.1" customHeight="1">
      <c r="A64" s="16" t="str">
        <f>IF('29'!A64="","",'29'!A64)</f>
        <v/>
      </c>
      <c r="B64" s="16">
        <f>IF('29'!B64="","",'29'!B64)</f>
        <v>51</v>
      </c>
      <c r="C64" s="135" t="str">
        <f>IF('29'!C64="","",'29'!C64)</f>
        <v/>
      </c>
      <c r="D64" s="252" t="str">
        <f>IF('29'!D64="","",'29'!D64)</f>
        <v/>
      </c>
      <c r="E64" s="135" t="str">
        <f>IF('29'!E64="","",'29'!E64)</f>
        <v/>
      </c>
      <c r="F64" s="252" t="str">
        <f>IF('29'!F64="","",'29'!F64)</f>
        <v/>
      </c>
      <c r="G64" s="17" t="str">
        <f>IF('29'!G64="","",'29'!G64)</f>
        <v/>
      </c>
    </row>
    <row r="65" spans="1:7" ht="23.1" customHeight="1">
      <c r="A65" s="16" t="str">
        <f>IF('29'!A65="","",'29'!A65)</f>
        <v/>
      </c>
      <c r="B65" s="16">
        <f>IF('29'!B65="","",'29'!B65)</f>
        <v>52</v>
      </c>
      <c r="C65" s="135" t="str">
        <f>IF('29'!C65="","",'29'!C65)</f>
        <v/>
      </c>
      <c r="D65" s="252" t="str">
        <f>IF('29'!D65="","",'29'!D65)</f>
        <v/>
      </c>
      <c r="E65" s="135" t="str">
        <f>IF('29'!E65="","",'29'!E65)</f>
        <v/>
      </c>
      <c r="F65" s="252" t="str">
        <f>IF('29'!F65="","",'29'!F65)</f>
        <v/>
      </c>
      <c r="G65" s="17" t="str">
        <f>IF('29'!G65="","",'29'!G65)</f>
        <v/>
      </c>
    </row>
    <row r="66" spans="1:7" ht="23.1" customHeight="1">
      <c r="A66" s="16" t="str">
        <f>IF('29'!A66="","",'29'!A66)</f>
        <v/>
      </c>
      <c r="B66" s="16">
        <f>IF('29'!B66="","",'29'!B66)</f>
        <v>53</v>
      </c>
      <c r="C66" s="135" t="str">
        <f>IF('29'!C66="","",'29'!C66)</f>
        <v/>
      </c>
      <c r="D66" s="252" t="str">
        <f>IF('29'!D66="","",'29'!D66)</f>
        <v/>
      </c>
      <c r="E66" s="135" t="str">
        <f>IF('29'!E66="","",'29'!E66)</f>
        <v/>
      </c>
      <c r="F66" s="252" t="str">
        <f>IF('29'!F66="","",'29'!F66)</f>
        <v/>
      </c>
      <c r="G66" s="17" t="str">
        <f>IF('29'!G66="","",'29'!G66)</f>
        <v/>
      </c>
    </row>
    <row r="67" spans="1:7" ht="23.1" customHeight="1">
      <c r="A67" s="16" t="str">
        <f>IF('29'!A67="","",'29'!A67)</f>
        <v/>
      </c>
      <c r="B67" s="16">
        <f>IF('29'!B67="","",'29'!B67)</f>
        <v>54</v>
      </c>
      <c r="C67" s="135" t="str">
        <f>IF('29'!C67="","",'29'!C67)</f>
        <v/>
      </c>
      <c r="D67" s="252" t="str">
        <f>IF('29'!D67="","",'29'!D67)</f>
        <v/>
      </c>
      <c r="E67" s="135" t="str">
        <f>IF('29'!E67="","",'29'!E67)</f>
        <v/>
      </c>
      <c r="F67" s="252" t="str">
        <f>IF('29'!F67="","",'29'!F67)</f>
        <v/>
      </c>
      <c r="G67" s="17" t="str">
        <f>IF('29'!G67="","",'29'!G67)</f>
        <v/>
      </c>
    </row>
    <row r="68" spans="1:7" ht="23.1" customHeight="1">
      <c r="A68" s="16" t="str">
        <f>IF('29'!A68="","",'29'!A68)</f>
        <v/>
      </c>
      <c r="B68" s="16">
        <f>IF('29'!B68="","",'29'!B68)</f>
        <v>55</v>
      </c>
      <c r="C68" s="135" t="str">
        <f>IF('29'!C68="","",'29'!C68)</f>
        <v/>
      </c>
      <c r="D68" s="252" t="str">
        <f>IF('29'!D68="","",'29'!D68)</f>
        <v/>
      </c>
      <c r="E68" s="135" t="str">
        <f>IF('29'!E68="","",'29'!E68)</f>
        <v/>
      </c>
      <c r="F68" s="252" t="str">
        <f>IF('29'!F68="","",'29'!F68)</f>
        <v/>
      </c>
      <c r="G68" s="17" t="str">
        <f>IF('29'!G68="","",'29'!G68)</f>
        <v/>
      </c>
    </row>
    <row r="69" spans="1:7" ht="23.1" customHeight="1">
      <c r="A69" s="16" t="str">
        <f>IF('29'!A69="","",'29'!A69)</f>
        <v/>
      </c>
      <c r="B69" s="16">
        <f>IF('29'!B69="","",'29'!B69)</f>
        <v>56</v>
      </c>
      <c r="C69" s="135" t="str">
        <f>IF('29'!C69="","",'29'!C69)</f>
        <v/>
      </c>
      <c r="D69" s="252" t="str">
        <f>IF('29'!D69="","",'29'!D69)</f>
        <v/>
      </c>
      <c r="E69" s="135" t="str">
        <f>IF('29'!E69="","",'29'!E69)</f>
        <v/>
      </c>
      <c r="F69" s="252" t="str">
        <f>IF('29'!F69="","",'29'!F69)</f>
        <v/>
      </c>
      <c r="G69" s="17" t="str">
        <f>IF('29'!G69="","",'29'!G69)</f>
        <v/>
      </c>
    </row>
    <row r="70" spans="1:7" ht="23.1" customHeight="1">
      <c r="A70" s="16" t="str">
        <f>IF('29'!A70="","",'29'!A70)</f>
        <v/>
      </c>
      <c r="B70" s="16">
        <f>IF('29'!B70="","",'29'!B70)</f>
        <v>57</v>
      </c>
      <c r="C70" s="135" t="str">
        <f>IF('29'!C70="","",'29'!C70)</f>
        <v/>
      </c>
      <c r="D70" s="252" t="str">
        <f>IF('29'!D70="","",'29'!D70)</f>
        <v/>
      </c>
      <c r="E70" s="135" t="str">
        <f>IF('29'!E70="","",'29'!E70)</f>
        <v/>
      </c>
      <c r="F70" s="252" t="str">
        <f>IF('29'!F70="","",'29'!F70)</f>
        <v/>
      </c>
      <c r="G70" s="17" t="str">
        <f>IF('29'!G70="","",'29'!G70)</f>
        <v/>
      </c>
    </row>
    <row r="71" spans="1:7" ht="23.1" customHeight="1">
      <c r="A71" s="16" t="str">
        <f>IF('29'!A71="","",'29'!A71)</f>
        <v/>
      </c>
      <c r="B71" s="16">
        <f>IF('29'!B71="","",'29'!B71)</f>
        <v>58</v>
      </c>
      <c r="C71" s="135" t="str">
        <f>IF('29'!C71="","",'29'!C71)</f>
        <v/>
      </c>
      <c r="D71" s="252" t="str">
        <f>IF('29'!D71="","",'29'!D71)</f>
        <v/>
      </c>
      <c r="E71" s="135" t="str">
        <f>IF('29'!E71="","",'29'!E71)</f>
        <v/>
      </c>
      <c r="F71" s="252" t="str">
        <f>IF('29'!F71="","",'29'!F71)</f>
        <v/>
      </c>
      <c r="G71" s="17" t="str">
        <f>IF('29'!G71="","",'29'!G71)</f>
        <v/>
      </c>
    </row>
    <row r="72" spans="1:7" ht="23.1" customHeight="1">
      <c r="A72" s="16" t="str">
        <f>IF('29'!A72="","",'29'!A72)</f>
        <v/>
      </c>
      <c r="B72" s="16">
        <f>IF('29'!B72="","",'29'!B72)</f>
        <v>59</v>
      </c>
      <c r="C72" s="135" t="str">
        <f>IF('29'!C72="","",'29'!C72)</f>
        <v/>
      </c>
      <c r="D72" s="252" t="str">
        <f>IF('29'!D72="","",'29'!D72)</f>
        <v/>
      </c>
      <c r="E72" s="135" t="str">
        <f>IF('29'!E72="","",'29'!E72)</f>
        <v/>
      </c>
      <c r="F72" s="252" t="str">
        <f>IF('29'!F72="","",'29'!F72)</f>
        <v/>
      </c>
      <c r="G72" s="17" t="str">
        <f>IF('29'!G72="","",'29'!G72)</f>
        <v/>
      </c>
    </row>
    <row r="73" spans="1:7" ht="23.1" customHeight="1">
      <c r="A73" s="16"/>
      <c r="B73" s="16">
        <f>IF('29'!B73="","",'29'!B73)</f>
        <v>60</v>
      </c>
      <c r="C73" s="136"/>
      <c r="D73" s="249"/>
      <c r="E73" s="136"/>
      <c r="F73" s="249"/>
      <c r="G73" s="17"/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74F-D7A4-43C8-99B4-0B6EEF18DC85}">
  <sheetPr codeName="Sheet26">
    <tabColor rgb="FF0070C0"/>
  </sheetPr>
  <dimension ref="A4:J16"/>
  <sheetViews>
    <sheetView view="pageBreakPreview" zoomScale="60" zoomScaleNormal="100" workbookViewId="0">
      <selection activeCell="N6" sqref="N6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'30_MD'!C7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'30_MD'!B8</f>
        <v>30</v>
      </c>
      <c r="C6" s="142" t="s">
        <v>42</v>
      </c>
      <c r="D6" s="145" t="str">
        <f>'30_MD'!D8:F8</f>
        <v>Ｍ－Ｄ級障害飛越競技</v>
      </c>
    </row>
    <row r="8" spans="1:10" ht="30" customHeight="1">
      <c r="C8" s="142" t="s">
        <v>604</v>
      </c>
      <c r="E8" s="147" t="s">
        <v>629</v>
      </c>
    </row>
    <row r="9" spans="1:10" ht="30" customHeight="1">
      <c r="C9" s="142" t="s">
        <v>605</v>
      </c>
      <c r="E9" s="150" t="s">
        <v>631</v>
      </c>
      <c r="F9" s="142" t="s">
        <v>606</v>
      </c>
    </row>
    <row r="10" spans="1:10" ht="30" customHeight="1">
      <c r="A10" s="320" t="s">
        <v>627</v>
      </c>
      <c r="B10" s="320"/>
      <c r="C10" s="320"/>
      <c r="D10" s="320"/>
      <c r="E10" s="320"/>
      <c r="F10" s="320"/>
      <c r="G10" s="320"/>
      <c r="H10" s="320"/>
    </row>
    <row r="11" spans="1:10" ht="30" customHeight="1">
      <c r="C11" s="319"/>
      <c r="D11" s="319"/>
      <c r="E11" s="319"/>
      <c r="F11" s="319"/>
      <c r="G11" s="319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3">
    <mergeCell ref="A4:J4"/>
    <mergeCell ref="C11:G11"/>
    <mergeCell ref="A10:H10"/>
  </mergeCells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D15C-E6B8-4972-9B74-82FB04D547A3}">
  <sheetPr codeName="Sheet29">
    <tabColor rgb="FF0070C0"/>
  </sheetPr>
  <dimension ref="A4:J16"/>
  <sheetViews>
    <sheetView view="pageBreakPreview" zoomScaleNormal="100" zoomScaleSheetLayoutView="100" workbookViewId="0">
      <selection activeCell="K5" sqref="K5"/>
    </sheetView>
  </sheetViews>
  <sheetFormatPr defaultColWidth="8.88671875" defaultRowHeight="30" customHeight="1"/>
  <cols>
    <col min="1" max="1" width="8.88671875" style="143"/>
    <col min="2" max="3" width="8.88671875" style="142"/>
    <col min="4" max="4" width="13.6640625" style="146" customWidth="1"/>
    <col min="5" max="5" width="13.33203125" style="142" bestFit="1" customWidth="1"/>
    <col min="6" max="16384" width="8.88671875" style="142"/>
  </cols>
  <sheetData>
    <row r="4" spans="1:10" ht="30" customHeight="1">
      <c r="A4" s="318" t="str">
        <f>'30'!C3</f>
        <v xml:space="preserve">2026 Fuji Horse Show Autumn Grand Prix </v>
      </c>
      <c r="B4" s="318"/>
      <c r="C4" s="318"/>
      <c r="D4" s="318"/>
      <c r="E4" s="318"/>
      <c r="F4" s="318"/>
      <c r="G4" s="318"/>
      <c r="H4" s="318"/>
      <c r="I4" s="318"/>
      <c r="J4" s="318"/>
    </row>
    <row r="6" spans="1:10" ht="30" customHeight="1">
      <c r="A6" s="143" t="s">
        <v>41</v>
      </c>
      <c r="B6" s="144">
        <f>'30_MD'!B8</f>
        <v>30</v>
      </c>
      <c r="C6" s="142" t="s">
        <v>42</v>
      </c>
      <c r="D6" s="145" t="str">
        <f>'30'!F4</f>
        <v>Ｍ－Ｄ級障害飛越競技</v>
      </c>
    </row>
    <row r="8" spans="1:10" ht="30" customHeight="1">
      <c r="C8" s="142" t="s">
        <v>604</v>
      </c>
      <c r="E8" s="150" t="s">
        <v>630</v>
      </c>
    </row>
    <row r="9" spans="1:10" ht="30" customHeight="1">
      <c r="C9" s="142" t="s">
        <v>605</v>
      </c>
      <c r="E9" s="147" t="s">
        <v>701</v>
      </c>
      <c r="F9" s="142" t="s">
        <v>606</v>
      </c>
    </row>
    <row r="11" spans="1:10" ht="30" customHeight="1">
      <c r="A11" s="320" t="s">
        <v>615</v>
      </c>
      <c r="B11" s="320"/>
      <c r="C11" s="320"/>
      <c r="D11" s="320"/>
      <c r="E11" s="320"/>
      <c r="F11" s="320"/>
      <c r="G11" s="320"/>
      <c r="H11" s="320"/>
    </row>
    <row r="12" spans="1:10" ht="30" customHeight="1">
      <c r="D12" s="142"/>
      <c r="F12" s="146"/>
      <c r="G12" s="146"/>
    </row>
    <row r="13" spans="1:10" ht="30" customHeight="1">
      <c r="D13" s="142"/>
      <c r="F13" s="146"/>
      <c r="G13" s="146"/>
    </row>
    <row r="14" spans="1:10" ht="30" customHeight="1">
      <c r="D14" s="142"/>
      <c r="G14" s="146"/>
    </row>
    <row r="15" spans="1:10" ht="30" customHeight="1">
      <c r="D15" s="142"/>
      <c r="G15" s="146"/>
    </row>
    <row r="16" spans="1:10" ht="30" customHeight="1">
      <c r="D16" s="145"/>
      <c r="E16" s="145"/>
      <c r="F16" s="145"/>
      <c r="G16" s="145"/>
    </row>
  </sheetData>
  <mergeCells count="2">
    <mergeCell ref="A4:J4"/>
    <mergeCell ref="A11:H11"/>
  </mergeCells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0">
    <tabColor rgb="FF0070C0"/>
  </sheetPr>
  <dimension ref="A1:G73"/>
  <sheetViews>
    <sheetView view="pageBreakPreview" topLeftCell="A6" zoomScaleNormal="100" zoomScaleSheetLayoutView="100" workbookViewId="0">
      <selection activeCell="K13" sqref="K13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40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/>
      <c r="D6" s="3"/>
      <c r="F6" s="4" t="s">
        <v>2</v>
      </c>
      <c r="G6" s="6">
        <v>46278</v>
      </c>
    </row>
    <row r="7" spans="1:7" ht="24" customHeight="1">
      <c r="A7" s="7"/>
      <c r="B7" s="4" t="s">
        <v>4</v>
      </c>
      <c r="C7" s="8" t="str">
        <f>'30'!C3</f>
        <v xml:space="preserve">2026 Fuji Horse Show Autumn Grand Prix </v>
      </c>
      <c r="D7" s="9"/>
      <c r="E7" s="9"/>
      <c r="F7" s="9"/>
      <c r="G7" s="308" t="s">
        <v>1526</v>
      </c>
    </row>
    <row r="8" spans="1:7" ht="21" customHeight="1">
      <c r="A8" s="10" t="s">
        <v>41</v>
      </c>
      <c r="B8" s="70">
        <f>'30'!C4</f>
        <v>30</v>
      </c>
      <c r="C8" s="4" t="s">
        <v>42</v>
      </c>
      <c r="D8" s="311" t="str">
        <f>'30'!F4</f>
        <v>Ｍ－Ｄ級障害飛越競技</v>
      </c>
      <c r="E8" s="311"/>
      <c r="F8" s="311"/>
    </row>
    <row r="9" spans="1:7" ht="18.75" customHeight="1">
      <c r="C9" s="11" t="s">
        <v>11</v>
      </c>
      <c r="D9" s="247" t="str">
        <f>'30'!D5</f>
        <v>-</v>
      </c>
      <c r="E9" s="4" t="s">
        <v>9</v>
      </c>
      <c r="F9" s="250" t="str">
        <f>'30'!K4</f>
        <v>中障害D</v>
      </c>
    </row>
    <row r="10" spans="1:7" ht="21" customHeight="1">
      <c r="A10" s="12" t="s">
        <v>43</v>
      </c>
      <c r="B10" s="12"/>
      <c r="C10" s="12"/>
      <c r="D10" s="248" t="str">
        <f>'27'!D6</f>
        <v>-</v>
      </c>
      <c r="E10" s="4" t="s">
        <v>12</v>
      </c>
      <c r="F10" s="251">
        <f>'30'!F5</f>
        <v>0</v>
      </c>
      <c r="G10" s="13" t="s">
        <v>44</v>
      </c>
    </row>
    <row r="11" spans="1:7" ht="5.0999999999999996" customHeight="1"/>
    <row r="12" spans="1:7" ht="15" customHeight="1">
      <c r="A12" s="312" t="s">
        <v>45</v>
      </c>
      <c r="B12" s="314" t="s">
        <v>46</v>
      </c>
      <c r="C12" s="316" t="s">
        <v>47</v>
      </c>
      <c r="D12" s="317"/>
      <c r="E12" s="309" t="s">
        <v>48</v>
      </c>
      <c r="F12" s="309"/>
      <c r="G12" s="309" t="s">
        <v>49</v>
      </c>
    </row>
    <row r="13" spans="1:7" ht="24" customHeight="1">
      <c r="A13" s="313"/>
      <c r="B13" s="315"/>
      <c r="C13" s="14" t="s">
        <v>52</v>
      </c>
      <c r="D13" s="15" t="s">
        <v>53</v>
      </c>
      <c r="E13" s="15" t="s">
        <v>54</v>
      </c>
      <c r="F13" s="15" t="s">
        <v>55</v>
      </c>
      <c r="G13" s="310"/>
    </row>
    <row r="14" spans="1:7" s="19" customFormat="1" ht="23.1" customHeight="1">
      <c r="A14" s="16" t="str">
        <f>IF('30'!A14="","",'30'!A14)</f>
        <v/>
      </c>
      <c r="B14" s="16">
        <f>IF('30'!B14="","",'30'!B14)</f>
        <v>1</v>
      </c>
      <c r="C14" s="136" t="str">
        <f>IF('30'!C14="","",'30'!C14)</f>
        <v>増山　大治郎</v>
      </c>
      <c r="D14" s="252">
        <f>IF('30'!D14="","",'30'!D14)</f>
        <v>12159</v>
      </c>
      <c r="E14" s="136" t="str">
        <f>IF('30'!E14="","",'30'!E14)</f>
        <v>ジャバ</v>
      </c>
      <c r="F14" s="252">
        <f>IF('30'!F14="","",'30'!F14)</f>
        <v>61134</v>
      </c>
      <c r="G14" s="136" t="str">
        <f>IF('30'!G14="","",'30'!G14)</f>
        <v>筑波スカイラインスティーブル</v>
      </c>
    </row>
    <row r="15" spans="1:7" s="19" customFormat="1" ht="23.1" customHeight="1">
      <c r="A15" s="16" t="str">
        <f>IF('30'!A15="","",'30'!A15)</f>
        <v/>
      </c>
      <c r="B15" s="16">
        <f>IF('30'!B15="","",'30'!B15)</f>
        <v>2</v>
      </c>
      <c r="C15" s="136" t="str">
        <f>IF('30'!C15="","",'30'!C15)</f>
        <v>津田　保乃香</v>
      </c>
      <c r="D15" s="252">
        <f>IF('30'!D15="","",'30'!D15)</f>
        <v>25255</v>
      </c>
      <c r="E15" s="136" t="str">
        <f>IF('30'!E15="","",'30'!E15)</f>
        <v>アレイオン</v>
      </c>
      <c r="F15" s="252">
        <f>IF('30'!F15="","",'30'!F15)</f>
        <v>59824</v>
      </c>
      <c r="G15" s="136" t="str">
        <f>IF('30'!G15="","",'30'!G15)</f>
        <v>乗馬クラブニューシーズン御殿場</v>
      </c>
    </row>
    <row r="16" spans="1:7" s="19" customFormat="1" ht="23.1" customHeight="1">
      <c r="A16" s="16" t="str">
        <f>IF('30'!A16="","",'30'!A16)</f>
        <v/>
      </c>
      <c r="B16" s="16">
        <f>IF('30'!B16="","",'30'!B16)</f>
        <v>3</v>
      </c>
      <c r="C16" s="136" t="str">
        <f>IF('30'!C16="","",'30'!C16)</f>
        <v>松田　泰明</v>
      </c>
      <c r="D16" s="252">
        <f>IF('30'!D16="","",'30'!D16)</f>
        <v>28108</v>
      </c>
      <c r="E16" s="136" t="str">
        <f>IF('30'!E16="","",'30'!E16)</f>
        <v>カーラ・ブルー</v>
      </c>
      <c r="F16" s="252">
        <f>IF('30'!F16="","",'30'!F16)</f>
        <v>60249</v>
      </c>
      <c r="G16" s="136" t="str">
        <f>IF('30'!G16="","",'30'!G16)</f>
        <v>NGK Horse Paz.</v>
      </c>
    </row>
    <row r="17" spans="1:7" s="19" customFormat="1" ht="23.1" customHeight="1">
      <c r="A17" s="16" t="str">
        <f>IF('30'!A17="","",'30'!A17)</f>
        <v>WD</v>
      </c>
      <c r="B17" s="16">
        <f>IF('30'!B17="","",'30'!B17)</f>
        <v>4</v>
      </c>
      <c r="C17" s="136" t="str">
        <f>IF('30'!C17="","",'30'!C17)</f>
        <v>渡邊　菜々美</v>
      </c>
      <c r="D17" s="252" t="str">
        <f>IF('30'!D17="","",'30'!D17)</f>
        <v>-</v>
      </c>
      <c r="E17" s="136" t="str">
        <f>IF('30'!E17="","",'30'!E17)</f>
        <v>紅陵</v>
      </c>
      <c r="F17" s="252">
        <f>IF('30'!F17="","",'30'!F17)</f>
        <v>58208</v>
      </c>
      <c r="G17" s="136" t="str">
        <f>IF('30'!G17="","",'30'!G17)</f>
        <v>拓殖大学馬術部</v>
      </c>
    </row>
    <row r="18" spans="1:7" s="19" customFormat="1" ht="23.1" customHeight="1">
      <c r="A18" s="16" t="str">
        <f>IF('30'!A18="","",'30'!A18)</f>
        <v/>
      </c>
      <c r="B18" s="16">
        <f>IF('30'!B18="","",'30'!B18)</f>
        <v>5</v>
      </c>
      <c r="C18" s="136" t="str">
        <f>IF('30'!C18="","",'30'!C18)</f>
        <v/>
      </c>
      <c r="D18" s="252" t="str">
        <f>IF('30'!D18="","",'30'!D18)</f>
        <v/>
      </c>
      <c r="E18" s="136" t="str">
        <f>IF('30'!E18="","",'30'!E18)</f>
        <v/>
      </c>
      <c r="F18" s="252" t="str">
        <f>IF('30'!F18="","",'30'!F18)</f>
        <v/>
      </c>
      <c r="G18" s="136" t="str">
        <f>IF('30'!G18="","",'30'!G18)</f>
        <v/>
      </c>
    </row>
    <row r="19" spans="1:7" s="19" customFormat="1" ht="23.1" customHeight="1">
      <c r="A19" s="16" t="str">
        <f>IF('30'!A19="","",'30'!A19)</f>
        <v/>
      </c>
      <c r="B19" s="16">
        <f>IF('30'!B19="","",'30'!B19)</f>
        <v>6</v>
      </c>
      <c r="C19" s="136" t="str">
        <f>IF('30'!C19="","",'30'!C19)</f>
        <v/>
      </c>
      <c r="D19" s="252" t="str">
        <f>IF('30'!D19="","",'30'!D19)</f>
        <v/>
      </c>
      <c r="E19" s="136" t="str">
        <f>IF('30'!E19="","",'30'!E19)</f>
        <v/>
      </c>
      <c r="F19" s="252" t="str">
        <f>IF('30'!F19="","",'30'!F19)</f>
        <v/>
      </c>
      <c r="G19" s="136" t="str">
        <f>IF('30'!G19="","",'30'!G19)</f>
        <v/>
      </c>
    </row>
    <row r="20" spans="1:7" s="19" customFormat="1" ht="23.1" customHeight="1">
      <c r="A20" s="16" t="str">
        <f>IF('30'!A20="","",'30'!A20)</f>
        <v/>
      </c>
      <c r="B20" s="16">
        <f>IF('30'!B20="","",'30'!B20)</f>
        <v>7</v>
      </c>
      <c r="C20" s="136" t="str">
        <f>IF('30'!C20="","",'30'!C20)</f>
        <v/>
      </c>
      <c r="D20" s="252" t="str">
        <f>IF('30'!D20="","",'30'!D20)</f>
        <v/>
      </c>
      <c r="E20" s="136" t="str">
        <f>IF('30'!E20="","",'30'!E20)</f>
        <v/>
      </c>
      <c r="F20" s="252" t="str">
        <f>IF('30'!F20="","",'30'!F20)</f>
        <v/>
      </c>
      <c r="G20" s="136" t="str">
        <f>IF('30'!G20="","",'30'!G20)</f>
        <v/>
      </c>
    </row>
    <row r="21" spans="1:7" s="19" customFormat="1" ht="23.1" customHeight="1">
      <c r="A21" s="16" t="str">
        <f>IF('30'!A21="","",'30'!A21)</f>
        <v/>
      </c>
      <c r="B21" s="16">
        <f>IF('30'!B21="","",'30'!B21)</f>
        <v>8</v>
      </c>
      <c r="C21" s="136" t="str">
        <f>IF('30'!C21="","",'30'!C21)</f>
        <v/>
      </c>
      <c r="D21" s="252" t="str">
        <f>IF('30'!D21="","",'30'!D21)</f>
        <v/>
      </c>
      <c r="E21" s="136" t="str">
        <f>IF('30'!E21="","",'30'!E21)</f>
        <v/>
      </c>
      <c r="F21" s="252" t="str">
        <f>IF('30'!F21="","",'30'!F21)</f>
        <v/>
      </c>
      <c r="G21" s="136" t="str">
        <f>IF('30'!G21="","",'30'!G21)</f>
        <v/>
      </c>
    </row>
    <row r="22" spans="1:7" s="19" customFormat="1" ht="23.1" customHeight="1">
      <c r="A22" s="16" t="str">
        <f>IF('30'!A22="","",'30'!A22)</f>
        <v/>
      </c>
      <c r="B22" s="16">
        <f>IF('30'!B22="","",'30'!B22)</f>
        <v>9</v>
      </c>
      <c r="C22" s="136" t="str">
        <f>IF('30'!C22="","",'30'!C22)</f>
        <v/>
      </c>
      <c r="D22" s="252" t="str">
        <f>IF('30'!D22="","",'30'!D22)</f>
        <v/>
      </c>
      <c r="E22" s="136" t="str">
        <f>IF('30'!E22="","",'30'!E22)</f>
        <v/>
      </c>
      <c r="F22" s="252" t="str">
        <f>IF('30'!F22="","",'30'!F22)</f>
        <v/>
      </c>
      <c r="G22" s="136" t="str">
        <f>IF('30'!G22="","",'30'!G22)</f>
        <v/>
      </c>
    </row>
    <row r="23" spans="1:7" s="19" customFormat="1" ht="23.1" customHeight="1">
      <c r="A23" s="16" t="str">
        <f>IF('30'!A23="","",'30'!A23)</f>
        <v/>
      </c>
      <c r="B23" s="16">
        <f>IF('30'!B23="","",'30'!B23)</f>
        <v>10</v>
      </c>
      <c r="C23" s="136" t="str">
        <f>IF('30'!C23="","",'30'!C23)</f>
        <v/>
      </c>
      <c r="D23" s="252" t="str">
        <f>IF('30'!D23="","",'30'!D23)</f>
        <v/>
      </c>
      <c r="E23" s="136" t="str">
        <f>IF('30'!E23="","",'30'!E23)</f>
        <v/>
      </c>
      <c r="F23" s="252" t="str">
        <f>IF('30'!F23="","",'30'!F23)</f>
        <v/>
      </c>
      <c r="G23" s="136" t="str">
        <f>IF('30'!G23="","",'30'!G23)</f>
        <v/>
      </c>
    </row>
    <row r="24" spans="1:7" s="19" customFormat="1" ht="23.1" customHeight="1">
      <c r="A24" s="16" t="str">
        <f>IF('30'!A24="","",'30'!A24)</f>
        <v/>
      </c>
      <c r="B24" s="16">
        <f>IF('30'!B24="","",'30'!B24)</f>
        <v>11</v>
      </c>
      <c r="C24" s="136" t="str">
        <f>IF('30'!C24="","",'30'!C24)</f>
        <v/>
      </c>
      <c r="D24" s="252" t="str">
        <f>IF('30'!D24="","",'30'!D24)</f>
        <v/>
      </c>
      <c r="E24" s="136" t="str">
        <f>IF('30'!E24="","",'30'!E24)</f>
        <v/>
      </c>
      <c r="F24" s="252" t="str">
        <f>IF('30'!F24="","",'30'!F24)</f>
        <v/>
      </c>
      <c r="G24" s="136" t="str">
        <f>IF('30'!G24="","",'30'!G24)</f>
        <v/>
      </c>
    </row>
    <row r="25" spans="1:7" s="19" customFormat="1" ht="23.1" customHeight="1">
      <c r="A25" s="16" t="str">
        <f>IF('30'!A25="","",'30'!A25)</f>
        <v/>
      </c>
      <c r="B25" s="16">
        <f>IF('30'!B25="","",'30'!B25)</f>
        <v>12</v>
      </c>
      <c r="C25" s="136" t="str">
        <f>IF('30'!C25="","",'30'!C25)</f>
        <v/>
      </c>
      <c r="D25" s="252" t="str">
        <f>IF('30'!D25="","",'30'!D25)</f>
        <v/>
      </c>
      <c r="E25" s="136" t="str">
        <f>IF('30'!E25="","",'30'!E25)</f>
        <v/>
      </c>
      <c r="F25" s="252" t="str">
        <f>IF('30'!F25="","",'30'!F25)</f>
        <v/>
      </c>
      <c r="G25" s="136" t="str">
        <f>IF('30'!G25="","",'30'!G25)</f>
        <v/>
      </c>
    </row>
    <row r="26" spans="1:7" s="19" customFormat="1" ht="23.1" customHeight="1">
      <c r="A26" s="16" t="str">
        <f>IF('30'!A26="","",'30'!A26)</f>
        <v/>
      </c>
      <c r="B26" s="16">
        <f>IF('30'!B26="","",'30'!B26)</f>
        <v>13</v>
      </c>
      <c r="C26" s="136" t="str">
        <f>IF('30'!C26="","",'30'!C26)</f>
        <v/>
      </c>
      <c r="D26" s="252" t="str">
        <f>IF('30'!D26="","",'30'!D26)</f>
        <v/>
      </c>
      <c r="E26" s="136" t="str">
        <f>IF('30'!E26="","",'30'!E26)</f>
        <v/>
      </c>
      <c r="F26" s="252" t="str">
        <f>IF('30'!F26="","",'30'!F26)</f>
        <v/>
      </c>
      <c r="G26" s="136" t="str">
        <f>IF('30'!G26="","",'30'!G26)</f>
        <v/>
      </c>
    </row>
    <row r="27" spans="1:7" s="19" customFormat="1" ht="23.1" customHeight="1">
      <c r="A27" s="16" t="str">
        <f>IF('30'!A27="","",'30'!A27)</f>
        <v/>
      </c>
      <c r="B27" s="16">
        <f>IF('30'!B27="","",'30'!B27)</f>
        <v>14</v>
      </c>
      <c r="C27" s="136" t="str">
        <f>IF('30'!C27="","",'30'!C27)</f>
        <v/>
      </c>
      <c r="D27" s="252" t="str">
        <f>IF('30'!D27="","",'30'!D27)</f>
        <v/>
      </c>
      <c r="E27" s="136" t="str">
        <f>IF('30'!E27="","",'30'!E27)</f>
        <v/>
      </c>
      <c r="F27" s="252" t="str">
        <f>IF('30'!F27="","",'30'!F27)</f>
        <v/>
      </c>
      <c r="G27" s="136" t="str">
        <f>IF('30'!G27="","",'30'!G27)</f>
        <v/>
      </c>
    </row>
    <row r="28" spans="1:7" s="19" customFormat="1" ht="23.1" customHeight="1">
      <c r="A28" s="16" t="str">
        <f>IF('30'!A28="","",'30'!A28)</f>
        <v/>
      </c>
      <c r="B28" s="16">
        <f>IF('30'!B28="","",'30'!B28)</f>
        <v>15</v>
      </c>
      <c r="C28" s="136" t="str">
        <f>IF('30'!C28="","",'30'!C28)</f>
        <v/>
      </c>
      <c r="D28" s="252" t="str">
        <f>IF('30'!D28="","",'30'!D28)</f>
        <v/>
      </c>
      <c r="E28" s="136" t="str">
        <f>IF('30'!E28="","",'30'!E28)</f>
        <v/>
      </c>
      <c r="F28" s="252" t="str">
        <f>IF('30'!F28="","",'30'!F28)</f>
        <v/>
      </c>
      <c r="G28" s="136" t="str">
        <f>IF('30'!G28="","",'30'!G28)</f>
        <v/>
      </c>
    </row>
    <row r="29" spans="1:7" s="19" customFormat="1" ht="23.1" customHeight="1">
      <c r="A29" s="16" t="str">
        <f>IF('30'!A29="","",'30'!A29)</f>
        <v/>
      </c>
      <c r="B29" s="16">
        <f>IF('30'!B29="","",'30'!B29)</f>
        <v>16</v>
      </c>
      <c r="C29" s="136" t="str">
        <f>IF('30'!C29="","",'30'!C29)</f>
        <v/>
      </c>
      <c r="D29" s="252" t="str">
        <f>IF('30'!D29="","",'30'!D29)</f>
        <v/>
      </c>
      <c r="E29" s="136" t="str">
        <f>IF('30'!E29="","",'30'!E29)</f>
        <v/>
      </c>
      <c r="F29" s="252" t="str">
        <f>IF('30'!F29="","",'30'!F29)</f>
        <v/>
      </c>
      <c r="G29" s="136" t="str">
        <f>IF('30'!G29="","",'30'!G29)</f>
        <v/>
      </c>
    </row>
    <row r="30" spans="1:7" s="19" customFormat="1" ht="23.1" customHeight="1">
      <c r="A30" s="16" t="str">
        <f>IF('30'!A30="","",'30'!A30)</f>
        <v/>
      </c>
      <c r="B30" s="16">
        <f>IF('30'!B30="","",'30'!B30)</f>
        <v>17</v>
      </c>
      <c r="C30" s="136" t="str">
        <f>IF('30'!C30="","",'30'!C30)</f>
        <v/>
      </c>
      <c r="D30" s="252" t="str">
        <f>IF('30'!D30="","",'30'!D30)</f>
        <v/>
      </c>
      <c r="E30" s="136" t="str">
        <f>IF('30'!E30="","",'30'!E30)</f>
        <v/>
      </c>
      <c r="F30" s="252" t="str">
        <f>IF('30'!F30="","",'30'!F30)</f>
        <v/>
      </c>
      <c r="G30" s="136" t="str">
        <f>IF('30'!G30="","",'30'!G30)</f>
        <v/>
      </c>
    </row>
    <row r="31" spans="1:7" s="19" customFormat="1" ht="23.1" customHeight="1">
      <c r="A31" s="16" t="str">
        <f>IF('30'!A31="","",'30'!A31)</f>
        <v/>
      </c>
      <c r="B31" s="16">
        <f>IF('30'!B31="","",'30'!B31)</f>
        <v>18</v>
      </c>
      <c r="C31" s="136" t="str">
        <f>IF('30'!C31="","",'30'!C31)</f>
        <v/>
      </c>
      <c r="D31" s="252" t="str">
        <f>IF('30'!D31="","",'30'!D31)</f>
        <v/>
      </c>
      <c r="E31" s="136" t="str">
        <f>IF('30'!E31="","",'30'!E31)</f>
        <v/>
      </c>
      <c r="F31" s="252" t="str">
        <f>IF('30'!F31="","",'30'!F31)</f>
        <v/>
      </c>
      <c r="G31" s="136" t="str">
        <f>IF('30'!G31="","",'30'!G31)</f>
        <v/>
      </c>
    </row>
    <row r="32" spans="1:7" s="19" customFormat="1" ht="23.1" customHeight="1">
      <c r="A32" s="16" t="str">
        <f>IF('30'!A32="","",'30'!A32)</f>
        <v/>
      </c>
      <c r="B32" s="16">
        <f>IF('30'!B32="","",'30'!B32)</f>
        <v>19</v>
      </c>
      <c r="C32" s="136" t="str">
        <f>IF('30'!C32="","",'30'!C32)</f>
        <v/>
      </c>
      <c r="D32" s="252" t="str">
        <f>IF('30'!D32="","",'30'!D32)</f>
        <v/>
      </c>
      <c r="E32" s="136" t="str">
        <f>IF('30'!E32="","",'30'!E32)</f>
        <v/>
      </c>
      <c r="F32" s="252" t="str">
        <f>IF('30'!F32="","",'30'!F32)</f>
        <v/>
      </c>
      <c r="G32" s="136" t="str">
        <f>IF('30'!G32="","",'30'!G32)</f>
        <v/>
      </c>
    </row>
    <row r="33" spans="1:7" s="19" customFormat="1" ht="23.1" customHeight="1">
      <c r="A33" s="16" t="str">
        <f>IF('30'!A33="","",'30'!A33)</f>
        <v/>
      </c>
      <c r="B33" s="16">
        <f>IF('30'!B33="","",'30'!B33)</f>
        <v>20</v>
      </c>
      <c r="C33" s="136" t="str">
        <f>IF('30'!C33="","",'30'!C33)</f>
        <v/>
      </c>
      <c r="D33" s="252" t="str">
        <f>IF('30'!D33="","",'30'!D33)</f>
        <v/>
      </c>
      <c r="E33" s="136" t="str">
        <f>IF('30'!E33="","",'30'!E33)</f>
        <v/>
      </c>
      <c r="F33" s="252" t="str">
        <f>IF('30'!F33="","",'30'!F33)</f>
        <v/>
      </c>
      <c r="G33" s="136" t="str">
        <f>IF('30'!G33="","",'30'!G33)</f>
        <v/>
      </c>
    </row>
    <row r="34" spans="1:7" s="19" customFormat="1" ht="23.1" customHeight="1">
      <c r="A34" s="16" t="str">
        <f>IF('30'!A34="","",'30'!A34)</f>
        <v/>
      </c>
      <c r="B34" s="16">
        <f>IF('30'!B34="","",'30'!B34)</f>
        <v>21</v>
      </c>
      <c r="C34" s="136" t="str">
        <f>IF('30'!C34="","",'30'!C34)</f>
        <v/>
      </c>
      <c r="D34" s="252" t="str">
        <f>IF('30'!D34="","",'30'!D34)</f>
        <v/>
      </c>
      <c r="E34" s="136" t="str">
        <f>IF('30'!E34="","",'30'!E34)</f>
        <v/>
      </c>
      <c r="F34" s="252" t="str">
        <f>IF('30'!F34="","",'30'!F34)</f>
        <v/>
      </c>
      <c r="G34" s="136" t="str">
        <f>IF('30'!G34="","",'30'!G34)</f>
        <v/>
      </c>
    </row>
    <row r="35" spans="1:7" s="19" customFormat="1" ht="23.1" customHeight="1">
      <c r="A35" s="16" t="str">
        <f>IF('30'!A35="","",'30'!A35)</f>
        <v/>
      </c>
      <c r="B35" s="16">
        <f>IF('30'!B35="","",'30'!B35)</f>
        <v>22</v>
      </c>
      <c r="C35" s="136" t="str">
        <f>IF('30'!C35="","",'30'!C35)</f>
        <v/>
      </c>
      <c r="D35" s="252" t="str">
        <f>IF('30'!D35="","",'30'!D35)</f>
        <v/>
      </c>
      <c r="E35" s="136" t="str">
        <f>IF('30'!E35="","",'30'!E35)</f>
        <v/>
      </c>
      <c r="F35" s="252" t="str">
        <f>IF('30'!F35="","",'30'!F35)</f>
        <v/>
      </c>
      <c r="G35" s="136" t="str">
        <f>IF('30'!G35="","",'30'!G35)</f>
        <v/>
      </c>
    </row>
    <row r="36" spans="1:7" s="19" customFormat="1" ht="23.1" customHeight="1">
      <c r="A36" s="16" t="str">
        <f>IF('30'!A36="","",'30'!A36)</f>
        <v/>
      </c>
      <c r="B36" s="16">
        <f>IF('30'!B36="","",'30'!B36)</f>
        <v>23</v>
      </c>
      <c r="C36" s="136" t="str">
        <f>IF('30'!C36="","",'30'!C36)</f>
        <v/>
      </c>
      <c r="D36" s="252" t="str">
        <f>IF('30'!D36="","",'30'!D36)</f>
        <v/>
      </c>
      <c r="E36" s="136" t="str">
        <f>IF('30'!E36="","",'30'!E36)</f>
        <v/>
      </c>
      <c r="F36" s="252" t="str">
        <f>IF('30'!F36="","",'30'!F36)</f>
        <v/>
      </c>
      <c r="G36" s="136" t="str">
        <f>IF('30'!G36="","",'30'!G36)</f>
        <v/>
      </c>
    </row>
    <row r="37" spans="1:7" s="19" customFormat="1" ht="23.1" customHeight="1">
      <c r="A37" s="16" t="str">
        <f>IF('30'!A37="","",'30'!A37)</f>
        <v/>
      </c>
      <c r="B37" s="16">
        <f>IF('30'!B37="","",'30'!B37)</f>
        <v>24</v>
      </c>
      <c r="C37" s="136" t="str">
        <f>IF('30'!C37="","",'30'!C37)</f>
        <v/>
      </c>
      <c r="D37" s="252" t="str">
        <f>IF('30'!D37="","",'30'!D37)</f>
        <v/>
      </c>
      <c r="E37" s="136" t="str">
        <f>IF('30'!E37="","",'30'!E37)</f>
        <v/>
      </c>
      <c r="F37" s="252" t="str">
        <f>IF('30'!F37="","",'30'!F37)</f>
        <v/>
      </c>
      <c r="G37" s="136" t="str">
        <f>IF('30'!G37="","",'30'!G37)</f>
        <v/>
      </c>
    </row>
    <row r="38" spans="1:7" s="19" customFormat="1" ht="23.1" customHeight="1">
      <c r="A38" s="16" t="str">
        <f>IF('30'!A38="","",'30'!A38)</f>
        <v/>
      </c>
      <c r="B38" s="16">
        <f>IF('30'!B38="","",'30'!B38)</f>
        <v>25</v>
      </c>
      <c r="C38" s="136" t="str">
        <f>IF('30'!C38="","",'30'!C38)</f>
        <v/>
      </c>
      <c r="D38" s="252" t="str">
        <f>IF('30'!D38="","",'30'!D38)</f>
        <v/>
      </c>
      <c r="E38" s="136" t="str">
        <f>IF('30'!E38="","",'30'!E38)</f>
        <v/>
      </c>
      <c r="F38" s="252" t="str">
        <f>IF('30'!F38="","",'30'!F38)</f>
        <v/>
      </c>
      <c r="G38" s="136" t="str">
        <f>IF('30'!G38="","",'30'!G38)</f>
        <v/>
      </c>
    </row>
    <row r="39" spans="1:7" s="19" customFormat="1" ht="23.1" customHeight="1">
      <c r="A39" s="16" t="str">
        <f>IF('30'!A39="","",'30'!A39)</f>
        <v/>
      </c>
      <c r="B39" s="16">
        <f>IF('30'!B39="","",'30'!B39)</f>
        <v>26</v>
      </c>
      <c r="C39" s="136" t="str">
        <f>IF('30'!C39="","",'30'!C39)</f>
        <v/>
      </c>
      <c r="D39" s="252" t="str">
        <f>IF('30'!D39="","",'30'!D39)</f>
        <v/>
      </c>
      <c r="E39" s="136" t="str">
        <f>IF('30'!E39="","",'30'!E39)</f>
        <v/>
      </c>
      <c r="F39" s="252" t="str">
        <f>IF('30'!F39="","",'30'!F39)</f>
        <v/>
      </c>
      <c r="G39" s="136" t="str">
        <f>IF('30'!G39="","",'30'!G39)</f>
        <v/>
      </c>
    </row>
    <row r="40" spans="1:7" s="19" customFormat="1" ht="23.1" customHeight="1">
      <c r="A40" s="16" t="str">
        <f>IF('30'!A40="","",'30'!A40)</f>
        <v/>
      </c>
      <c r="B40" s="16">
        <f>IF('30'!B40="","",'30'!B40)</f>
        <v>27</v>
      </c>
      <c r="C40" s="136" t="str">
        <f>IF('30'!C40="","",'30'!C40)</f>
        <v/>
      </c>
      <c r="D40" s="252" t="str">
        <f>IF('30'!D40="","",'30'!D40)</f>
        <v/>
      </c>
      <c r="E40" s="136" t="str">
        <f>IF('30'!E40="","",'30'!E40)</f>
        <v/>
      </c>
      <c r="F40" s="252" t="str">
        <f>IF('30'!F40="","",'30'!F40)</f>
        <v/>
      </c>
      <c r="G40" s="136" t="str">
        <f>IF('30'!G40="","",'30'!G40)</f>
        <v/>
      </c>
    </row>
    <row r="41" spans="1:7" s="19" customFormat="1" ht="23.1" customHeight="1">
      <c r="A41" s="16" t="str">
        <f>IF('30'!A41="","",'30'!A41)</f>
        <v/>
      </c>
      <c r="B41" s="16">
        <f>IF('30'!B41="","",'30'!B41)</f>
        <v>28</v>
      </c>
      <c r="C41" s="136" t="str">
        <f>IF('30'!C41="","",'30'!C41)</f>
        <v/>
      </c>
      <c r="D41" s="252" t="str">
        <f>IF('30'!D41="","",'30'!D41)</f>
        <v/>
      </c>
      <c r="E41" s="136" t="str">
        <f>IF('30'!E41="","",'30'!E41)</f>
        <v/>
      </c>
      <c r="F41" s="252" t="str">
        <f>IF('30'!F41="","",'30'!F41)</f>
        <v/>
      </c>
      <c r="G41" s="136" t="str">
        <f>IF('30'!G41="","",'30'!G41)</f>
        <v/>
      </c>
    </row>
    <row r="42" spans="1:7" s="19" customFormat="1" ht="23.1" customHeight="1">
      <c r="A42" s="16" t="str">
        <f>IF('30'!A42="","",'30'!A42)</f>
        <v/>
      </c>
      <c r="B42" s="16">
        <f>IF('30'!B42="","",'30'!B42)</f>
        <v>29</v>
      </c>
      <c r="C42" s="136" t="str">
        <f>IF('30'!C42="","",'30'!C42)</f>
        <v/>
      </c>
      <c r="D42" s="252" t="str">
        <f>IF('30'!D42="","",'30'!D42)</f>
        <v/>
      </c>
      <c r="E42" s="136" t="str">
        <f>IF('30'!E42="","",'30'!E42)</f>
        <v/>
      </c>
      <c r="F42" s="252" t="str">
        <f>IF('30'!F42="","",'30'!F42)</f>
        <v/>
      </c>
      <c r="G42" s="136" t="str">
        <f>IF('30'!G42="","",'30'!G42)</f>
        <v/>
      </c>
    </row>
    <row r="43" spans="1:7" s="19" customFormat="1" ht="23.1" customHeight="1">
      <c r="A43" s="16" t="str">
        <f>IF('30'!A43="","",'30'!A43)</f>
        <v/>
      </c>
      <c r="B43" s="16">
        <f>IF('30'!B43="","",'30'!B43)</f>
        <v>30</v>
      </c>
      <c r="C43" s="16" t="str">
        <f>IF('30'!C43="","",'30'!C43)</f>
        <v/>
      </c>
      <c r="D43" s="252" t="str">
        <f>IF('30'!D43="","",'30'!D43)</f>
        <v/>
      </c>
      <c r="E43" s="136" t="str">
        <f>IF('30'!E43="","",'30'!E43)</f>
        <v/>
      </c>
      <c r="F43" s="252" t="str">
        <f>IF('30'!F43="","",'30'!F43)</f>
        <v/>
      </c>
      <c r="G43" s="136" t="str">
        <f>IF('30'!G43="","",'30'!G43)</f>
        <v/>
      </c>
    </row>
    <row r="44" spans="1:7" ht="23.1" customHeight="1">
      <c r="A44" s="16" t="str">
        <f>IF('30'!A44="","",'30'!A44)</f>
        <v/>
      </c>
      <c r="B44" s="16">
        <f>IF('30'!B44="","",'30'!B44)</f>
        <v>31</v>
      </c>
      <c r="C44" s="16" t="str">
        <f>IF('30'!C44="","",'30'!C44)</f>
        <v/>
      </c>
      <c r="D44" s="252" t="str">
        <f>IF('30'!D44="","",'30'!D44)</f>
        <v/>
      </c>
      <c r="E44" s="136" t="str">
        <f>IF('30'!E44="","",'30'!E44)</f>
        <v/>
      </c>
      <c r="F44" s="252" t="str">
        <f>IF('30'!F44="","",'30'!F44)</f>
        <v/>
      </c>
      <c r="G44" s="136" t="str">
        <f>IF('30'!G44="","",'30'!G44)</f>
        <v/>
      </c>
    </row>
    <row r="45" spans="1:7" ht="23.1" customHeight="1">
      <c r="A45" s="16" t="str">
        <f>IF('30'!A45="","",'30'!A45)</f>
        <v/>
      </c>
      <c r="B45" s="16">
        <f>IF('30'!B45="","",'30'!B45)</f>
        <v>32</v>
      </c>
      <c r="C45" s="16" t="str">
        <f>IF('30'!C45="","",'30'!C45)</f>
        <v/>
      </c>
      <c r="D45" s="252" t="str">
        <f>IF('30'!D45="","",'30'!D45)</f>
        <v/>
      </c>
      <c r="E45" s="16" t="str">
        <f>IF('30'!E45="","",'30'!E45)</f>
        <v/>
      </c>
      <c r="F45" s="252" t="str">
        <f>IF('30'!F45="","",'30'!F45)</f>
        <v/>
      </c>
      <c r="G45" s="136" t="str">
        <f>IF('30'!G45="","",'30'!G45)</f>
        <v/>
      </c>
    </row>
    <row r="46" spans="1:7" ht="23.1" customHeight="1">
      <c r="A46" s="16" t="str">
        <f>IF('30'!A46="","",'30'!A46)</f>
        <v/>
      </c>
      <c r="B46" s="16">
        <f>IF('30'!B46="","",'30'!B46)</f>
        <v>33</v>
      </c>
      <c r="C46" s="16" t="str">
        <f>IF('30'!C46="","",'30'!C46)</f>
        <v/>
      </c>
      <c r="D46" s="252" t="str">
        <f>IF('30'!D46="","",'30'!D46)</f>
        <v/>
      </c>
      <c r="E46" s="16" t="str">
        <f>IF('30'!E46="","",'30'!E46)</f>
        <v/>
      </c>
      <c r="F46" s="252" t="str">
        <f>IF('30'!F46="","",'30'!F46)</f>
        <v/>
      </c>
      <c r="G46" s="136" t="str">
        <f>IF('30'!G46="","",'30'!G46)</f>
        <v/>
      </c>
    </row>
    <row r="47" spans="1:7" ht="23.1" customHeight="1">
      <c r="A47" s="16" t="str">
        <f>IF('30'!A47="","",'30'!A47)</f>
        <v/>
      </c>
      <c r="B47" s="16">
        <f>IF('30'!B47="","",'30'!B47)</f>
        <v>34</v>
      </c>
      <c r="C47" s="16" t="str">
        <f>IF('30'!C47="","",'30'!C47)</f>
        <v/>
      </c>
      <c r="D47" s="252" t="str">
        <f>IF('30'!D47="","",'30'!D47)</f>
        <v/>
      </c>
      <c r="E47" s="16" t="str">
        <f>IF('30'!E47="","",'30'!E47)</f>
        <v/>
      </c>
      <c r="F47" s="252" t="str">
        <f>IF('30'!F47="","",'30'!F47)</f>
        <v/>
      </c>
      <c r="G47" s="136" t="str">
        <f>IF('30'!G47="","",'30'!G47)</f>
        <v/>
      </c>
    </row>
    <row r="48" spans="1:7" ht="23.1" customHeight="1">
      <c r="A48" s="16" t="str">
        <f>IF('30'!A48="","",'30'!A48)</f>
        <v/>
      </c>
      <c r="B48" s="16">
        <f>IF('30'!B48="","",'30'!B48)</f>
        <v>35</v>
      </c>
      <c r="C48" s="16" t="str">
        <f>IF('30'!C48="","",'30'!C48)</f>
        <v/>
      </c>
      <c r="D48" s="252" t="str">
        <f>IF('30'!D48="","",'30'!D48)</f>
        <v/>
      </c>
      <c r="E48" s="16" t="str">
        <f>IF('30'!E48="","",'30'!E48)</f>
        <v/>
      </c>
      <c r="F48" s="252" t="str">
        <f>IF('30'!F48="","",'30'!F48)</f>
        <v/>
      </c>
      <c r="G48" s="136" t="str">
        <f>IF('30'!G48="","",'30'!G48)</f>
        <v/>
      </c>
    </row>
    <row r="49" spans="1:7" ht="23.1" customHeight="1">
      <c r="A49" s="16" t="str">
        <f>IF('28'!A49="","",'28'!A49)</f>
        <v/>
      </c>
      <c r="B49" s="16" t="str">
        <f>IF('28'!B49="","",'28'!B49)</f>
        <v/>
      </c>
      <c r="C49" s="18" t="str">
        <f>IF('28'!C49="","",'28'!C49)</f>
        <v/>
      </c>
      <c r="D49" s="253" t="str">
        <f>IF('28'!D49="","",'28'!D49)</f>
        <v/>
      </c>
      <c r="E49" s="18" t="str">
        <f>IF('28'!E49="","",'28'!E49)</f>
        <v/>
      </c>
      <c r="F49" s="253" t="str">
        <f>IF('28'!F49="","",'28'!F49)</f>
        <v/>
      </c>
      <c r="G49" s="136" t="str">
        <f>IF('28'!G49="","",'28'!G49)</f>
        <v/>
      </c>
    </row>
    <row r="50" spans="1:7" ht="23.1" customHeight="1">
      <c r="A50" s="16" t="str">
        <f>IF('28'!A50="","",'28'!A50)</f>
        <v/>
      </c>
      <c r="B50" s="16" t="str">
        <f>IF('28'!B50="","",'28'!B50)</f>
        <v/>
      </c>
      <c r="C50" s="18" t="str">
        <f>IF('28'!C50="","",'28'!C50)</f>
        <v/>
      </c>
      <c r="D50" s="253" t="str">
        <f>IF('28'!D50="","",'28'!D50)</f>
        <v/>
      </c>
      <c r="E50" s="18" t="str">
        <f>IF('28'!E50="","",'28'!E50)</f>
        <v/>
      </c>
      <c r="F50" s="253" t="str">
        <f>IF('28'!F50="","",'28'!F50)</f>
        <v/>
      </c>
      <c r="G50" s="136" t="str">
        <f>IF('28'!G50="","",'28'!G50)</f>
        <v/>
      </c>
    </row>
    <row r="51" spans="1:7" ht="23.1" customHeight="1">
      <c r="A51" s="16" t="str">
        <f>IF('28'!A51="","",'28'!A51)</f>
        <v/>
      </c>
      <c r="B51" s="16" t="str">
        <f>IF('28'!B51="","",'28'!B51)</f>
        <v/>
      </c>
      <c r="C51" s="18" t="str">
        <f>IF('28'!C51="","",'28'!C51)</f>
        <v/>
      </c>
      <c r="D51" s="253" t="str">
        <f>IF('28'!D51="","",'28'!D51)</f>
        <v/>
      </c>
      <c r="E51" s="18" t="str">
        <f>IF('28'!E51="","",'28'!E51)</f>
        <v/>
      </c>
      <c r="F51" s="253" t="str">
        <f>IF('28'!F51="","",'28'!F51)</f>
        <v/>
      </c>
      <c r="G51" s="136" t="str">
        <f>IF('28'!G51="","",'28'!G51)</f>
        <v/>
      </c>
    </row>
    <row r="52" spans="1:7" ht="23.1" customHeight="1">
      <c r="A52" s="16" t="str">
        <f>IF('28'!A52="","",'28'!A52)</f>
        <v/>
      </c>
      <c r="B52" s="16" t="str">
        <f>IF('28'!B52="","",'28'!B52)</f>
        <v/>
      </c>
      <c r="C52" s="18" t="str">
        <f>IF('28'!C52="","",'28'!C52)</f>
        <v/>
      </c>
      <c r="D52" s="253" t="str">
        <f>IF('28'!D52="","",'28'!D52)</f>
        <v/>
      </c>
      <c r="E52" s="18" t="str">
        <f>IF('28'!E52="","",'28'!E52)</f>
        <v/>
      </c>
      <c r="F52" s="253" t="str">
        <f>IF('28'!F52="","",'28'!F52)</f>
        <v/>
      </c>
      <c r="G52" s="136" t="str">
        <f>IF('28'!G52="","",'28'!G52)</f>
        <v/>
      </c>
    </row>
    <row r="53" spans="1:7" ht="23.1" customHeight="1">
      <c r="A53" s="16" t="str">
        <f>IF('28'!A53="","",'28'!A53)</f>
        <v/>
      </c>
      <c r="B53" s="16" t="str">
        <f>IF('28'!B53="","",'28'!B53)</f>
        <v/>
      </c>
      <c r="C53" s="18" t="str">
        <f>IF('28'!C53="","",'28'!C53)</f>
        <v/>
      </c>
      <c r="D53" s="253" t="str">
        <f>IF('28'!D53="","",'28'!D53)</f>
        <v/>
      </c>
      <c r="E53" s="18" t="str">
        <f>IF('28'!E53="","",'28'!E53)</f>
        <v/>
      </c>
      <c r="F53" s="253" t="str">
        <f>IF('28'!F53="","",'28'!F53)</f>
        <v/>
      </c>
      <c r="G53" s="136" t="str">
        <f>IF('28'!G53="","",'28'!G53)</f>
        <v/>
      </c>
    </row>
    <row r="54" spans="1:7" ht="23.1" customHeight="1">
      <c r="A54" s="16" t="str">
        <f>IF('28'!A54="","",'28'!A54)</f>
        <v/>
      </c>
      <c r="B54" s="16" t="str">
        <f>IF('28'!B54="","",'28'!B54)</f>
        <v/>
      </c>
      <c r="C54" s="18" t="str">
        <f>IF('28'!C54="","",'28'!C54)</f>
        <v/>
      </c>
      <c r="D54" s="253" t="str">
        <f>IF('28'!D54="","",'28'!D54)</f>
        <v/>
      </c>
      <c r="E54" s="18" t="str">
        <f>IF('28'!E54="","",'28'!E54)</f>
        <v/>
      </c>
      <c r="F54" s="253" t="str">
        <f>IF('28'!F54="","",'28'!F54)</f>
        <v/>
      </c>
      <c r="G54" s="136" t="str">
        <f>IF('28'!G54="","",'28'!G54)</f>
        <v/>
      </c>
    </row>
    <row r="55" spans="1:7" ht="23.1" customHeight="1">
      <c r="A55" s="16" t="str">
        <f>IF('28'!A55="","",'28'!A55)</f>
        <v/>
      </c>
      <c r="B55" s="16" t="str">
        <f>IF('28'!B55="","",'28'!B55)</f>
        <v/>
      </c>
      <c r="C55" s="18" t="str">
        <f>IF('28'!C55="","",'28'!C55)</f>
        <v/>
      </c>
      <c r="D55" s="253" t="str">
        <f>IF('28'!D55="","",'28'!D55)</f>
        <v/>
      </c>
      <c r="E55" s="18" t="str">
        <f>IF('28'!E55="","",'28'!E55)</f>
        <v/>
      </c>
      <c r="F55" s="253" t="str">
        <f>IF('28'!F55="","",'28'!F55)</f>
        <v/>
      </c>
      <c r="G55" s="136" t="str">
        <f>IF('28'!G55="","",'28'!G55)</f>
        <v/>
      </c>
    </row>
    <row r="56" spans="1:7" ht="23.1" customHeight="1">
      <c r="A56" s="16" t="str">
        <f>IF('28'!A56="","",'28'!A56)</f>
        <v/>
      </c>
      <c r="B56" s="16" t="str">
        <f>IF('28'!B56="","",'28'!B56)</f>
        <v/>
      </c>
      <c r="C56" s="18" t="str">
        <f>IF('28'!C56="","",'28'!C56)</f>
        <v/>
      </c>
      <c r="D56" s="253" t="str">
        <f>IF('28'!D56="","",'28'!D56)</f>
        <v/>
      </c>
      <c r="E56" s="18" t="str">
        <f>IF('28'!E56="","",'28'!E56)</f>
        <v/>
      </c>
      <c r="F56" s="253" t="str">
        <f>IF('28'!F56="","",'28'!F56)</f>
        <v/>
      </c>
      <c r="G56" s="136" t="str">
        <f>IF('28'!G56="","",'28'!G56)</f>
        <v/>
      </c>
    </row>
    <row r="57" spans="1:7" ht="23.1" customHeight="1">
      <c r="A57" s="16" t="str">
        <f>IF('28'!A57="","",'28'!A57)</f>
        <v/>
      </c>
      <c r="B57" s="16" t="str">
        <f>IF('28'!B57="","",'28'!B57)</f>
        <v/>
      </c>
      <c r="C57" s="18" t="str">
        <f>IF('28'!C57="","",'28'!C57)</f>
        <v/>
      </c>
      <c r="D57" s="253" t="str">
        <f>IF('28'!D57="","",'28'!D57)</f>
        <v/>
      </c>
      <c r="E57" s="18" t="str">
        <f>IF('28'!E57="","",'28'!E57)</f>
        <v/>
      </c>
      <c r="F57" s="253" t="str">
        <f>IF('28'!F57="","",'28'!F57)</f>
        <v/>
      </c>
      <c r="G57" s="136" t="str">
        <f>IF('28'!G57="","",'28'!G57)</f>
        <v/>
      </c>
    </row>
    <row r="58" spans="1:7" ht="23.1" customHeight="1">
      <c r="A58" s="16" t="str">
        <f>IF('28'!A58="","",'28'!A58)</f>
        <v/>
      </c>
      <c r="B58" s="16" t="str">
        <f>IF('28'!B58="","",'28'!B58)</f>
        <v/>
      </c>
      <c r="C58" s="18" t="str">
        <f>IF('28'!C58="","",'28'!C58)</f>
        <v/>
      </c>
      <c r="D58" s="253" t="str">
        <f>IF('28'!D58="","",'28'!D58)</f>
        <v/>
      </c>
      <c r="E58" s="18" t="str">
        <f>IF('28'!E58="","",'28'!E58)</f>
        <v/>
      </c>
      <c r="F58" s="253" t="str">
        <f>IF('28'!F58="","",'28'!F58)</f>
        <v/>
      </c>
      <c r="G58" s="136" t="str">
        <f>IF('28'!G58="","",'28'!G58)</f>
        <v/>
      </c>
    </row>
    <row r="59" spans="1:7" ht="23.1" customHeight="1">
      <c r="A59" s="16" t="str">
        <f>IF('28'!A59="","",'28'!A59)</f>
        <v/>
      </c>
      <c r="B59" s="16" t="str">
        <f>IF('28'!B59="","",'28'!B59)</f>
        <v/>
      </c>
      <c r="C59" s="18" t="str">
        <f>IF('28'!C59="","",'28'!C59)</f>
        <v/>
      </c>
      <c r="D59" s="253" t="str">
        <f>IF('28'!D59="","",'28'!D59)</f>
        <v/>
      </c>
      <c r="E59" s="18" t="str">
        <f>IF('28'!E59="","",'28'!E59)</f>
        <v/>
      </c>
      <c r="F59" s="253" t="str">
        <f>IF('28'!F59="","",'28'!F59)</f>
        <v/>
      </c>
      <c r="G59" s="136" t="str">
        <f>IF('28'!G59="","",'28'!G59)</f>
        <v/>
      </c>
    </row>
    <row r="60" spans="1:7" ht="23.1" customHeight="1">
      <c r="A60" s="16" t="str">
        <f>IF('28'!A60="","",'28'!A60)</f>
        <v/>
      </c>
      <c r="B60" s="16" t="str">
        <f>IF('28'!B60="","",'28'!B60)</f>
        <v/>
      </c>
      <c r="C60" s="18" t="str">
        <f>IF('28'!C60="","",'28'!C60)</f>
        <v/>
      </c>
      <c r="D60" s="253" t="str">
        <f>IF('28'!D60="","",'28'!D60)</f>
        <v/>
      </c>
      <c r="E60" s="18" t="str">
        <f>IF('28'!E60="","",'28'!E60)</f>
        <v/>
      </c>
      <c r="F60" s="253" t="str">
        <f>IF('28'!F60="","",'28'!F60)</f>
        <v/>
      </c>
      <c r="G60" s="136" t="str">
        <f>IF('28'!G60="","",'28'!G60)</f>
        <v/>
      </c>
    </row>
    <row r="61" spans="1:7" ht="23.1" customHeight="1">
      <c r="A61" s="16" t="str">
        <f>IF('28'!A61="","",'28'!A61)</f>
        <v/>
      </c>
      <c r="B61" s="16" t="str">
        <f>IF('28'!B61="","",'28'!B61)</f>
        <v/>
      </c>
      <c r="C61" s="18" t="str">
        <f>IF('28'!C61="","",'28'!C61)</f>
        <v/>
      </c>
      <c r="D61" s="253" t="str">
        <f>IF('28'!D61="","",'28'!D61)</f>
        <v/>
      </c>
      <c r="E61" s="18" t="str">
        <f>IF('28'!E61="","",'28'!E61)</f>
        <v/>
      </c>
      <c r="F61" s="253" t="str">
        <f>IF('28'!F61="","",'28'!F61)</f>
        <v/>
      </c>
      <c r="G61" s="136" t="str">
        <f>IF('28'!G61="","",'28'!G61)</f>
        <v/>
      </c>
    </row>
    <row r="62" spans="1:7" ht="23.1" customHeight="1">
      <c r="A62" s="16" t="str">
        <f>IF('28'!A62="","",'28'!A62)</f>
        <v/>
      </c>
      <c r="B62" s="16" t="str">
        <f>IF('28'!B62="","",'28'!B62)</f>
        <v/>
      </c>
      <c r="C62" s="18" t="str">
        <f>IF('28'!C62="","",'28'!C62)</f>
        <v/>
      </c>
      <c r="D62" s="253" t="str">
        <f>IF('28'!D62="","",'28'!D62)</f>
        <v/>
      </c>
      <c r="E62" s="18" t="str">
        <f>IF('28'!E62="","",'28'!E62)</f>
        <v/>
      </c>
      <c r="F62" s="253" t="str">
        <f>IF('28'!F62="","",'28'!F62)</f>
        <v/>
      </c>
      <c r="G62" s="136" t="str">
        <f>IF('28'!G62="","",'28'!G62)</f>
        <v/>
      </c>
    </row>
    <row r="63" spans="1:7" ht="23.1" customHeight="1">
      <c r="A63" s="16" t="str">
        <f>IF('28'!A63="","",'28'!A63)</f>
        <v/>
      </c>
      <c r="B63" s="16" t="str">
        <f>IF('28'!B63="","",'28'!B63)</f>
        <v/>
      </c>
      <c r="C63" s="18" t="str">
        <f>IF('28'!C63="","",'28'!C63)</f>
        <v/>
      </c>
      <c r="D63" s="253" t="str">
        <f>IF('28'!D63="","",'28'!D63)</f>
        <v/>
      </c>
      <c r="E63" s="18" t="str">
        <f>IF('28'!E63="","",'28'!E63)</f>
        <v/>
      </c>
      <c r="F63" s="253" t="str">
        <f>IF('28'!F63="","",'28'!F63)</f>
        <v/>
      </c>
      <c r="G63" s="136" t="str">
        <f>IF('28'!G63="","",'28'!G63)</f>
        <v/>
      </c>
    </row>
    <row r="64" spans="1:7" ht="23.1" customHeight="1">
      <c r="A64" s="16" t="str">
        <f>IF('28'!A64="","",'28'!A64)</f>
        <v/>
      </c>
      <c r="B64" s="16" t="str">
        <f>IF('28'!B64="","",'28'!B64)</f>
        <v/>
      </c>
      <c r="C64" s="18" t="str">
        <f>IF('28'!C64="","",'28'!C64)</f>
        <v/>
      </c>
      <c r="D64" s="253" t="str">
        <f>IF('28'!D64="","",'28'!D64)</f>
        <v/>
      </c>
      <c r="E64" s="18" t="str">
        <f>IF('28'!E64="","",'28'!E64)</f>
        <v/>
      </c>
      <c r="F64" s="253" t="str">
        <f>IF('28'!F64="","",'28'!F64)</f>
        <v/>
      </c>
      <c r="G64" s="136" t="str">
        <f>IF('28'!G64="","",'28'!G64)</f>
        <v/>
      </c>
    </row>
    <row r="65" spans="1:7" ht="23.1" customHeight="1">
      <c r="A65" s="16" t="str">
        <f>IF('28'!A65="","",'28'!A65)</f>
        <v/>
      </c>
      <c r="B65" s="16" t="str">
        <f>IF('28'!B65="","",'28'!B65)</f>
        <v/>
      </c>
      <c r="C65" s="18" t="str">
        <f>IF('28'!C65="","",'28'!C65)</f>
        <v/>
      </c>
      <c r="D65" s="253" t="str">
        <f>IF('28'!D65="","",'28'!D65)</f>
        <v/>
      </c>
      <c r="E65" s="18" t="str">
        <f>IF('28'!E65="","",'28'!E65)</f>
        <v/>
      </c>
      <c r="F65" s="253" t="str">
        <f>IF('28'!F65="","",'28'!F65)</f>
        <v/>
      </c>
      <c r="G65" s="136" t="str">
        <f>IF('28'!G65="","",'28'!G65)</f>
        <v/>
      </c>
    </row>
    <row r="66" spans="1:7" ht="23.1" customHeight="1">
      <c r="A66" s="16" t="str">
        <f>IF('28'!A66="","",'28'!A66)</f>
        <v/>
      </c>
      <c r="B66" s="16" t="str">
        <f>IF('28'!B66="","",'28'!B66)</f>
        <v/>
      </c>
      <c r="C66" s="18" t="str">
        <f>IF('28'!C66="","",'28'!C66)</f>
        <v/>
      </c>
      <c r="D66" s="253" t="str">
        <f>IF('28'!D66="","",'28'!D66)</f>
        <v/>
      </c>
      <c r="E66" s="18" t="str">
        <f>IF('28'!E66="","",'28'!E66)</f>
        <v/>
      </c>
      <c r="F66" s="253" t="str">
        <f>IF('28'!F66="","",'28'!F66)</f>
        <v/>
      </c>
      <c r="G66" s="136" t="str">
        <f>IF('28'!G66="","",'28'!G66)</f>
        <v/>
      </c>
    </row>
    <row r="67" spans="1:7" ht="23.1" customHeight="1">
      <c r="A67" s="16" t="str">
        <f>IF('28'!A67="","",'28'!A67)</f>
        <v/>
      </c>
      <c r="B67" s="16" t="str">
        <f>IF('28'!B67="","",'28'!B67)</f>
        <v/>
      </c>
      <c r="C67" s="18" t="str">
        <f>IF('28'!C67="","",'28'!C67)</f>
        <v/>
      </c>
      <c r="D67" s="253" t="str">
        <f>IF('28'!D67="","",'28'!D67)</f>
        <v/>
      </c>
      <c r="E67" s="18" t="str">
        <f>IF('28'!E67="","",'28'!E67)</f>
        <v/>
      </c>
      <c r="F67" s="253" t="str">
        <f>IF('28'!F67="","",'28'!F67)</f>
        <v/>
      </c>
      <c r="G67" s="136" t="str">
        <f>IF('28'!G67="","",'28'!G67)</f>
        <v/>
      </c>
    </row>
    <row r="68" spans="1:7" ht="23.1" customHeight="1">
      <c r="A68" s="16" t="str">
        <f>IF('28'!A68="","",'28'!A68)</f>
        <v/>
      </c>
      <c r="B68" s="16" t="str">
        <f>IF('28'!B68="","",'28'!B68)</f>
        <v/>
      </c>
      <c r="C68" s="18" t="str">
        <f>IF('28'!C68="","",'28'!C68)</f>
        <v/>
      </c>
      <c r="D68" s="253" t="str">
        <f>IF('28'!D68="","",'28'!D68)</f>
        <v/>
      </c>
      <c r="E68" s="18" t="str">
        <f>IF('28'!E68="","",'28'!E68)</f>
        <v/>
      </c>
      <c r="F68" s="253" t="str">
        <f>IF('28'!F68="","",'28'!F68)</f>
        <v/>
      </c>
      <c r="G68" s="17" t="str">
        <f>IF('28'!G68="","",'28'!G68)</f>
        <v/>
      </c>
    </row>
    <row r="69" spans="1:7" ht="23.1" customHeight="1">
      <c r="A69" s="16" t="str">
        <f>IF('28'!A69="","",'28'!A69)</f>
        <v/>
      </c>
      <c r="B69" s="16" t="str">
        <f>IF('28'!B69="","",'28'!B69)</f>
        <v/>
      </c>
      <c r="C69" s="18" t="str">
        <f>IF('28'!C69="","",'28'!C69)</f>
        <v/>
      </c>
      <c r="D69" s="253" t="str">
        <f>IF('28'!D69="","",'28'!D69)</f>
        <v/>
      </c>
      <c r="E69" s="18" t="str">
        <f>IF('28'!E69="","",'28'!E69)</f>
        <v/>
      </c>
      <c r="F69" s="253" t="str">
        <f>IF('28'!F69="","",'28'!F69)</f>
        <v/>
      </c>
      <c r="G69" s="17" t="str">
        <f>IF('28'!G69="","",'28'!G69)</f>
        <v/>
      </c>
    </row>
    <row r="70" spans="1:7" ht="23.1" customHeight="1">
      <c r="A70" s="16" t="str">
        <f>IF('28'!A70="","",'28'!A70)</f>
        <v/>
      </c>
      <c r="B70" s="16" t="str">
        <f>IF('28'!B70="","",'28'!B70)</f>
        <v/>
      </c>
      <c r="C70" s="18" t="str">
        <f>IF('28'!C70="","",'28'!C70)</f>
        <v/>
      </c>
      <c r="D70" s="253" t="str">
        <f>IF('28'!D70="","",'28'!D70)</f>
        <v/>
      </c>
      <c r="E70" s="18" t="str">
        <f>IF('28'!E70="","",'28'!E70)</f>
        <v/>
      </c>
      <c r="F70" s="253" t="str">
        <f>IF('28'!F70="","",'28'!F70)</f>
        <v/>
      </c>
      <c r="G70" s="17" t="str">
        <f>IF('28'!G70="","",'28'!G70)</f>
        <v/>
      </c>
    </row>
    <row r="71" spans="1:7" ht="23.1" customHeight="1">
      <c r="A71" s="16" t="str">
        <f>IF('28'!A71="","",'28'!A71)</f>
        <v/>
      </c>
      <c r="B71" s="16" t="str">
        <f>IF('28'!B71="","",'28'!B71)</f>
        <v/>
      </c>
      <c r="C71" s="18" t="str">
        <f>IF('28'!C71="","",'28'!C71)</f>
        <v/>
      </c>
      <c r="D71" s="253" t="str">
        <f>IF('28'!D71="","",'28'!D71)</f>
        <v/>
      </c>
      <c r="E71" s="18" t="str">
        <f>IF('28'!E71="","",'28'!E71)</f>
        <v/>
      </c>
      <c r="F71" s="253" t="str">
        <f>IF('28'!F71="","",'28'!F71)</f>
        <v/>
      </c>
      <c r="G71" s="17" t="str">
        <f>IF('28'!G71="","",'28'!G71)</f>
        <v/>
      </c>
    </row>
    <row r="72" spans="1:7" ht="23.1" customHeight="1">
      <c r="A72" s="16" t="str">
        <f>IF('28'!A72="","",'28'!A72)</f>
        <v/>
      </c>
      <c r="B72" s="16" t="str">
        <f>IF('28'!B72="","",'28'!B72)</f>
        <v/>
      </c>
      <c r="C72" s="18" t="str">
        <f>IF('28'!C72="","",'28'!C72)</f>
        <v/>
      </c>
      <c r="D72" s="253" t="str">
        <f>IF('28'!D72="","",'28'!D72)</f>
        <v/>
      </c>
      <c r="E72" s="18" t="str">
        <f>IF('28'!E72="","",'28'!E72)</f>
        <v/>
      </c>
      <c r="F72" s="253" t="str">
        <f>IF('28'!F72="","",'28'!F72)</f>
        <v/>
      </c>
      <c r="G72" s="17" t="str">
        <f>IF('28'!G72="","",'28'!G72)</f>
        <v/>
      </c>
    </row>
    <row r="73" spans="1:7" ht="23.1" customHeight="1">
      <c r="A73" s="16" t="e">
        <f>IF(#REF!="","",#REF!)</f>
        <v>#REF!</v>
      </c>
      <c r="B73" s="16" t="e">
        <f>IF(#REF!="","",#REF!)</f>
        <v>#REF!</v>
      </c>
      <c r="C73" s="17" t="e">
        <f>IF(#REF!="","",#REF!)</f>
        <v>#REF!</v>
      </c>
      <c r="D73" s="249" t="e">
        <f>IF(#REF!="","",#REF!)</f>
        <v>#REF!</v>
      </c>
      <c r="E73" s="17" t="e">
        <f>IF(#REF!="","",#REF!)</f>
        <v>#REF!</v>
      </c>
      <c r="F73" s="249" t="e">
        <f>IF(#REF!="","",#REF!)</f>
        <v>#REF!</v>
      </c>
      <c r="G73" s="17" t="e">
        <f>IF(#REF!="","",#REF!)</f>
        <v>#REF!</v>
      </c>
    </row>
  </sheetData>
  <dataConsolidate/>
  <mergeCells count="6">
    <mergeCell ref="G12:G13"/>
    <mergeCell ref="D8:F8"/>
    <mergeCell ref="A12:A13"/>
    <mergeCell ref="B12:B13"/>
    <mergeCell ref="C12:D12"/>
    <mergeCell ref="E12:F12"/>
  </mergeCells>
  <phoneticPr fontId="6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r:id="rId1"/>
  <headerFooter alignWithMargins="0">
    <oddHeader>&amp;R&amp;P/&amp;N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8">
    <tabColor rgb="FFFFC000"/>
  </sheetPr>
  <dimension ref="A1:AD348"/>
  <sheetViews>
    <sheetView topLeftCell="A4" zoomScaleNormal="100" workbookViewId="0">
      <selection activeCell="E19" sqref="E19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185" customWidth="1"/>
    <col min="6" max="6" width="7.88671875" style="20" customWidth="1"/>
    <col min="7" max="7" width="30.6640625" style="20" customWidth="1"/>
    <col min="8" max="20" width="7.6640625" style="20" customWidth="1"/>
    <col min="21" max="24" width="2.5546875" style="20" customWidth="1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185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21</v>
      </c>
      <c r="D4" s="26" t="s">
        <v>7</v>
      </c>
      <c r="E4" s="186" t="s">
        <v>8</v>
      </c>
      <c r="F4" s="268" t="s">
        <v>585</v>
      </c>
      <c r="G4" s="31"/>
      <c r="H4" s="74" t="s">
        <v>592</v>
      </c>
      <c r="J4" s="27" t="s">
        <v>9</v>
      </c>
      <c r="K4" s="36" t="s">
        <v>58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 t="s">
        <v>58</v>
      </c>
      <c r="E5" s="186" t="s">
        <v>12</v>
      </c>
      <c r="F5" s="38" t="s">
        <v>58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355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186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188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189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189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189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189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190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191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 t="s">
        <v>1419</v>
      </c>
      <c r="B14" s="63">
        <v>1</v>
      </c>
      <c r="C14" s="232" t="s">
        <v>702</v>
      </c>
      <c r="D14" s="264">
        <v>13141</v>
      </c>
      <c r="E14" s="214" t="s">
        <v>1442</v>
      </c>
      <c r="F14" s="270" t="s">
        <v>1344</v>
      </c>
      <c r="G14" s="154" t="s">
        <v>1396</v>
      </c>
      <c r="H14" s="23"/>
      <c r="I14" s="23"/>
      <c r="J14" s="64" t="str">
        <f t="shared" ref="J14:J59" si="0">IF(H14="","",H14+I14)</f>
        <v/>
      </c>
      <c r="K14" s="65"/>
      <c r="L14" s="65"/>
      <c r="M14" s="66" t="str">
        <f t="shared" ref="M14:M59" si="1">IF(L14="","",K14+L14)</f>
        <v/>
      </c>
      <c r="N14" s="23"/>
      <c r="O14" s="23"/>
      <c r="P14" s="64" t="str">
        <f t="shared" ref="P14:P59" si="2">IF(N14="","",N14+O14)</f>
        <v/>
      </c>
      <c r="Q14" s="65"/>
      <c r="R14" s="65"/>
      <c r="S14" s="66" t="str">
        <f t="shared" ref="S14:S59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/>
      <c r="Z14"/>
      <c r="AA14"/>
      <c r="AB14"/>
      <c r="AC14"/>
      <c r="AD14"/>
    </row>
    <row r="15" spans="1:30" s="69" customFormat="1" ht="18" customHeight="1">
      <c r="A15" s="62" t="s">
        <v>1437</v>
      </c>
      <c r="B15" s="63">
        <v>2</v>
      </c>
      <c r="C15" s="228" t="s">
        <v>1406</v>
      </c>
      <c r="D15" s="264">
        <v>14546</v>
      </c>
      <c r="E15" s="212" t="s">
        <v>1374</v>
      </c>
      <c r="F15" s="270" t="s">
        <v>1324</v>
      </c>
      <c r="G15" s="154" t="s">
        <v>1373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/>
      <c r="Z15"/>
      <c r="AA15"/>
      <c r="AB15"/>
      <c r="AC15"/>
      <c r="AD15"/>
    </row>
    <row r="16" spans="1:30" s="69" customFormat="1" ht="18" customHeight="1">
      <c r="A16" s="62" t="s">
        <v>1437</v>
      </c>
      <c r="B16" s="63">
        <v>3</v>
      </c>
      <c r="C16" s="123" t="s">
        <v>670</v>
      </c>
      <c r="D16" s="265">
        <v>23529</v>
      </c>
      <c r="E16" s="217" t="s">
        <v>1334</v>
      </c>
      <c r="F16" s="271" t="s">
        <v>1324</v>
      </c>
      <c r="G16" s="158" t="s">
        <v>1335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/>
      <c r="Z16"/>
      <c r="AA16"/>
      <c r="AB16" t="s">
        <v>789</v>
      </c>
      <c r="AC16">
        <v>58659</v>
      </c>
      <c r="AD16" t="s">
        <v>788</v>
      </c>
    </row>
    <row r="17" spans="1:30" s="69" customFormat="1" ht="18" customHeight="1">
      <c r="A17" s="62"/>
      <c r="B17" s="63">
        <v>4</v>
      </c>
      <c r="C17" s="155" t="s">
        <v>1157</v>
      </c>
      <c r="D17" s="265">
        <v>32787</v>
      </c>
      <c r="E17" s="225" t="s">
        <v>641</v>
      </c>
      <c r="F17" s="271">
        <v>58347</v>
      </c>
      <c r="G17" s="157" t="s">
        <v>1393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/>
      <c r="AC17"/>
      <c r="AD17"/>
    </row>
    <row r="18" spans="1:30" s="69" customFormat="1" ht="18" customHeight="1">
      <c r="A18" s="62"/>
      <c r="B18" s="63">
        <v>5</v>
      </c>
      <c r="C18" s="155" t="s">
        <v>1443</v>
      </c>
      <c r="D18" s="265" t="s">
        <v>1324</v>
      </c>
      <c r="E18" s="222" t="s">
        <v>1382</v>
      </c>
      <c r="F18" s="271">
        <v>60192</v>
      </c>
      <c r="G18" s="157" t="s">
        <v>1379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/>
      <c r="Z18"/>
      <c r="AA18"/>
      <c r="AB18"/>
      <c r="AC18"/>
      <c r="AD18"/>
    </row>
    <row r="19" spans="1:30" s="69" customFormat="1" ht="18" customHeight="1">
      <c r="A19" s="62"/>
      <c r="B19" s="63">
        <v>6</v>
      </c>
      <c r="C19" s="123" t="s">
        <v>1444</v>
      </c>
      <c r="D19" s="265" t="s">
        <v>1324</v>
      </c>
      <c r="E19" s="215" t="s">
        <v>1442</v>
      </c>
      <c r="F19" s="272" t="s">
        <v>1344</v>
      </c>
      <c r="G19" s="158" t="s">
        <v>1396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 t="s">
        <v>1086</v>
      </c>
      <c r="Z19">
        <v>32398</v>
      </c>
      <c r="AA19" t="s">
        <v>712</v>
      </c>
      <c r="AB19"/>
      <c r="AC19"/>
      <c r="AD19"/>
    </row>
    <row r="20" spans="1:30" s="69" customFormat="1" ht="18" customHeight="1">
      <c r="A20" s="62"/>
      <c r="B20" s="63">
        <v>7</v>
      </c>
      <c r="C20" s="123" t="s">
        <v>1445</v>
      </c>
      <c r="D20" s="265" t="s">
        <v>1324</v>
      </c>
      <c r="E20" s="213" t="s">
        <v>1374</v>
      </c>
      <c r="F20" s="271" t="s">
        <v>1324</v>
      </c>
      <c r="G20" s="158" t="s">
        <v>1373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/>
      <c r="Z20"/>
      <c r="AA20"/>
      <c r="AB20"/>
      <c r="AC20"/>
      <c r="AD20"/>
    </row>
    <row r="21" spans="1:30" s="69" customFormat="1" ht="18" customHeight="1">
      <c r="A21" s="62"/>
      <c r="B21" s="63">
        <v>8</v>
      </c>
      <c r="C21" s="123" t="s">
        <v>1086</v>
      </c>
      <c r="D21" s="265">
        <v>32398</v>
      </c>
      <c r="E21" s="218" t="s">
        <v>1334</v>
      </c>
      <c r="F21" s="270" t="s">
        <v>1324</v>
      </c>
      <c r="G21" s="154" t="s">
        <v>1335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/>
      <c r="Z21"/>
      <c r="AA21"/>
      <c r="AB21"/>
      <c r="AC21"/>
      <c r="AD21"/>
    </row>
    <row r="22" spans="1:30" s="69" customFormat="1" ht="18" customHeight="1">
      <c r="A22" s="62"/>
      <c r="B22" s="63">
        <v>9</v>
      </c>
      <c r="C22" s="140" t="s">
        <v>1446</v>
      </c>
      <c r="D22" s="266" t="s">
        <v>1324</v>
      </c>
      <c r="E22" s="225" t="s">
        <v>641</v>
      </c>
      <c r="F22" s="273">
        <v>58347</v>
      </c>
      <c r="G22" s="119" t="s">
        <v>1393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/>
      <c r="Z22"/>
      <c r="AA22"/>
      <c r="AB22"/>
      <c r="AC22"/>
      <c r="AD22"/>
    </row>
    <row r="23" spans="1:30" s="69" customFormat="1" ht="18" customHeight="1">
      <c r="A23" s="62" t="s">
        <v>1419</v>
      </c>
      <c r="B23" s="63">
        <v>10</v>
      </c>
      <c r="C23" s="155" t="s">
        <v>702</v>
      </c>
      <c r="D23" s="265">
        <v>13141</v>
      </c>
      <c r="E23" s="222" t="s">
        <v>1447</v>
      </c>
      <c r="F23" s="271" t="s">
        <v>1324</v>
      </c>
      <c r="G23" s="157" t="s">
        <v>1396</v>
      </c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/>
      <c r="Z23"/>
      <c r="AA23"/>
      <c r="AB23"/>
      <c r="AC23"/>
      <c r="AD23"/>
    </row>
    <row r="24" spans="1:30" s="69" customFormat="1" ht="18" customHeight="1">
      <c r="A24" s="62"/>
      <c r="B24" s="63">
        <v>11</v>
      </c>
      <c r="C24" s="155" t="s">
        <v>1448</v>
      </c>
      <c r="D24" s="265" t="s">
        <v>1324</v>
      </c>
      <c r="E24" s="220" t="s">
        <v>1382</v>
      </c>
      <c r="F24" s="271">
        <v>60192</v>
      </c>
      <c r="G24" s="157" t="s">
        <v>1379</v>
      </c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/>
      <c r="Z24"/>
      <c r="AA24"/>
      <c r="AB24"/>
      <c r="AC24"/>
      <c r="AD24"/>
    </row>
    <row r="25" spans="1:30" s="69" customFormat="1" ht="18" customHeight="1">
      <c r="A25" s="62"/>
      <c r="B25" s="63">
        <v>12</v>
      </c>
      <c r="C25" s="231" t="s">
        <v>1449</v>
      </c>
      <c r="D25" s="265" t="s">
        <v>1324</v>
      </c>
      <c r="E25" s="216" t="s">
        <v>1374</v>
      </c>
      <c r="F25" s="271" t="s">
        <v>1324</v>
      </c>
      <c r="G25" s="158" t="s">
        <v>1373</v>
      </c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/>
      <c r="Z25"/>
      <c r="AA25"/>
      <c r="AB25"/>
      <c r="AC25"/>
      <c r="AD25"/>
    </row>
    <row r="26" spans="1:30" s="69" customFormat="1" ht="18" customHeight="1">
      <c r="A26" s="62" t="s">
        <v>1437</v>
      </c>
      <c r="B26" s="63">
        <v>13</v>
      </c>
      <c r="C26" s="123" t="s">
        <v>1406</v>
      </c>
      <c r="D26" s="265">
        <v>14546</v>
      </c>
      <c r="E26" s="235" t="s">
        <v>1375</v>
      </c>
      <c r="F26" s="271" t="s">
        <v>1324</v>
      </c>
      <c r="G26" s="123" t="s">
        <v>1373</v>
      </c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e">
        <f>IF($C26="","",VLOOKUP($C26,#REF!,4,FALSE))</f>
        <v>#REF!</v>
      </c>
      <c r="W26" s="72" t="e">
        <f>IF($E26="","",VLOOKUP($E26,#REF!,4,FALSE))</f>
        <v>#REF!</v>
      </c>
      <c r="Y26"/>
      <c r="Z26"/>
      <c r="AA26"/>
      <c r="AB26"/>
      <c r="AC26"/>
      <c r="AD26"/>
    </row>
    <row r="27" spans="1:30" s="69" customFormat="1" ht="18" customHeight="1">
      <c r="A27" s="62"/>
      <c r="B27" s="63">
        <v>14</v>
      </c>
      <c r="C27" s="219" t="s">
        <v>1450</v>
      </c>
      <c r="D27" s="265">
        <v>20359</v>
      </c>
      <c r="E27" s="224" t="s">
        <v>1362</v>
      </c>
      <c r="F27" s="272" t="s">
        <v>1324</v>
      </c>
      <c r="G27" s="227" t="s">
        <v>1361</v>
      </c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e">
        <f>IF($C27="","",VLOOKUP($C27,#REF!,4,FALSE))</f>
        <v>#REF!</v>
      </c>
      <c r="W27" s="72" t="e">
        <f>IF($E27="","",VLOOKUP($E27,#REF!,4,FALSE))</f>
        <v>#REF!</v>
      </c>
      <c r="Y27"/>
      <c r="Z27"/>
      <c r="AA27"/>
      <c r="AB27" t="s">
        <v>695</v>
      </c>
      <c r="AC27">
        <v>58979</v>
      </c>
      <c r="AD27" t="s">
        <v>786</v>
      </c>
    </row>
    <row r="28" spans="1:30" s="69" customFormat="1" ht="18" customHeight="1">
      <c r="A28" s="62"/>
      <c r="B28" s="63">
        <v>15</v>
      </c>
      <c r="C28" s="125" t="s">
        <v>1162</v>
      </c>
      <c r="D28" s="265">
        <v>30373</v>
      </c>
      <c r="E28" s="226" t="s">
        <v>1333</v>
      </c>
      <c r="F28" s="274">
        <v>59173</v>
      </c>
      <c r="G28" s="157" t="s">
        <v>1431</v>
      </c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e">
        <f>IF($C28="","",VLOOKUP($C28,#REF!,4,FALSE))</f>
        <v>#REF!</v>
      </c>
      <c r="W28" s="72" t="e">
        <f>IF($E28="","",VLOOKUP($E28,#REF!,4,FALSE))</f>
        <v>#REF!</v>
      </c>
      <c r="Y28"/>
      <c r="Z28"/>
      <c r="AA28"/>
      <c r="AB28"/>
      <c r="AC28"/>
      <c r="AD28"/>
    </row>
    <row r="29" spans="1:30" s="69" customFormat="1" ht="18" customHeight="1">
      <c r="A29" s="62"/>
      <c r="B29" s="63">
        <v>16</v>
      </c>
      <c r="C29" s="140" t="s">
        <v>1451</v>
      </c>
      <c r="D29" s="266" t="s">
        <v>1324</v>
      </c>
      <c r="E29" s="234" t="s">
        <v>1447</v>
      </c>
      <c r="F29" s="273" t="s">
        <v>1324</v>
      </c>
      <c r="G29" s="119" t="s">
        <v>1396</v>
      </c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e">
        <f>IF($C29="","",VLOOKUP($C29,#REF!,4,FALSE))</f>
        <v>#REF!</v>
      </c>
      <c r="W29" s="72" t="e">
        <f>IF($E29="","",VLOOKUP($E29,#REF!,4,FALSE))</f>
        <v>#REF!</v>
      </c>
      <c r="Y29"/>
      <c r="Z29"/>
      <c r="AA29"/>
      <c r="AB29"/>
      <c r="AC29"/>
      <c r="AD29"/>
    </row>
    <row r="30" spans="1:30" s="69" customFormat="1" ht="18" customHeight="1">
      <c r="A30" s="62"/>
      <c r="B30" s="63">
        <v>17</v>
      </c>
      <c r="C30" s="120" t="s">
        <v>1452</v>
      </c>
      <c r="D30" s="265" t="s">
        <v>1324</v>
      </c>
      <c r="E30" s="216" t="s">
        <v>1380</v>
      </c>
      <c r="F30" s="271" t="s">
        <v>1324</v>
      </c>
      <c r="G30" s="123" t="s">
        <v>1379</v>
      </c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e">
        <f>IF($C30="","",VLOOKUP($C30,#REF!,4,FALSE))</f>
        <v>#REF!</v>
      </c>
      <c r="W30" s="72" t="e">
        <f>IF($E30="","",VLOOKUP($E30,#REF!,4,FALSE))</f>
        <v>#REF!</v>
      </c>
      <c r="Y30" t="s">
        <v>1083</v>
      </c>
      <c r="Z30">
        <v>32929</v>
      </c>
      <c r="AA30" t="s">
        <v>709</v>
      </c>
      <c r="AB30" t="s">
        <v>676</v>
      </c>
      <c r="AC30">
        <v>59796</v>
      </c>
      <c r="AD30" t="s">
        <v>787</v>
      </c>
    </row>
    <row r="31" spans="1:30" s="69" customFormat="1" ht="18" customHeight="1">
      <c r="A31" s="62"/>
      <c r="B31" s="63">
        <v>18</v>
      </c>
      <c r="C31" s="230" t="s">
        <v>1453</v>
      </c>
      <c r="D31" s="265" t="s">
        <v>1324</v>
      </c>
      <c r="E31" s="209" t="s">
        <v>1375</v>
      </c>
      <c r="F31" s="271" t="s">
        <v>1324</v>
      </c>
      <c r="G31" s="158" t="s">
        <v>1373</v>
      </c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e">
        <f>IF($C31="","",VLOOKUP($C31,#REF!,4,FALSE))</f>
        <v>#REF!</v>
      </c>
      <c r="W31" s="72" t="e">
        <f>IF($E31="","",VLOOKUP($E31,#REF!,4,FALSE))</f>
        <v>#REF!</v>
      </c>
      <c r="Y31"/>
      <c r="Z31"/>
      <c r="AA31"/>
      <c r="AB31"/>
      <c r="AC31"/>
      <c r="AD31"/>
    </row>
    <row r="32" spans="1:30" s="69" customFormat="1" ht="18" customHeight="1">
      <c r="A32" s="62"/>
      <c r="B32" s="63">
        <v>19</v>
      </c>
      <c r="C32" s="120" t="s">
        <v>1454</v>
      </c>
      <c r="D32" s="265">
        <v>33226</v>
      </c>
      <c r="E32" s="221" t="s">
        <v>1362</v>
      </c>
      <c r="F32" s="271" t="s">
        <v>1324</v>
      </c>
      <c r="G32" s="126" t="s">
        <v>1361</v>
      </c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e">
        <f>IF($C32="","",VLOOKUP($C32,#REF!,4,FALSE))</f>
        <v>#REF!</v>
      </c>
      <c r="W32" s="72" t="e">
        <f>IF($E32="","",VLOOKUP($E32,#REF!,4,FALSE))</f>
        <v>#REF!</v>
      </c>
      <c r="Y32" t="s">
        <v>670</v>
      </c>
      <c r="Z32">
        <v>23529</v>
      </c>
      <c r="AA32" t="s">
        <v>708</v>
      </c>
      <c r="AB32"/>
      <c r="AC32"/>
      <c r="AD32"/>
    </row>
    <row r="33" spans="1:30" s="69" customFormat="1" ht="18" customHeight="1">
      <c r="A33" s="62" t="s">
        <v>1437</v>
      </c>
      <c r="B33" s="63">
        <v>20</v>
      </c>
      <c r="C33" s="125" t="s">
        <v>702</v>
      </c>
      <c r="D33" s="265">
        <v>13141</v>
      </c>
      <c r="E33" s="211" t="s">
        <v>354</v>
      </c>
      <c r="F33" s="275">
        <v>57848</v>
      </c>
      <c r="G33" s="161" t="s">
        <v>1396</v>
      </c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e">
        <f>IF($C33="","",VLOOKUP($C33,#REF!,4,FALSE))</f>
        <v>#REF!</v>
      </c>
      <c r="W33" s="72" t="e">
        <f>IF($E33="","",VLOOKUP($E33,#REF!,4,FALSE))</f>
        <v>#REF!</v>
      </c>
      <c r="Y33"/>
      <c r="Z33"/>
      <c r="AA33"/>
      <c r="AB33"/>
      <c r="AC33"/>
      <c r="AD33"/>
    </row>
    <row r="34" spans="1:30" s="69" customFormat="1" ht="18" customHeight="1">
      <c r="A34" s="62"/>
      <c r="B34" s="63">
        <v>21</v>
      </c>
      <c r="C34" s="22" t="s">
        <v>1455</v>
      </c>
      <c r="D34" s="266" t="s">
        <v>1324</v>
      </c>
      <c r="E34" s="208" t="s">
        <v>1325</v>
      </c>
      <c r="F34" s="276" t="s">
        <v>1324</v>
      </c>
      <c r="G34" s="24" t="s">
        <v>1326</v>
      </c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e">
        <f>IF($C34="","",VLOOKUP($C34,#REF!,4,FALSE))</f>
        <v>#REF!</v>
      </c>
      <c r="W34" s="72" t="e">
        <f>IF($E34="","",VLOOKUP($E34,#REF!,4,FALSE))</f>
        <v>#REF!</v>
      </c>
      <c r="Y34"/>
      <c r="Z34"/>
      <c r="AA34"/>
      <c r="AB34"/>
      <c r="AC34"/>
      <c r="AD34"/>
    </row>
    <row r="35" spans="1:30" s="69" customFormat="1" ht="18" customHeight="1">
      <c r="A35" s="62"/>
      <c r="B35" s="63">
        <v>22</v>
      </c>
      <c r="C35" s="125" t="s">
        <v>1456</v>
      </c>
      <c r="D35" s="122" t="s">
        <v>1324</v>
      </c>
      <c r="E35" s="155" t="s">
        <v>1380</v>
      </c>
      <c r="F35" s="157" t="s">
        <v>1324</v>
      </c>
      <c r="G35" s="180" t="s">
        <v>1379</v>
      </c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e">
        <f>IF($C35="","",VLOOKUP($C35,#REF!,4,FALSE))</f>
        <v>#REF!</v>
      </c>
      <c r="W35" s="72" t="e">
        <f>IF($E35="","",VLOOKUP($E35,#REF!,4,FALSE))</f>
        <v>#REF!</v>
      </c>
      <c r="Y35"/>
      <c r="Z35"/>
      <c r="AA35"/>
      <c r="AB35"/>
      <c r="AC35"/>
      <c r="AD35"/>
    </row>
    <row r="36" spans="1:30" s="69" customFormat="1" ht="18" customHeight="1">
      <c r="A36" s="62"/>
      <c r="B36" s="63">
        <v>23</v>
      </c>
      <c r="C36" s="120" t="s">
        <v>1457</v>
      </c>
      <c r="D36" s="265" t="s">
        <v>1324</v>
      </c>
      <c r="E36" s="209" t="s">
        <v>1381</v>
      </c>
      <c r="F36" s="271" t="s">
        <v>1324</v>
      </c>
      <c r="G36" s="126" t="s">
        <v>1379</v>
      </c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e">
        <f>IF($C36="","",VLOOKUP($C36,#REF!,4,FALSE))</f>
        <v>#REF!</v>
      </c>
      <c r="W36" s="72" t="e">
        <f>IF($E36="","",VLOOKUP($E36,#REF!,4,FALSE))</f>
        <v>#REF!</v>
      </c>
      <c r="Y36"/>
      <c r="Z36"/>
      <c r="AA36"/>
      <c r="AB36"/>
      <c r="AC36"/>
      <c r="AD36"/>
    </row>
    <row r="37" spans="1:30" s="69" customFormat="1" ht="18" customHeight="1">
      <c r="A37" s="62" t="s">
        <v>1437</v>
      </c>
      <c r="B37" s="63">
        <v>24</v>
      </c>
      <c r="C37" s="229" t="s">
        <v>1406</v>
      </c>
      <c r="D37" s="265">
        <v>14546</v>
      </c>
      <c r="E37" s="233" t="s">
        <v>1458</v>
      </c>
      <c r="F37" s="271" t="s">
        <v>1324</v>
      </c>
      <c r="G37" s="126" t="s">
        <v>1373</v>
      </c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e">
        <f>IF($C37="","",VLOOKUP($C37,#REF!,4,FALSE))</f>
        <v>#REF!</v>
      </c>
      <c r="W37" s="72" t="e">
        <f>IF($E37="","",VLOOKUP($E37,#REF!,4,FALSE))</f>
        <v>#REF!</v>
      </c>
      <c r="Y37" t="s">
        <v>1084</v>
      </c>
      <c r="Z37">
        <v>33250</v>
      </c>
      <c r="AA37" t="s">
        <v>710</v>
      </c>
      <c r="AB37" t="s">
        <v>219</v>
      </c>
      <c r="AC37">
        <v>55129</v>
      </c>
      <c r="AD37" t="s">
        <v>790</v>
      </c>
    </row>
    <row r="38" spans="1:30" s="69" customFormat="1" ht="18" customHeight="1">
      <c r="A38" s="62"/>
      <c r="B38" s="63">
        <v>25</v>
      </c>
      <c r="C38" s="120" t="s">
        <v>1459</v>
      </c>
      <c r="D38" s="120" t="s">
        <v>1324</v>
      </c>
      <c r="E38" s="120" t="s">
        <v>354</v>
      </c>
      <c r="F38" s="120">
        <v>57848</v>
      </c>
      <c r="G38" s="120" t="s">
        <v>1396</v>
      </c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e">
        <f>IF($C38="","",VLOOKUP($C38,#REF!,4,FALSE))</f>
        <v>#REF!</v>
      </c>
      <c r="W38" s="72" t="e">
        <f>IF($E38="","",VLOOKUP($E38,#REF!,4,FALSE))</f>
        <v>#REF!</v>
      </c>
      <c r="Y38" t="s">
        <v>1082</v>
      </c>
      <c r="Z38">
        <v>28711</v>
      </c>
      <c r="AA38" t="s">
        <v>707</v>
      </c>
      <c r="AB38" t="s">
        <v>695</v>
      </c>
      <c r="AC38">
        <v>58979</v>
      </c>
      <c r="AD38" t="s">
        <v>786</v>
      </c>
    </row>
    <row r="39" spans="1:30" s="69" customFormat="1" ht="18" customHeight="1">
      <c r="A39" s="62" t="s">
        <v>1419</v>
      </c>
      <c r="B39" s="63">
        <v>26</v>
      </c>
      <c r="C39" s="125" t="s">
        <v>702</v>
      </c>
      <c r="D39" s="265">
        <v>13141</v>
      </c>
      <c r="E39" s="223" t="s">
        <v>1460</v>
      </c>
      <c r="F39" s="272" t="s">
        <v>1344</v>
      </c>
      <c r="G39" s="168" t="s">
        <v>1396</v>
      </c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e">
        <f>IF($C39="","",VLOOKUP($C39,#REF!,4,FALSE))</f>
        <v>#REF!</v>
      </c>
      <c r="W39" s="72" t="e">
        <f>IF($E39="","",VLOOKUP($E39,#REF!,4,FALSE))</f>
        <v>#REF!</v>
      </c>
      <c r="Y39" t="s">
        <v>1085</v>
      </c>
      <c r="Z39">
        <v>31710</v>
      </c>
      <c r="AA39" t="s">
        <v>711</v>
      </c>
      <c r="AB39"/>
      <c r="AC39"/>
      <c r="AD39"/>
    </row>
    <row r="40" spans="1:30" s="69" customFormat="1" ht="18" customHeight="1">
      <c r="A40" s="62"/>
      <c r="B40" s="63">
        <v>27</v>
      </c>
      <c r="C40" s="120" t="s">
        <v>1461</v>
      </c>
      <c r="D40" s="265" t="s">
        <v>1324</v>
      </c>
      <c r="E40" s="192" t="s">
        <v>1339</v>
      </c>
      <c r="F40" s="271" t="s">
        <v>1324</v>
      </c>
      <c r="G40" s="126" t="s">
        <v>1337</v>
      </c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e">
        <f>IF($C40="","",VLOOKUP($C40,#REF!,4,FALSE))</f>
        <v>#REF!</v>
      </c>
      <c r="W40" s="72" t="e">
        <f>IF($E40="","",VLOOKUP($E40,#REF!,4,FALSE))</f>
        <v>#REF!</v>
      </c>
      <c r="Y40" t="s">
        <v>1081</v>
      </c>
      <c r="Z40">
        <v>30169</v>
      </c>
      <c r="AA40" t="s">
        <v>706</v>
      </c>
      <c r="AB40"/>
      <c r="AC40"/>
      <c r="AD40"/>
    </row>
    <row r="41" spans="1:30" s="69" customFormat="1" ht="18" customHeight="1">
      <c r="A41" s="62"/>
      <c r="B41" s="63">
        <v>28</v>
      </c>
      <c r="C41" s="125" t="s">
        <v>1462</v>
      </c>
      <c r="D41" s="265" t="s">
        <v>1324</v>
      </c>
      <c r="E41" s="210" t="s">
        <v>1412</v>
      </c>
      <c r="F41" s="271" t="s">
        <v>1324</v>
      </c>
      <c r="G41" s="122" t="s">
        <v>1337</v>
      </c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e">
        <f>IF($C41="","",VLOOKUP($C41,#REF!,4,FALSE))</f>
        <v>#REF!</v>
      </c>
      <c r="W41" s="72" t="e">
        <f>IF($E41="","",VLOOKUP($E41,#REF!,4,FALSE))</f>
        <v>#REF!</v>
      </c>
      <c r="Y41"/>
      <c r="Z41"/>
      <c r="AA41"/>
      <c r="AB41"/>
      <c r="AC41"/>
      <c r="AD41"/>
    </row>
    <row r="42" spans="1:30" s="69" customFormat="1" ht="18" customHeight="1">
      <c r="A42" s="62"/>
      <c r="B42" s="63">
        <v>29</v>
      </c>
      <c r="C42" s="120" t="s">
        <v>1463</v>
      </c>
      <c r="D42" s="265" t="s">
        <v>1324</v>
      </c>
      <c r="E42" s="233" t="s">
        <v>1381</v>
      </c>
      <c r="F42" s="271" t="s">
        <v>1324</v>
      </c>
      <c r="G42" s="126" t="s">
        <v>1379</v>
      </c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e">
        <f>IF($C42="","",VLOOKUP($C42,#REF!,4,FALSE))</f>
        <v>#REF!</v>
      </c>
      <c r="W42" s="72" t="e">
        <f>IF($E42="","",VLOOKUP($E42,#REF!,4,FALSE))</f>
        <v>#REF!</v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22" t="s">
        <v>1464</v>
      </c>
      <c r="D43" s="266" t="s">
        <v>1324</v>
      </c>
      <c r="E43" s="193" t="s">
        <v>1458</v>
      </c>
      <c r="F43" s="276" t="s">
        <v>1324</v>
      </c>
      <c r="G43" s="24" t="s">
        <v>1373</v>
      </c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e">
        <f>IF($C43="","",VLOOKUP($C43,#REF!,4,FALSE))</f>
        <v>#REF!</v>
      </c>
      <c r="W43" s="72" t="e">
        <f>IF($E43="","",VLOOKUP($E43,#REF!,4,FALSE))</f>
        <v>#REF!</v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22" t="s">
        <v>1444</v>
      </c>
      <c r="D44" s="266" t="s">
        <v>1324</v>
      </c>
      <c r="E44" s="193" t="s">
        <v>1460</v>
      </c>
      <c r="F44" s="276" t="s">
        <v>1344</v>
      </c>
      <c r="G44" s="24" t="s">
        <v>1396</v>
      </c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e">
        <f>IF($C44="","",VLOOKUP($C44,#REF!,4,FALSE))</f>
        <v>#REF!</v>
      </c>
      <c r="W44" s="72" t="e">
        <f>IF($E44="","",VLOOKUP($E44,#REF!,4,FALSE))</f>
        <v>#REF!</v>
      </c>
      <c r="Y44"/>
      <c r="Z44"/>
      <c r="AA44"/>
      <c r="AB44"/>
      <c r="AC44"/>
      <c r="AD44"/>
    </row>
    <row r="45" spans="1:30" s="69" customFormat="1" ht="18" customHeight="1">
      <c r="A45" s="62" t="s">
        <v>1465</v>
      </c>
      <c r="B45" s="63">
        <v>32</v>
      </c>
      <c r="C45" s="22" t="s">
        <v>1420</v>
      </c>
      <c r="D45" s="266">
        <v>21867</v>
      </c>
      <c r="E45" s="193" t="s">
        <v>1378</v>
      </c>
      <c r="F45" s="276" t="s">
        <v>1324</v>
      </c>
      <c r="G45" s="24" t="s">
        <v>1379</v>
      </c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e">
        <f>IF($C45="","",VLOOKUP($C45,#REF!,4,FALSE))</f>
        <v>#REF!</v>
      </c>
      <c r="W45" s="72" t="e">
        <f>IF($E45="","",VLOOKUP($E45,#REF!,4,FALSE))</f>
        <v>#REF!</v>
      </c>
      <c r="Y45"/>
      <c r="Z45"/>
      <c r="AA45"/>
      <c r="AB45"/>
      <c r="AC45"/>
      <c r="AD45"/>
    </row>
    <row r="46" spans="1:30" s="69" customFormat="1" ht="18" customHeight="1">
      <c r="A46" s="62" t="s">
        <v>1465</v>
      </c>
      <c r="B46" s="63">
        <v>33</v>
      </c>
      <c r="C46" s="22" t="s">
        <v>1466</v>
      </c>
      <c r="D46" s="266" t="s">
        <v>1324</v>
      </c>
      <c r="E46" s="193" t="s">
        <v>1378</v>
      </c>
      <c r="F46" s="276" t="s">
        <v>1324</v>
      </c>
      <c r="G46" s="24" t="s">
        <v>1379</v>
      </c>
      <c r="H46" s="23"/>
      <c r="I46" s="23"/>
      <c r="J46" s="64" t="str">
        <f t="shared" si="0"/>
        <v/>
      </c>
      <c r="K46" s="65"/>
      <c r="L46" s="65"/>
      <c r="M46" s="66" t="str">
        <f t="shared" si="1"/>
        <v/>
      </c>
      <c r="N46" s="23"/>
      <c r="O46" s="23"/>
      <c r="P46" s="64" t="str">
        <f t="shared" si="2"/>
        <v/>
      </c>
      <c r="Q46" s="65"/>
      <c r="R46" s="65"/>
      <c r="S46" s="66" t="str">
        <f t="shared" si="3"/>
        <v/>
      </c>
      <c r="T46" s="67"/>
      <c r="U46" s="68"/>
      <c r="V46" s="18" t="e">
        <f>IF($C46="","",VLOOKUP($C46,#REF!,4,FALSE))</f>
        <v>#REF!</v>
      </c>
      <c r="W46" s="72" t="e">
        <f>IF($E46="","",VLOOKUP($E46,#REF!,4,FALSE))</f>
        <v>#REF!</v>
      </c>
      <c r="Y46"/>
      <c r="Z46"/>
      <c r="AA46"/>
      <c r="AB46"/>
      <c r="AC46"/>
      <c r="AD46"/>
    </row>
    <row r="47" spans="1:30" s="69" customFormat="1" ht="18" customHeight="1">
      <c r="A47" s="62" t="s">
        <v>1465</v>
      </c>
      <c r="B47" s="63">
        <v>34</v>
      </c>
      <c r="C47" s="22" t="s">
        <v>1467</v>
      </c>
      <c r="D47" s="266">
        <v>6200</v>
      </c>
      <c r="E47" s="193" t="s">
        <v>1378</v>
      </c>
      <c r="F47" s="276" t="s">
        <v>1324</v>
      </c>
      <c r="G47" s="24" t="s">
        <v>1379</v>
      </c>
      <c r="H47" s="23"/>
      <c r="I47" s="23"/>
      <c r="J47" s="64" t="str">
        <f t="shared" si="0"/>
        <v/>
      </c>
      <c r="K47" s="65"/>
      <c r="L47" s="65"/>
      <c r="M47" s="66" t="str">
        <f t="shared" si="1"/>
        <v/>
      </c>
      <c r="N47" s="23"/>
      <c r="O47" s="23"/>
      <c r="P47" s="64" t="str">
        <f t="shared" si="2"/>
        <v/>
      </c>
      <c r="Q47" s="65"/>
      <c r="R47" s="65"/>
      <c r="S47" s="66" t="str">
        <f t="shared" si="3"/>
        <v/>
      </c>
      <c r="T47" s="67"/>
      <c r="U47" s="68"/>
      <c r="V47" s="18" t="e">
        <f>IF($C47="","",VLOOKUP($C47,#REF!,4,FALSE))</f>
        <v>#REF!</v>
      </c>
      <c r="W47" s="72" t="e">
        <f>IF($E47="","",VLOOKUP($E47,#REF!,4,FALSE))</f>
        <v>#REF!</v>
      </c>
      <c r="Y47"/>
      <c r="Z47"/>
      <c r="AA47"/>
      <c r="AB47"/>
      <c r="AC47"/>
      <c r="AD47"/>
    </row>
    <row r="48" spans="1:30" s="69" customFormat="1" ht="18" customHeight="1">
      <c r="A48" s="62" t="s">
        <v>1465</v>
      </c>
      <c r="B48" s="63">
        <v>35</v>
      </c>
      <c r="C48" s="22" t="s">
        <v>1420</v>
      </c>
      <c r="D48" s="266">
        <v>21867</v>
      </c>
      <c r="E48" s="193" t="s">
        <v>1381</v>
      </c>
      <c r="F48" s="276" t="s">
        <v>1324</v>
      </c>
      <c r="G48" s="24" t="s">
        <v>1379</v>
      </c>
      <c r="H48" s="23"/>
      <c r="I48" s="23"/>
      <c r="J48" s="64" t="str">
        <f t="shared" si="0"/>
        <v/>
      </c>
      <c r="K48" s="65"/>
      <c r="L48" s="65"/>
      <c r="M48" s="66" t="str">
        <f t="shared" si="1"/>
        <v/>
      </c>
      <c r="N48" s="23"/>
      <c r="O48" s="23"/>
      <c r="P48" s="64" t="str">
        <f t="shared" si="2"/>
        <v/>
      </c>
      <c r="Q48" s="65"/>
      <c r="R48" s="65"/>
      <c r="S48" s="66" t="str">
        <f t="shared" si="3"/>
        <v/>
      </c>
      <c r="T48" s="67"/>
      <c r="U48" s="68"/>
      <c r="V48" s="18" t="e">
        <f>IF($C48="","",VLOOKUP($C48,#REF!,4,FALSE))</f>
        <v>#REF!</v>
      </c>
      <c r="W48" s="72" t="e">
        <f>IF($E48="","",VLOOKUP($E48,#REF!,4,FALSE))</f>
        <v>#REF!</v>
      </c>
      <c r="Y48"/>
      <c r="Z48"/>
      <c r="AA48"/>
      <c r="AB48"/>
      <c r="AC48"/>
      <c r="AD48"/>
    </row>
    <row r="49" spans="1:30" s="69" customFormat="1" ht="18" customHeight="1">
      <c r="A49" s="62"/>
      <c r="B49" s="63">
        <v>36</v>
      </c>
      <c r="C49" s="22"/>
      <c r="D49" s="266" t="s">
        <v>408</v>
      </c>
      <c r="E49" s="193"/>
      <c r="F49" s="276" t="s">
        <v>408</v>
      </c>
      <c r="G49" s="24"/>
      <c r="H49" s="23"/>
      <c r="I49" s="23"/>
      <c r="J49" s="64" t="str">
        <f t="shared" si="0"/>
        <v/>
      </c>
      <c r="K49" s="65"/>
      <c r="L49" s="65"/>
      <c r="M49" s="66" t="str">
        <f t="shared" si="1"/>
        <v/>
      </c>
      <c r="N49" s="23"/>
      <c r="O49" s="23"/>
      <c r="P49" s="64" t="str">
        <f t="shared" si="2"/>
        <v/>
      </c>
      <c r="Q49" s="65"/>
      <c r="R49" s="65"/>
      <c r="S49" s="66" t="str">
        <f t="shared" si="3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>
        <v>37</v>
      </c>
      <c r="C50" s="22"/>
      <c r="D50" s="266" t="s">
        <v>408</v>
      </c>
      <c r="E50" s="193"/>
      <c r="F50" s="276" t="s">
        <v>408</v>
      </c>
      <c r="G50" s="24"/>
      <c r="H50" s="23"/>
      <c r="I50" s="23"/>
      <c r="J50" s="64" t="str">
        <f t="shared" si="0"/>
        <v/>
      </c>
      <c r="K50" s="65"/>
      <c r="L50" s="65"/>
      <c r="M50" s="66" t="str">
        <f t="shared" si="1"/>
        <v/>
      </c>
      <c r="N50" s="23"/>
      <c r="O50" s="23"/>
      <c r="P50" s="64" t="str">
        <f t="shared" si="2"/>
        <v/>
      </c>
      <c r="Q50" s="65"/>
      <c r="R50" s="65"/>
      <c r="S50" s="66" t="str">
        <f t="shared" si="3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>
        <v>38</v>
      </c>
      <c r="C51" s="22"/>
      <c r="D51" s="266" t="s">
        <v>408</v>
      </c>
      <c r="E51" s="193"/>
      <c r="F51" s="276" t="s">
        <v>408</v>
      </c>
      <c r="G51" s="24"/>
      <c r="H51" s="23"/>
      <c r="I51" s="23"/>
      <c r="J51" s="64" t="str">
        <f t="shared" si="0"/>
        <v/>
      </c>
      <c r="K51" s="65"/>
      <c r="L51" s="65"/>
      <c r="M51" s="66" t="str">
        <f t="shared" si="1"/>
        <v/>
      </c>
      <c r="N51" s="23"/>
      <c r="O51" s="23"/>
      <c r="P51" s="64" t="str">
        <f t="shared" si="2"/>
        <v/>
      </c>
      <c r="Q51" s="65"/>
      <c r="R51" s="65"/>
      <c r="S51" s="66" t="str">
        <f t="shared" si="3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>
        <v>39</v>
      </c>
      <c r="C52" s="22"/>
      <c r="D52" s="266" t="s">
        <v>408</v>
      </c>
      <c r="E52" s="193"/>
      <c r="F52" s="276" t="s">
        <v>408</v>
      </c>
      <c r="G52" s="24"/>
      <c r="H52" s="23"/>
      <c r="I52" s="23"/>
      <c r="J52" s="64" t="str">
        <f t="shared" si="0"/>
        <v/>
      </c>
      <c r="K52" s="65"/>
      <c r="L52" s="65"/>
      <c r="M52" s="66" t="str">
        <f t="shared" si="1"/>
        <v/>
      </c>
      <c r="N52" s="23"/>
      <c r="O52" s="23"/>
      <c r="P52" s="64" t="str">
        <f t="shared" si="2"/>
        <v/>
      </c>
      <c r="Q52" s="65"/>
      <c r="R52" s="65"/>
      <c r="S52" s="66" t="str">
        <f t="shared" si="3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>
        <v>40</v>
      </c>
      <c r="C53" s="22"/>
      <c r="D53" s="266" t="s">
        <v>408</v>
      </c>
      <c r="E53" s="193"/>
      <c r="F53" s="276" t="s">
        <v>408</v>
      </c>
      <c r="G53" s="24"/>
      <c r="H53" s="23"/>
      <c r="I53" s="23"/>
      <c r="J53" s="64" t="str">
        <f t="shared" si="0"/>
        <v/>
      </c>
      <c r="K53" s="65"/>
      <c r="L53" s="65"/>
      <c r="M53" s="66" t="str">
        <f t="shared" si="1"/>
        <v/>
      </c>
      <c r="N53" s="23"/>
      <c r="O53" s="23"/>
      <c r="P53" s="64" t="str">
        <f t="shared" si="2"/>
        <v/>
      </c>
      <c r="Q53" s="65"/>
      <c r="R53" s="65"/>
      <c r="S53" s="66" t="str">
        <f t="shared" si="3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>
        <v>41</v>
      </c>
      <c r="C54" s="22"/>
      <c r="D54" s="266" t="s">
        <v>408</v>
      </c>
      <c r="E54" s="193"/>
      <c r="F54" s="276" t="s">
        <v>408</v>
      </c>
      <c r="G54" s="24"/>
      <c r="H54" s="23"/>
      <c r="I54" s="23"/>
      <c r="J54" s="64" t="str">
        <f t="shared" si="0"/>
        <v/>
      </c>
      <c r="K54" s="65"/>
      <c r="L54" s="65"/>
      <c r="M54" s="66" t="str">
        <f t="shared" si="1"/>
        <v/>
      </c>
      <c r="N54" s="23"/>
      <c r="O54" s="23"/>
      <c r="P54" s="64" t="str">
        <f t="shared" si="2"/>
        <v/>
      </c>
      <c r="Q54" s="65"/>
      <c r="R54" s="65"/>
      <c r="S54" s="66" t="str">
        <f t="shared" si="3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>
        <v>42</v>
      </c>
      <c r="C55" s="22"/>
      <c r="D55" s="266" t="s">
        <v>408</v>
      </c>
      <c r="E55" s="193"/>
      <c r="F55" s="276" t="s">
        <v>408</v>
      </c>
      <c r="G55" s="24"/>
      <c r="H55" s="23"/>
      <c r="I55" s="23"/>
      <c r="J55" s="64" t="str">
        <f t="shared" si="0"/>
        <v/>
      </c>
      <c r="K55" s="65"/>
      <c r="L55" s="65"/>
      <c r="M55" s="66" t="str">
        <f t="shared" si="1"/>
        <v/>
      </c>
      <c r="N55" s="23"/>
      <c r="O55" s="23"/>
      <c r="P55" s="64" t="str">
        <f t="shared" si="2"/>
        <v/>
      </c>
      <c r="Q55" s="65"/>
      <c r="R55" s="65"/>
      <c r="S55" s="66" t="str">
        <f t="shared" si="3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>
        <v>43</v>
      </c>
      <c r="C56" s="22"/>
      <c r="D56" s="266" t="s">
        <v>408</v>
      </c>
      <c r="E56" s="193"/>
      <c r="F56" s="276" t="s">
        <v>408</v>
      </c>
      <c r="G56" s="24"/>
      <c r="H56" s="23"/>
      <c r="I56" s="23"/>
      <c r="J56" s="64" t="str">
        <f t="shared" si="0"/>
        <v/>
      </c>
      <c r="K56" s="65"/>
      <c r="L56" s="65"/>
      <c r="M56" s="66" t="str">
        <f t="shared" si="1"/>
        <v/>
      </c>
      <c r="N56" s="23"/>
      <c r="O56" s="23"/>
      <c r="P56" s="64" t="str">
        <f t="shared" si="2"/>
        <v/>
      </c>
      <c r="Q56" s="65"/>
      <c r="R56" s="65"/>
      <c r="S56" s="66" t="str">
        <f t="shared" si="3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>
        <v>44</v>
      </c>
      <c r="C57" s="22"/>
      <c r="D57" s="266" t="s">
        <v>408</v>
      </c>
      <c r="E57" s="193"/>
      <c r="F57" s="276" t="s">
        <v>408</v>
      </c>
      <c r="G57" s="24"/>
      <c r="H57" s="23"/>
      <c r="I57" s="23"/>
      <c r="J57" s="64" t="str">
        <f t="shared" si="0"/>
        <v/>
      </c>
      <c r="K57" s="65"/>
      <c r="L57" s="65"/>
      <c r="M57" s="66" t="str">
        <f t="shared" si="1"/>
        <v/>
      </c>
      <c r="N57" s="23"/>
      <c r="O57" s="23"/>
      <c r="P57" s="64" t="str">
        <f t="shared" si="2"/>
        <v/>
      </c>
      <c r="Q57" s="65"/>
      <c r="R57" s="65"/>
      <c r="S57" s="66" t="str">
        <f t="shared" si="3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>
        <v>45</v>
      </c>
      <c r="C58" s="22"/>
      <c r="D58" s="266" t="s">
        <v>408</v>
      </c>
      <c r="E58" s="193"/>
      <c r="F58" s="276" t="s">
        <v>408</v>
      </c>
      <c r="G58" s="24"/>
      <c r="H58" s="23"/>
      <c r="I58" s="23"/>
      <c r="J58" s="64" t="str">
        <f t="shared" si="0"/>
        <v/>
      </c>
      <c r="K58" s="65"/>
      <c r="L58" s="65"/>
      <c r="M58" s="66" t="str">
        <f t="shared" si="1"/>
        <v/>
      </c>
      <c r="N58" s="23"/>
      <c r="O58" s="23"/>
      <c r="P58" s="64" t="str">
        <f t="shared" si="2"/>
        <v/>
      </c>
      <c r="Q58" s="65"/>
      <c r="R58" s="65"/>
      <c r="S58" s="66" t="str">
        <f t="shared" si="3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>
        <v>46</v>
      </c>
      <c r="C59" s="22"/>
      <c r="D59" s="266" t="s">
        <v>408</v>
      </c>
      <c r="E59" s="193"/>
      <c r="F59" s="276" t="s">
        <v>408</v>
      </c>
      <c r="G59" s="24"/>
      <c r="H59" s="23"/>
      <c r="I59" s="23"/>
      <c r="J59" s="64" t="str">
        <f t="shared" si="0"/>
        <v/>
      </c>
      <c r="K59" s="65"/>
      <c r="L59" s="65"/>
      <c r="M59" s="66" t="str">
        <f t="shared" si="1"/>
        <v/>
      </c>
      <c r="N59" s="23"/>
      <c r="O59" s="23"/>
      <c r="P59" s="64" t="str">
        <f t="shared" si="2"/>
        <v/>
      </c>
      <c r="Q59" s="65"/>
      <c r="R59" s="65"/>
      <c r="S59" s="66" t="str">
        <f t="shared" si="3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>
        <v>47</v>
      </c>
      <c r="C60" s="22"/>
      <c r="D60" s="266" t="s">
        <v>408</v>
      </c>
      <c r="E60" s="193"/>
      <c r="F60" s="276" t="s">
        <v>408</v>
      </c>
      <c r="G60" s="24"/>
      <c r="H60" s="23"/>
      <c r="I60" s="23"/>
      <c r="J60" s="64" t="str">
        <f t="shared" ref="J60:J73" si="4">IF(H60="","",H60+I60)</f>
        <v/>
      </c>
      <c r="K60" s="65"/>
      <c r="L60" s="65"/>
      <c r="M60" s="66" t="str">
        <f t="shared" ref="M60:M73" si="5">IF(L60="","",K60+L60)</f>
        <v/>
      </c>
      <c r="N60" s="23"/>
      <c r="O60" s="23"/>
      <c r="P60" s="64" t="str">
        <f t="shared" ref="P60:P73" si="6">IF(N60="","",N60+O60)</f>
        <v/>
      </c>
      <c r="Q60" s="65"/>
      <c r="R60" s="65"/>
      <c r="S60" s="66" t="str">
        <f t="shared" ref="S60:S73" si="7">IF(R60="","",Q60+R60)</f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>
        <v>48</v>
      </c>
      <c r="C61" s="22"/>
      <c r="D61" s="266" t="s">
        <v>408</v>
      </c>
      <c r="E61" s="193"/>
      <c r="F61" s="276" t="s">
        <v>408</v>
      </c>
      <c r="G61" s="24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>
        <v>49</v>
      </c>
      <c r="C62" s="22"/>
      <c r="D62" s="266" t="s">
        <v>408</v>
      </c>
      <c r="E62" s="193"/>
      <c r="F62" s="276" t="s">
        <v>408</v>
      </c>
      <c r="G62" s="24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>
        <v>50</v>
      </c>
      <c r="C63" s="22"/>
      <c r="D63" s="266" t="s">
        <v>408</v>
      </c>
      <c r="E63" s="193"/>
      <c r="F63" s="276" t="s">
        <v>408</v>
      </c>
      <c r="G63" s="24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>
        <v>51</v>
      </c>
      <c r="C64" s="22"/>
      <c r="D64" s="266" t="s">
        <v>408</v>
      </c>
      <c r="E64" s="193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>
        <v>52</v>
      </c>
      <c r="C65" s="22"/>
      <c r="D65" s="266" t="s">
        <v>408</v>
      </c>
      <c r="E65" s="193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>
        <v>53</v>
      </c>
      <c r="C66" s="22"/>
      <c r="D66" s="266" t="s">
        <v>408</v>
      </c>
      <c r="E66" s="193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>
        <v>54</v>
      </c>
      <c r="C67" s="22"/>
      <c r="D67" s="266" t="s">
        <v>408</v>
      </c>
      <c r="E67" s="193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/>
      <c r="C68" s="22"/>
      <c r="D68" s="266" t="s">
        <v>408</v>
      </c>
      <c r="E68" s="193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/>
      <c r="C69" s="22"/>
      <c r="D69" s="266" t="s">
        <v>408</v>
      </c>
      <c r="E69" s="193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/>
      <c r="C70" s="22"/>
      <c r="D70" s="266" t="s">
        <v>408</v>
      </c>
      <c r="E70" s="193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/>
      <c r="C71" s="22"/>
      <c r="D71" s="266" t="s">
        <v>408</v>
      </c>
      <c r="E71" s="193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/>
      <c r="C72" s="22"/>
      <c r="D72" s="266" t="s">
        <v>408</v>
      </c>
      <c r="E72" s="193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/>
      <c r="C73" s="22"/>
      <c r="D73" s="266" t="s">
        <v>408</v>
      </c>
      <c r="E73" s="193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194"/>
      <c r="G74" s="21"/>
    </row>
    <row r="75" spans="1:30" ht="18" customHeight="1">
      <c r="C75" s="21"/>
      <c r="E75" s="194"/>
      <c r="G75" s="21"/>
    </row>
    <row r="76" spans="1:30" ht="18" customHeight="1">
      <c r="C76" s="21"/>
      <c r="E76" s="194"/>
      <c r="G76" s="21"/>
    </row>
    <row r="77" spans="1:30" ht="18" customHeight="1">
      <c r="C77" s="21"/>
      <c r="E77" s="194"/>
      <c r="G77" s="21"/>
    </row>
    <row r="78" spans="1:30" ht="18" customHeight="1">
      <c r="C78" s="21"/>
      <c r="E78" s="194"/>
      <c r="G78" s="21"/>
    </row>
    <row r="79" spans="1:30" ht="18" customHeight="1">
      <c r="C79" s="21"/>
      <c r="E79" s="194"/>
      <c r="G79" s="21"/>
    </row>
    <row r="80" spans="1:30" ht="18" customHeight="1">
      <c r="C80" s="21"/>
      <c r="E80" s="194"/>
      <c r="G80" s="21"/>
    </row>
    <row r="81" spans="3:7" ht="18" customHeight="1">
      <c r="C81" s="21"/>
      <c r="E81" s="194"/>
      <c r="G81" s="21"/>
    </row>
    <row r="82" spans="3:7" ht="18" customHeight="1">
      <c r="C82" s="21"/>
      <c r="E82" s="194"/>
      <c r="G82" s="21"/>
    </row>
    <row r="83" spans="3:7" ht="18" customHeight="1">
      <c r="C83" s="21"/>
      <c r="E83" s="194"/>
      <c r="G83" s="21"/>
    </row>
    <row r="84" spans="3:7" ht="18" customHeight="1">
      <c r="C84" s="21"/>
      <c r="E84" s="194"/>
      <c r="G84" s="21"/>
    </row>
    <row r="85" spans="3:7" ht="18" customHeight="1">
      <c r="C85" s="21"/>
      <c r="E85" s="194"/>
      <c r="G85" s="21"/>
    </row>
    <row r="86" spans="3:7" ht="18" customHeight="1">
      <c r="C86" s="21"/>
      <c r="E86" s="194"/>
      <c r="G86" s="21"/>
    </row>
    <row r="87" spans="3:7" ht="18" customHeight="1">
      <c r="C87" s="21"/>
      <c r="E87" s="194"/>
      <c r="G87" s="21"/>
    </row>
    <row r="88" spans="3:7" ht="18" customHeight="1">
      <c r="C88" s="21"/>
      <c r="E88" s="194"/>
      <c r="G88" s="21"/>
    </row>
    <row r="89" spans="3:7" ht="18" customHeight="1">
      <c r="C89" s="21"/>
      <c r="E89" s="194"/>
      <c r="G89" s="21"/>
    </row>
    <row r="90" spans="3:7" ht="18" customHeight="1">
      <c r="C90" s="21"/>
      <c r="E90" s="194"/>
      <c r="G90" s="21"/>
    </row>
    <row r="91" spans="3:7" ht="18" customHeight="1">
      <c r="C91" s="21"/>
      <c r="E91" s="194"/>
      <c r="G91" s="21"/>
    </row>
    <row r="92" spans="3:7" ht="18" customHeight="1">
      <c r="C92" s="21"/>
      <c r="E92" s="194"/>
      <c r="G92" s="21"/>
    </row>
    <row r="93" spans="3:7" ht="18" customHeight="1">
      <c r="C93" s="21"/>
      <c r="E93" s="194"/>
      <c r="G93" s="21"/>
    </row>
    <row r="94" spans="3:7" ht="18" customHeight="1">
      <c r="C94" s="21"/>
      <c r="E94" s="194"/>
      <c r="G94" s="21"/>
    </row>
    <row r="95" spans="3:7" ht="18" customHeight="1">
      <c r="C95" s="21"/>
      <c r="E95" s="194"/>
      <c r="G95" s="21"/>
    </row>
    <row r="96" spans="3:7" ht="18" customHeight="1">
      <c r="C96" s="21"/>
      <c r="E96" s="194"/>
      <c r="G96" s="21"/>
    </row>
    <row r="97" spans="3:7" ht="18" customHeight="1">
      <c r="C97" s="21"/>
      <c r="E97" s="194"/>
      <c r="G97" s="21"/>
    </row>
    <row r="98" spans="3:7" ht="18" customHeight="1">
      <c r="C98" s="21"/>
      <c r="E98" s="194"/>
      <c r="G98" s="21"/>
    </row>
    <row r="99" spans="3:7" ht="18" customHeight="1">
      <c r="C99" s="21"/>
      <c r="E99" s="194"/>
      <c r="G99" s="21"/>
    </row>
    <row r="100" spans="3:7" ht="18" customHeight="1">
      <c r="C100" s="21"/>
      <c r="E100" s="194"/>
      <c r="G100" s="21"/>
    </row>
    <row r="101" spans="3:7" ht="18" customHeight="1">
      <c r="C101" s="21"/>
      <c r="E101" s="194"/>
      <c r="G101" s="21"/>
    </row>
    <row r="102" spans="3:7" ht="18" customHeight="1">
      <c r="C102" s="21"/>
      <c r="E102" s="194"/>
      <c r="G102" s="21"/>
    </row>
    <row r="103" spans="3:7" ht="18" customHeight="1">
      <c r="C103" s="21"/>
      <c r="E103" s="194"/>
      <c r="G103" s="21"/>
    </row>
    <row r="104" spans="3:7" ht="18" customHeight="1">
      <c r="C104" s="21"/>
      <c r="E104" s="194"/>
      <c r="G104" s="21"/>
    </row>
    <row r="105" spans="3:7" ht="18" customHeight="1">
      <c r="C105" s="21"/>
      <c r="E105" s="194"/>
      <c r="G105" s="21"/>
    </row>
    <row r="106" spans="3:7" ht="18" customHeight="1">
      <c r="C106" s="21"/>
      <c r="E106" s="194"/>
      <c r="G106" s="21"/>
    </row>
    <row r="107" spans="3:7" ht="18" customHeight="1">
      <c r="C107" s="21"/>
      <c r="E107" s="194"/>
      <c r="G107" s="21"/>
    </row>
    <row r="108" spans="3:7" ht="18" customHeight="1">
      <c r="C108" s="21"/>
      <c r="E108" s="194"/>
      <c r="G108" s="21"/>
    </row>
    <row r="109" spans="3:7" ht="18" customHeight="1">
      <c r="C109" s="21"/>
      <c r="E109" s="194"/>
      <c r="G109" s="21"/>
    </row>
    <row r="110" spans="3:7" ht="18" customHeight="1">
      <c r="C110" s="21"/>
      <c r="E110" s="194"/>
      <c r="G110" s="21"/>
    </row>
    <row r="111" spans="3:7" ht="18" customHeight="1">
      <c r="C111" s="21"/>
      <c r="E111" s="194"/>
      <c r="G111" s="21"/>
    </row>
    <row r="112" spans="3:7" ht="18" customHeight="1">
      <c r="C112" s="21"/>
      <c r="E112" s="194"/>
      <c r="G112" s="21"/>
    </row>
    <row r="113" spans="3:7" ht="18" customHeight="1">
      <c r="C113" s="21"/>
      <c r="E113" s="194"/>
      <c r="G113" s="21"/>
    </row>
    <row r="114" spans="3:7" ht="18" customHeight="1">
      <c r="C114" s="21"/>
      <c r="E114" s="194"/>
      <c r="G114" s="21"/>
    </row>
    <row r="115" spans="3:7" ht="18" customHeight="1">
      <c r="C115" s="21"/>
      <c r="E115" s="194"/>
      <c r="G115" s="21"/>
    </row>
    <row r="116" spans="3:7" ht="18" customHeight="1">
      <c r="C116" s="21"/>
      <c r="E116" s="194"/>
      <c r="G116" s="21"/>
    </row>
    <row r="117" spans="3:7" ht="18" customHeight="1">
      <c r="C117" s="21"/>
      <c r="E117" s="194"/>
      <c r="G117" s="21"/>
    </row>
    <row r="118" spans="3:7" ht="18" customHeight="1">
      <c r="C118" s="21"/>
      <c r="E118" s="194"/>
      <c r="G118" s="21"/>
    </row>
    <row r="119" spans="3:7" ht="18" customHeight="1">
      <c r="C119" s="21"/>
      <c r="E119" s="194"/>
      <c r="G119" s="21"/>
    </row>
    <row r="120" spans="3:7" ht="18" customHeight="1">
      <c r="C120" s="21"/>
      <c r="E120" s="194"/>
      <c r="G120" s="21"/>
    </row>
    <row r="121" spans="3:7" ht="18" customHeight="1">
      <c r="C121" s="21"/>
      <c r="E121" s="194"/>
      <c r="G121" s="21"/>
    </row>
    <row r="122" spans="3:7" ht="18" customHeight="1">
      <c r="C122" s="21"/>
      <c r="E122" s="194"/>
      <c r="G122" s="21"/>
    </row>
    <row r="123" spans="3:7" ht="18" customHeight="1">
      <c r="C123" s="21"/>
      <c r="E123" s="194"/>
      <c r="G123" s="21"/>
    </row>
    <row r="124" spans="3:7" ht="18" customHeight="1">
      <c r="C124" s="21"/>
      <c r="E124" s="194"/>
      <c r="G124" s="21"/>
    </row>
    <row r="125" spans="3:7" ht="18" customHeight="1">
      <c r="C125" s="21"/>
      <c r="E125" s="194"/>
      <c r="G125" s="21"/>
    </row>
    <row r="126" spans="3:7" ht="18" customHeight="1">
      <c r="C126" s="21"/>
      <c r="E126" s="194" ph="1"/>
      <c r="G126" s="21"/>
    </row>
    <row r="127" spans="3:7" ht="18" customHeight="1">
      <c r="C127" s="21"/>
      <c r="E127" s="194"/>
      <c r="G127" s="21"/>
    </row>
    <row r="128" spans="3:7" ht="18" customHeight="1">
      <c r="C128" s="21"/>
      <c r="E128" s="194"/>
      <c r="G128" s="21"/>
    </row>
    <row r="129" spans="3:7" ht="18" customHeight="1">
      <c r="C129" s="21"/>
      <c r="E129" s="194"/>
      <c r="G129" s="21"/>
    </row>
    <row r="130" spans="3:7" ht="18" customHeight="1">
      <c r="C130" s="21"/>
      <c r="E130" s="194"/>
      <c r="G130" s="21"/>
    </row>
    <row r="131" spans="3:7" ht="18" customHeight="1">
      <c r="C131" s="83"/>
      <c r="E131" s="194"/>
      <c r="G131" s="21"/>
    </row>
    <row r="132" spans="3:7" ht="18" customHeight="1">
      <c r="C132" s="21"/>
      <c r="E132" s="194"/>
      <c r="G132" s="21"/>
    </row>
    <row r="133" spans="3:7" ht="18" customHeight="1">
      <c r="C133" s="21"/>
      <c r="E133" s="194"/>
      <c r="G133" s="21"/>
    </row>
    <row r="134" spans="3:7" ht="18" customHeight="1">
      <c r="C134" s="21"/>
      <c r="E134" s="194"/>
      <c r="G134" s="21"/>
    </row>
    <row r="135" spans="3:7" ht="18" customHeight="1">
      <c r="C135" s="21"/>
      <c r="E135" s="194"/>
      <c r="G135" s="21"/>
    </row>
    <row r="136" spans="3:7" ht="18" customHeight="1">
      <c r="C136" s="21"/>
      <c r="E136" s="194"/>
      <c r="G136" s="21"/>
    </row>
    <row r="137" spans="3:7" ht="18" customHeight="1">
      <c r="C137" s="21"/>
      <c r="E137" s="194" ph="1"/>
      <c r="G137" s="21"/>
    </row>
    <row r="138" spans="3:7" ht="18" customHeight="1">
      <c r="C138" s="21"/>
      <c r="E138" s="194"/>
      <c r="G138" s="21"/>
    </row>
    <row r="139" spans="3:7" ht="18" customHeight="1">
      <c r="C139" s="21"/>
      <c r="E139" s="194"/>
      <c r="G139" s="21"/>
    </row>
    <row r="140" spans="3:7" ht="18" customHeight="1">
      <c r="C140" s="21"/>
      <c r="E140" s="194"/>
      <c r="G140" s="21"/>
    </row>
    <row r="141" spans="3:7" ht="18" customHeight="1">
      <c r="C141" s="21"/>
      <c r="E141" s="194"/>
      <c r="G141" s="21"/>
    </row>
    <row r="142" spans="3:7" ht="18" customHeight="1">
      <c r="C142" s="21"/>
      <c r="E142" s="194"/>
      <c r="G142" s="21"/>
    </row>
    <row r="143" spans="3:7" ht="18" customHeight="1">
      <c r="C143" s="21"/>
      <c r="E143" s="194"/>
      <c r="G143" s="21"/>
    </row>
    <row r="144" spans="3:7" ht="18" customHeight="1">
      <c r="C144" s="21"/>
      <c r="E144" s="194"/>
      <c r="G144" s="21"/>
    </row>
    <row r="145" spans="3:7" ht="18" customHeight="1">
      <c r="C145" s="21"/>
      <c r="E145" s="194"/>
      <c r="G145" s="21"/>
    </row>
    <row r="146" spans="3:7" ht="18" customHeight="1">
      <c r="C146" s="21"/>
      <c r="E146" s="194"/>
      <c r="G146" s="21"/>
    </row>
    <row r="147" spans="3:7" ht="18" customHeight="1">
      <c r="C147" s="21"/>
      <c r="E147" s="194"/>
      <c r="G147" s="21"/>
    </row>
    <row r="148" spans="3:7" ht="18" customHeight="1">
      <c r="C148" s="21"/>
      <c r="E148" s="194"/>
      <c r="G148" s="21"/>
    </row>
    <row r="149" spans="3:7" ht="18" customHeight="1">
      <c r="C149" s="21"/>
      <c r="E149" s="194"/>
      <c r="G149" s="21"/>
    </row>
    <row r="150" spans="3:7" ht="18" customHeight="1">
      <c r="C150" s="21"/>
      <c r="E150" s="194"/>
      <c r="G150" s="21"/>
    </row>
    <row r="151" spans="3:7" ht="18" customHeight="1">
      <c r="C151" s="21"/>
      <c r="E151" s="194"/>
      <c r="G151" s="21"/>
    </row>
    <row r="152" spans="3:7" ht="18" customHeight="1">
      <c r="C152" s="21"/>
      <c r="E152" s="194"/>
      <c r="G152" s="21"/>
    </row>
    <row r="153" spans="3:7" ht="18" customHeight="1">
      <c r="C153" s="21"/>
      <c r="E153" s="194" ph="1"/>
      <c r="G153" s="21"/>
    </row>
    <row r="154" spans="3:7" ht="18" customHeight="1">
      <c r="C154" s="21"/>
      <c r="E154" s="194" ph="1"/>
      <c r="G154" s="21"/>
    </row>
    <row r="155" spans="3:7" ht="18" customHeight="1">
      <c r="C155" s="21"/>
      <c r="E155" s="194"/>
      <c r="G155" s="21"/>
    </row>
    <row r="156" spans="3:7" ht="18" customHeight="1">
      <c r="C156" s="21"/>
      <c r="E156" s="194"/>
      <c r="G156" s="21"/>
    </row>
    <row r="157" spans="3:7" ht="18" customHeight="1">
      <c r="C157" s="21"/>
      <c r="E157" s="194"/>
      <c r="G157" s="21"/>
    </row>
    <row r="158" spans="3:7" ht="18" customHeight="1">
      <c r="C158" s="21"/>
      <c r="E158" s="194"/>
      <c r="G158" s="21"/>
    </row>
    <row r="159" spans="3:7" ht="18" customHeight="1">
      <c r="C159" s="21"/>
      <c r="E159" s="194"/>
      <c r="G159" s="21"/>
    </row>
    <row r="160" spans="3:7" ht="18" customHeight="1">
      <c r="C160" s="21"/>
      <c r="E160" s="194"/>
      <c r="G160" s="21"/>
    </row>
    <row r="161" spans="3:7" ht="18" customHeight="1">
      <c r="C161" s="21"/>
      <c r="E161" s="194"/>
      <c r="G161" s="21"/>
    </row>
    <row r="162" spans="3:7" ht="18" customHeight="1">
      <c r="C162" s="21"/>
      <c r="E162" s="194"/>
      <c r="G162" s="21"/>
    </row>
    <row r="163" spans="3:7" ht="18" customHeight="1">
      <c r="C163" s="21"/>
      <c r="E163" s="194"/>
      <c r="G163" s="21"/>
    </row>
    <row r="164" spans="3:7" ht="18" customHeight="1">
      <c r="C164" s="21"/>
      <c r="E164" s="194"/>
      <c r="G164" s="21"/>
    </row>
    <row r="165" spans="3:7" ht="18" customHeight="1">
      <c r="C165" s="21"/>
      <c r="E165" s="194"/>
      <c r="G165" s="21"/>
    </row>
    <row r="166" spans="3:7" ht="18" customHeight="1">
      <c r="C166" s="21"/>
      <c r="E166" s="194"/>
      <c r="G166" s="21"/>
    </row>
    <row r="167" spans="3:7" ht="18" customHeight="1">
      <c r="C167" s="21"/>
      <c r="E167" s="194"/>
      <c r="G167" s="21"/>
    </row>
    <row r="168" spans="3:7" ht="18" customHeight="1">
      <c r="C168" s="21"/>
      <c r="E168" s="194"/>
      <c r="G168" s="21"/>
    </row>
    <row r="169" spans="3:7" ht="18" customHeight="1">
      <c r="C169" s="21"/>
      <c r="E169" s="194"/>
      <c r="G169" s="21"/>
    </row>
    <row r="170" spans="3:7" ht="18" customHeight="1">
      <c r="C170" s="21"/>
      <c r="E170" s="194"/>
      <c r="G170" s="21"/>
    </row>
    <row r="171" spans="3:7" ht="18" customHeight="1">
      <c r="C171" s="21"/>
      <c r="E171" s="194"/>
      <c r="G171" s="21"/>
    </row>
    <row r="172" spans="3:7" ht="18" customHeight="1">
      <c r="C172" s="21"/>
      <c r="E172" s="194"/>
      <c r="G172" s="21"/>
    </row>
    <row r="173" spans="3:7" ht="18" customHeight="1">
      <c r="C173" s="21"/>
      <c r="E173" s="194" ph="1"/>
      <c r="G173" s="21"/>
    </row>
    <row r="174" spans="3:7" ht="18" customHeight="1">
      <c r="C174" s="21"/>
      <c r="E174" s="194"/>
      <c r="G174" s="21"/>
    </row>
    <row r="175" spans="3:7" ht="18" customHeight="1">
      <c r="C175" s="21"/>
      <c r="E175" s="194"/>
      <c r="G175" s="21"/>
    </row>
    <row r="176" spans="3:7" ht="18" customHeight="1">
      <c r="C176" s="21"/>
      <c r="E176" s="194"/>
      <c r="G176" s="21"/>
    </row>
    <row r="177" spans="3:7" ht="18" customHeight="1">
      <c r="C177" s="21"/>
      <c r="E177" s="194"/>
      <c r="G177" s="21"/>
    </row>
    <row r="178" spans="3:7" ht="18" customHeight="1">
      <c r="C178" s="21"/>
      <c r="E178" s="194"/>
      <c r="G178" s="21"/>
    </row>
    <row r="179" spans="3:7" ht="18" customHeight="1">
      <c r="C179" s="21"/>
      <c r="E179" s="194"/>
      <c r="G179" s="21"/>
    </row>
    <row r="180" spans="3:7" ht="18" customHeight="1">
      <c r="C180" s="21"/>
      <c r="E180" s="194"/>
      <c r="G180" s="21"/>
    </row>
    <row r="181" spans="3:7" ht="18" customHeight="1">
      <c r="C181" s="21"/>
      <c r="E181" s="195" ph="1"/>
      <c r="G181" s="21"/>
    </row>
    <row r="182" spans="3:7" ht="18" customHeight="1">
      <c r="C182" s="21"/>
      <c r="E182" s="195" ph="1"/>
      <c r="G182" s="21"/>
    </row>
    <row r="183" spans="3:7" ht="18" customHeight="1">
      <c r="C183" s="21"/>
      <c r="E183" s="194"/>
      <c r="G183" s="21"/>
    </row>
    <row r="184" spans="3:7" ht="18" customHeight="1">
      <c r="C184" s="21"/>
      <c r="E184" s="194"/>
      <c r="G184" s="21"/>
    </row>
    <row r="185" spans="3:7" ht="18" customHeight="1">
      <c r="C185" s="21"/>
      <c r="E185" s="194"/>
      <c r="G185" s="21"/>
    </row>
    <row r="186" spans="3:7" ht="18" customHeight="1">
      <c r="C186" s="21"/>
      <c r="E186" s="194"/>
      <c r="G186" s="21"/>
    </row>
    <row r="187" spans="3:7" ht="18" customHeight="1">
      <c r="C187" s="21"/>
      <c r="E187" s="194"/>
      <c r="G187" s="21"/>
    </row>
    <row r="188" spans="3:7" ht="18" customHeight="1">
      <c r="C188" s="21"/>
      <c r="E188" s="194"/>
      <c r="G188" s="21"/>
    </row>
    <row r="189" spans="3:7" ht="18" customHeight="1">
      <c r="C189" s="21"/>
      <c r="E189" s="194"/>
      <c r="G189" s="21"/>
    </row>
    <row r="190" spans="3:7" ht="18" customHeight="1">
      <c r="C190" s="21"/>
      <c r="E190" s="194"/>
      <c r="G190" s="21"/>
    </row>
    <row r="191" spans="3:7" ht="18" customHeight="1">
      <c r="C191" s="21"/>
      <c r="E191" s="194"/>
      <c r="G191" s="21"/>
    </row>
    <row r="192" spans="3:7" ht="18" customHeight="1">
      <c r="C192" s="21"/>
      <c r="E192" s="194"/>
      <c r="G192" s="21"/>
    </row>
    <row r="193" spans="3:7" ht="18" customHeight="1">
      <c r="C193" s="21"/>
      <c r="E193" s="194"/>
      <c r="G193" s="21"/>
    </row>
    <row r="194" spans="3:7" ht="18" customHeight="1">
      <c r="C194" s="21"/>
      <c r="E194" s="194"/>
      <c r="G194" s="21"/>
    </row>
    <row r="195" spans="3:7" ht="18" customHeight="1">
      <c r="C195" s="21"/>
      <c r="E195" s="194"/>
      <c r="G195" s="21"/>
    </row>
    <row r="196" spans="3:7" ht="18" customHeight="1">
      <c r="C196" s="21"/>
      <c r="E196" s="194" ph="1"/>
      <c r="G196" s="21"/>
    </row>
    <row r="197" spans="3:7" ht="18" customHeight="1">
      <c r="C197" s="21"/>
      <c r="E197" s="194"/>
      <c r="G197" s="21"/>
    </row>
    <row r="198" spans="3:7" ht="18" customHeight="1">
      <c r="C198" s="21"/>
      <c r="E198" s="194" ph="1"/>
      <c r="G198" s="21"/>
    </row>
    <row r="199" spans="3:7" ht="18" customHeight="1">
      <c r="C199" s="21"/>
      <c r="E199" s="194" ph="1"/>
      <c r="G199" s="21"/>
    </row>
    <row r="200" spans="3:7" ht="18" customHeight="1">
      <c r="C200" s="21"/>
      <c r="E200" s="194" ph="1"/>
      <c r="G200" s="21"/>
    </row>
    <row r="201" spans="3:7" ht="18" customHeight="1">
      <c r="C201" s="21"/>
      <c r="E201" s="194" ph="1"/>
      <c r="G201" s="21"/>
    </row>
    <row r="202" spans="3:7" ht="18" customHeight="1">
      <c r="C202" s="21"/>
      <c r="E202" s="194"/>
      <c r="G202" s="79"/>
    </row>
    <row r="203" spans="3:7" ht="18" customHeight="1">
      <c r="C203" s="21"/>
      <c r="E203" s="196"/>
      <c r="G203" s="79"/>
    </row>
    <row r="204" spans="3:7" ht="18" customHeight="1">
      <c r="C204" s="21"/>
      <c r="E204" s="194"/>
      <c r="G204" s="79"/>
    </row>
    <row r="205" spans="3:7" ht="18" customHeight="1">
      <c r="C205" s="21"/>
      <c r="E205" s="194"/>
      <c r="G205" s="79"/>
    </row>
    <row r="206" spans="3:7" ht="18" customHeight="1">
      <c r="C206" s="21"/>
      <c r="E206" s="194"/>
      <c r="G206" s="79"/>
    </row>
    <row r="207" spans="3:7" ht="18" customHeight="1">
      <c r="C207" s="21"/>
      <c r="E207" s="194"/>
      <c r="G207" s="79"/>
    </row>
    <row r="208" spans="3:7" ht="18" customHeight="1">
      <c r="C208" s="21"/>
      <c r="E208" s="194"/>
      <c r="G208" s="79"/>
    </row>
    <row r="209" spans="3:30" ht="18" customHeight="1">
      <c r="C209" s="21"/>
      <c r="E209" s="194"/>
      <c r="G209" s="79"/>
    </row>
    <row r="210" spans="3:30" ht="18" customHeight="1">
      <c r="C210" s="21"/>
      <c r="E210" s="194"/>
      <c r="G210" s="79"/>
    </row>
    <row r="211" spans="3:30" ht="18" customHeight="1">
      <c r="C211" s="21"/>
      <c r="E211" s="194"/>
      <c r="G211" s="79"/>
    </row>
    <row r="212" spans="3:30" ht="18" customHeight="1">
      <c r="C212" s="21"/>
      <c r="E212" s="194"/>
      <c r="G212" s="79"/>
    </row>
    <row r="213" spans="3:30" ht="18" customHeight="1">
      <c r="C213" s="21"/>
      <c r="E213" s="194"/>
      <c r="G213" s="79"/>
    </row>
    <row r="214" spans="3:30" ht="18" customHeight="1">
      <c r="C214" s="79" t="s">
        <v>151</v>
      </c>
      <c r="E214" s="196" t="s">
        <v>269</v>
      </c>
      <c r="G214" s="79" t="s">
        <v>148</v>
      </c>
    </row>
    <row r="215" spans="3:30" ht="18" customHeight="1">
      <c r="C215" s="79" t="s">
        <v>147</v>
      </c>
      <c r="E215" s="194" t="s">
        <v>264</v>
      </c>
      <c r="G215" s="79" t="s">
        <v>148</v>
      </c>
      <c r="Y215" t="s">
        <v>1087</v>
      </c>
      <c r="Z215">
        <v>306</v>
      </c>
      <c r="AA215" t="s">
        <v>713</v>
      </c>
      <c r="AB215" t="s">
        <v>792</v>
      </c>
      <c r="AC215">
        <v>56795</v>
      </c>
      <c r="AD215" t="s">
        <v>791</v>
      </c>
    </row>
    <row r="216" spans="3:30" ht="18" customHeight="1">
      <c r="C216" s="79" t="s">
        <v>149</v>
      </c>
      <c r="E216" s="194" t="s">
        <v>268</v>
      </c>
      <c r="G216" s="79" t="s">
        <v>148</v>
      </c>
    </row>
    <row r="217" spans="3:30" ht="18" customHeight="1">
      <c r="C217" s="79" t="s">
        <v>150</v>
      </c>
      <c r="E217" s="194" t="s">
        <v>267</v>
      </c>
      <c r="G217" s="79" t="s">
        <v>148</v>
      </c>
      <c r="Y217" t="s">
        <v>1088</v>
      </c>
      <c r="Z217">
        <v>24426</v>
      </c>
      <c r="AA217" t="s">
        <v>714</v>
      </c>
    </row>
    <row r="218" spans="3:30" ht="18" customHeight="1">
      <c r="C218" s="79" t="s">
        <v>153</v>
      </c>
      <c r="E218" s="194" t="s">
        <v>266</v>
      </c>
      <c r="G218" s="79" t="s">
        <v>148</v>
      </c>
      <c r="Y218" t="s">
        <v>1089</v>
      </c>
      <c r="Z218">
        <v>29138</v>
      </c>
      <c r="AA218" t="s">
        <v>715</v>
      </c>
      <c r="AB218" t="s">
        <v>266</v>
      </c>
      <c r="AC218">
        <v>56009</v>
      </c>
      <c r="AD218" t="s">
        <v>793</v>
      </c>
    </row>
    <row r="219" spans="3:30" ht="18" customHeight="1">
      <c r="C219" s="79" t="s">
        <v>152</v>
      </c>
      <c r="E219" s="194" t="s">
        <v>265</v>
      </c>
      <c r="G219" s="79" t="s">
        <v>148</v>
      </c>
      <c r="Y219" t="s">
        <v>1090</v>
      </c>
      <c r="Z219">
        <v>29084</v>
      </c>
      <c r="AA219" t="s">
        <v>716</v>
      </c>
      <c r="AB219" t="s">
        <v>265</v>
      </c>
      <c r="AC219">
        <v>52862</v>
      </c>
      <c r="AD219" t="s">
        <v>794</v>
      </c>
    </row>
    <row r="220" spans="3:30" ht="18" customHeight="1">
      <c r="C220" s="79" t="s">
        <v>154</v>
      </c>
      <c r="E220" s="194"/>
      <c r="G220" s="79" t="s">
        <v>148</v>
      </c>
    </row>
    <row r="221" spans="3:30" ht="18" customHeight="1">
      <c r="C221" s="79" t="s">
        <v>122</v>
      </c>
      <c r="E221" s="194" t="s">
        <v>246</v>
      </c>
      <c r="G221" s="79" t="s">
        <v>123</v>
      </c>
      <c r="Y221" t="s">
        <v>1091</v>
      </c>
      <c r="Z221">
        <v>26463</v>
      </c>
      <c r="AA221" t="s">
        <v>717</v>
      </c>
      <c r="AB221" t="s">
        <v>246</v>
      </c>
      <c r="AC221">
        <v>53913</v>
      </c>
      <c r="AD221" t="s">
        <v>795</v>
      </c>
    </row>
    <row r="222" spans="3:30" ht="18" customHeight="1">
      <c r="C222" s="79" t="s">
        <v>204</v>
      </c>
      <c r="E222" s="194" t="s">
        <v>305</v>
      </c>
      <c r="G222" s="79" t="s">
        <v>311</v>
      </c>
      <c r="Y222" t="s">
        <v>1092</v>
      </c>
      <c r="Z222">
        <v>25436</v>
      </c>
      <c r="AA222" t="s">
        <v>718</v>
      </c>
      <c r="AB222" t="s">
        <v>305</v>
      </c>
      <c r="AC222">
        <v>56703</v>
      </c>
      <c r="AD222" t="s">
        <v>796</v>
      </c>
    </row>
    <row r="223" spans="3:30" ht="18" customHeight="1">
      <c r="C223" s="79" t="s">
        <v>312</v>
      </c>
      <c r="E223" s="194" t="s">
        <v>321</v>
      </c>
      <c r="G223" s="79" t="s">
        <v>313</v>
      </c>
      <c r="Y223" t="s">
        <v>1093</v>
      </c>
      <c r="Z223">
        <v>5901</v>
      </c>
      <c r="AA223" t="s">
        <v>719</v>
      </c>
    </row>
    <row r="224" spans="3:30" ht="18" customHeight="1">
      <c r="C224" s="79" t="s">
        <v>200</v>
      </c>
      <c r="E224" s="196" t="s">
        <v>301</v>
      </c>
      <c r="G224" s="79" t="s">
        <v>197</v>
      </c>
      <c r="Y224" t="s">
        <v>1094</v>
      </c>
      <c r="Z224">
        <v>33054</v>
      </c>
      <c r="AA224" t="s">
        <v>720</v>
      </c>
    </row>
    <row r="225" spans="3:30" ht="18" customHeight="1">
      <c r="C225" s="79" t="s">
        <v>199</v>
      </c>
      <c r="E225" s="196" t="s">
        <v>329</v>
      </c>
      <c r="G225" s="79" t="s">
        <v>197</v>
      </c>
    </row>
    <row r="226" spans="3:30" ht="18" customHeight="1">
      <c r="C226" s="79" t="s">
        <v>198</v>
      </c>
      <c r="E226" s="194"/>
      <c r="G226" s="79" t="s">
        <v>197</v>
      </c>
    </row>
    <row r="227" spans="3:30" ht="18" customHeight="1">
      <c r="C227" s="79" t="s">
        <v>202</v>
      </c>
      <c r="E227" s="194"/>
      <c r="G227" s="79" t="s">
        <v>197</v>
      </c>
    </row>
    <row r="228" spans="3:30" ht="18" customHeight="1">
      <c r="C228" s="79" t="s">
        <v>201</v>
      </c>
      <c r="E228" s="194"/>
      <c r="G228" s="79" t="s">
        <v>197</v>
      </c>
    </row>
    <row r="229" spans="3:30" ht="18" customHeight="1">
      <c r="C229" s="85" t="s">
        <v>196</v>
      </c>
      <c r="E229" s="194"/>
      <c r="G229" s="79" t="s">
        <v>197</v>
      </c>
    </row>
    <row r="230" spans="3:30" ht="18" customHeight="1">
      <c r="C230" s="79" t="s">
        <v>133</v>
      </c>
      <c r="E230" s="194" t="s">
        <v>75</v>
      </c>
      <c r="G230" s="79" t="s">
        <v>330</v>
      </c>
      <c r="Y230" t="s">
        <v>1095</v>
      </c>
      <c r="Z230">
        <v>28702</v>
      </c>
      <c r="AA230" t="s">
        <v>721</v>
      </c>
      <c r="AB230" t="s">
        <v>75</v>
      </c>
      <c r="AC230">
        <v>55610</v>
      </c>
      <c r="AD230" t="s">
        <v>797</v>
      </c>
    </row>
    <row r="231" spans="3:30" ht="18" customHeight="1">
      <c r="C231" s="79" t="s">
        <v>314</v>
      </c>
      <c r="E231" s="194" t="s">
        <v>76</v>
      </c>
      <c r="G231" s="79" t="s">
        <v>330</v>
      </c>
      <c r="Y231" t="s">
        <v>1096</v>
      </c>
      <c r="Z231">
        <v>10211</v>
      </c>
      <c r="AA231" t="s">
        <v>722</v>
      </c>
    </row>
    <row r="232" spans="3:30" ht="18" customHeight="1">
      <c r="C232" s="79" t="s">
        <v>131</v>
      </c>
      <c r="E232" s="194"/>
      <c r="G232" s="79" t="s">
        <v>330</v>
      </c>
      <c r="Y232" t="s">
        <v>1097</v>
      </c>
      <c r="Z232">
        <v>27306</v>
      </c>
      <c r="AA232" t="s">
        <v>723</v>
      </c>
    </row>
    <row r="233" spans="3:30" ht="18" customHeight="1">
      <c r="C233" s="79" t="s">
        <v>174</v>
      </c>
      <c r="E233" s="194" t="s">
        <v>278</v>
      </c>
      <c r="G233" s="79" t="s">
        <v>171</v>
      </c>
    </row>
    <row r="234" spans="3:30" ht="18" customHeight="1">
      <c r="C234" s="79" t="s">
        <v>175</v>
      </c>
      <c r="E234" s="194" t="s">
        <v>282</v>
      </c>
      <c r="G234" s="79" t="s">
        <v>171</v>
      </c>
      <c r="Y234" t="s">
        <v>1098</v>
      </c>
      <c r="Z234">
        <v>28432</v>
      </c>
      <c r="AA234" t="s">
        <v>724</v>
      </c>
      <c r="AB234" t="s">
        <v>282</v>
      </c>
      <c r="AC234">
        <v>57022</v>
      </c>
      <c r="AD234" t="s">
        <v>798</v>
      </c>
    </row>
    <row r="235" spans="3:30" ht="18" customHeight="1">
      <c r="C235" s="79" t="s">
        <v>176</v>
      </c>
      <c r="E235" s="194" t="s">
        <v>281</v>
      </c>
      <c r="G235" s="79" t="s">
        <v>171</v>
      </c>
      <c r="Y235" t="s">
        <v>1099</v>
      </c>
      <c r="Z235">
        <v>28433</v>
      </c>
      <c r="AA235" t="s">
        <v>725</v>
      </c>
      <c r="AB235" t="s">
        <v>281</v>
      </c>
      <c r="AC235">
        <v>56681</v>
      </c>
      <c r="AD235" t="s">
        <v>799</v>
      </c>
    </row>
    <row r="236" spans="3:30" ht="18" customHeight="1">
      <c r="C236" s="79" t="s">
        <v>172</v>
      </c>
      <c r="E236" s="194" t="s">
        <v>277</v>
      </c>
      <c r="G236" s="79" t="s">
        <v>171</v>
      </c>
      <c r="Y236" t="s">
        <v>1100</v>
      </c>
      <c r="Z236">
        <v>16391</v>
      </c>
      <c r="AA236" t="s">
        <v>726</v>
      </c>
    </row>
    <row r="237" spans="3:30" ht="18" customHeight="1">
      <c r="C237" s="79" t="s">
        <v>177</v>
      </c>
      <c r="E237" s="194" t="s">
        <v>279</v>
      </c>
      <c r="G237" s="79" t="s">
        <v>171</v>
      </c>
      <c r="Y237" t="s">
        <v>1101</v>
      </c>
      <c r="Z237">
        <v>29308</v>
      </c>
      <c r="AA237" t="s">
        <v>727</v>
      </c>
      <c r="AB237" t="s">
        <v>279</v>
      </c>
      <c r="AC237">
        <v>54903</v>
      </c>
      <c r="AD237" t="s">
        <v>800</v>
      </c>
    </row>
    <row r="238" spans="3:30" ht="18" customHeight="1">
      <c r="C238" s="79" t="s">
        <v>170</v>
      </c>
      <c r="E238" s="194" t="s">
        <v>280</v>
      </c>
      <c r="G238" s="79" t="s">
        <v>171</v>
      </c>
      <c r="Y238" t="s">
        <v>1102</v>
      </c>
      <c r="Z238">
        <v>6082</v>
      </c>
      <c r="AA238" t="s">
        <v>728</v>
      </c>
    </row>
    <row r="239" spans="3:30" ht="18" customHeight="1">
      <c r="C239" s="79" t="s">
        <v>173</v>
      </c>
      <c r="E239" s="194"/>
      <c r="G239" s="79" t="s">
        <v>171</v>
      </c>
      <c r="Y239" t="s">
        <v>1103</v>
      </c>
      <c r="Z239">
        <v>24142</v>
      </c>
      <c r="AA239" t="s">
        <v>729</v>
      </c>
    </row>
    <row r="240" spans="3:30" ht="18" customHeight="1">
      <c r="C240" s="79" t="s">
        <v>134</v>
      </c>
      <c r="E240" s="194" t="s">
        <v>256</v>
      </c>
      <c r="G240" s="79" t="s">
        <v>135</v>
      </c>
      <c r="AB240" t="s">
        <v>256</v>
      </c>
      <c r="AC240">
        <v>56221</v>
      </c>
      <c r="AD240" t="s">
        <v>801</v>
      </c>
    </row>
    <row r="241" spans="3:30" ht="18" customHeight="1">
      <c r="C241" s="79" t="s">
        <v>136</v>
      </c>
      <c r="E241" s="194" t="s">
        <v>254</v>
      </c>
      <c r="G241" s="79" t="s">
        <v>135</v>
      </c>
      <c r="AB241" t="s">
        <v>803</v>
      </c>
      <c r="AC241">
        <v>58279</v>
      </c>
      <c r="AD241" t="s">
        <v>802</v>
      </c>
    </row>
    <row r="242" spans="3:30" ht="18" customHeight="1">
      <c r="C242" s="79" t="s">
        <v>137</v>
      </c>
      <c r="E242" s="194" t="s">
        <v>255</v>
      </c>
      <c r="G242" s="79" t="s">
        <v>135</v>
      </c>
    </row>
    <row r="243" spans="3:30" ht="18" customHeight="1">
      <c r="C243" s="79" t="s">
        <v>104</v>
      </c>
      <c r="E243" s="194" t="s">
        <v>224</v>
      </c>
      <c r="G243" s="79" t="s">
        <v>103</v>
      </c>
      <c r="Y243" t="s">
        <v>1104</v>
      </c>
      <c r="Z243">
        <v>22984</v>
      </c>
      <c r="AA243" t="s">
        <v>730</v>
      </c>
    </row>
    <row r="244" spans="3:30" ht="18" customHeight="1">
      <c r="C244" s="79" t="s">
        <v>102</v>
      </c>
      <c r="E244" s="194" t="s">
        <v>225</v>
      </c>
      <c r="G244" s="79" t="s">
        <v>103</v>
      </c>
    </row>
    <row r="245" spans="3:30" ht="18" customHeight="1">
      <c r="C245" s="79"/>
      <c r="E245" s="196" t="s">
        <v>339</v>
      </c>
      <c r="G245" s="79" t="s">
        <v>103</v>
      </c>
      <c r="AB245" t="s">
        <v>805</v>
      </c>
      <c r="AC245">
        <v>58460</v>
      </c>
      <c r="AD245" t="s">
        <v>804</v>
      </c>
    </row>
    <row r="246" spans="3:30" ht="18" customHeight="1">
      <c r="C246" s="79" t="s">
        <v>192</v>
      </c>
      <c r="E246" s="194" t="s">
        <v>289</v>
      </c>
      <c r="G246" s="79" t="s">
        <v>183</v>
      </c>
    </row>
    <row r="247" spans="3:30" ht="18" customHeight="1">
      <c r="C247" s="79" t="s">
        <v>187</v>
      </c>
      <c r="E247" s="194" t="s">
        <v>296</v>
      </c>
      <c r="G247" s="79" t="s">
        <v>183</v>
      </c>
      <c r="AB247" t="s">
        <v>296</v>
      </c>
      <c r="AC247">
        <v>55846</v>
      </c>
      <c r="AD247" t="s">
        <v>806</v>
      </c>
    </row>
    <row r="248" spans="3:30" ht="18" customHeight="1">
      <c r="C248" s="79" t="s">
        <v>193</v>
      </c>
      <c r="E248" s="194" t="s">
        <v>298</v>
      </c>
      <c r="G248" s="79" t="s">
        <v>183</v>
      </c>
    </row>
    <row r="249" spans="3:30" ht="18" customHeight="1">
      <c r="C249" s="79" t="s">
        <v>184</v>
      </c>
      <c r="E249" s="194" t="s">
        <v>294</v>
      </c>
      <c r="G249" s="79" t="s">
        <v>183</v>
      </c>
      <c r="Y249" t="s">
        <v>1105</v>
      </c>
      <c r="Z249">
        <v>1213</v>
      </c>
      <c r="AA249" t="s">
        <v>731</v>
      </c>
    </row>
    <row r="250" spans="3:30" ht="18" customHeight="1">
      <c r="C250" s="79" t="s">
        <v>188</v>
      </c>
      <c r="E250" s="194" t="s">
        <v>295</v>
      </c>
      <c r="G250" s="79" t="s">
        <v>183</v>
      </c>
      <c r="Y250" t="s">
        <v>1106</v>
      </c>
      <c r="Z250">
        <v>23984</v>
      </c>
      <c r="AA250" t="s">
        <v>732</v>
      </c>
    </row>
    <row r="251" spans="3:30" ht="18" customHeight="1">
      <c r="C251" s="79" t="s">
        <v>185</v>
      </c>
      <c r="E251" s="194" t="s">
        <v>288</v>
      </c>
      <c r="G251" s="79" t="s">
        <v>183</v>
      </c>
      <c r="Y251" t="s">
        <v>1107</v>
      </c>
      <c r="Z251">
        <v>16854</v>
      </c>
      <c r="AA251" t="s">
        <v>733</v>
      </c>
    </row>
    <row r="252" spans="3:30" ht="18" customHeight="1">
      <c r="C252" s="79" t="s">
        <v>186</v>
      </c>
      <c r="E252" s="194" t="s">
        <v>290</v>
      </c>
      <c r="G252" s="79" t="s">
        <v>183</v>
      </c>
      <c r="Y252" t="s">
        <v>1108</v>
      </c>
      <c r="Z252">
        <v>20115</v>
      </c>
      <c r="AA252" t="s">
        <v>734</v>
      </c>
    </row>
    <row r="253" spans="3:30" ht="18" customHeight="1">
      <c r="C253" s="79" t="s">
        <v>190</v>
      </c>
      <c r="E253" s="194" t="s">
        <v>293</v>
      </c>
      <c r="G253" s="79" t="s">
        <v>183</v>
      </c>
      <c r="Y253" t="s">
        <v>1109</v>
      </c>
      <c r="Z253">
        <v>26734</v>
      </c>
      <c r="AA253" t="s">
        <v>735</v>
      </c>
      <c r="AB253" t="s">
        <v>293</v>
      </c>
      <c r="AC253">
        <v>54698</v>
      </c>
      <c r="AD253" t="s">
        <v>807</v>
      </c>
    </row>
    <row r="254" spans="3:30" ht="18" customHeight="1">
      <c r="C254" s="79" t="s">
        <v>191</v>
      </c>
      <c r="E254" s="194" t="s">
        <v>292</v>
      </c>
      <c r="G254" s="79" t="s">
        <v>183</v>
      </c>
      <c r="Y254" t="s">
        <v>1110</v>
      </c>
      <c r="Z254">
        <v>26916</v>
      </c>
      <c r="AA254" t="s">
        <v>736</v>
      </c>
      <c r="AB254" t="s">
        <v>292</v>
      </c>
      <c r="AC254">
        <v>54271</v>
      </c>
      <c r="AD254" t="s">
        <v>808</v>
      </c>
    </row>
    <row r="255" spans="3:30" ht="18" customHeight="1">
      <c r="C255" s="79" t="s">
        <v>195</v>
      </c>
      <c r="E255" s="194" t="s">
        <v>297</v>
      </c>
      <c r="G255" s="79" t="s">
        <v>183</v>
      </c>
      <c r="Y255" t="s">
        <v>1111</v>
      </c>
      <c r="Z255">
        <v>22520</v>
      </c>
      <c r="AA255" t="s">
        <v>737</v>
      </c>
    </row>
    <row r="256" spans="3:30" ht="18" customHeight="1">
      <c r="C256" s="79" t="s">
        <v>189</v>
      </c>
      <c r="E256" s="194" t="s">
        <v>299</v>
      </c>
      <c r="G256" s="79" t="s">
        <v>183</v>
      </c>
      <c r="Y256" t="s">
        <v>1112</v>
      </c>
      <c r="Z256">
        <v>25345</v>
      </c>
      <c r="AA256" t="s">
        <v>738</v>
      </c>
      <c r="AB256" t="s">
        <v>299</v>
      </c>
      <c r="AC256">
        <v>56737</v>
      </c>
      <c r="AD256" t="s">
        <v>809</v>
      </c>
    </row>
    <row r="257" spans="3:30" ht="18" customHeight="1">
      <c r="C257" s="79" t="s">
        <v>194</v>
      </c>
      <c r="E257" s="194" t="s">
        <v>291</v>
      </c>
      <c r="G257" s="79" t="s">
        <v>183</v>
      </c>
      <c r="Y257" t="s">
        <v>1113</v>
      </c>
      <c r="Z257">
        <v>28630</v>
      </c>
      <c r="AA257" t="s">
        <v>739</v>
      </c>
    </row>
    <row r="258" spans="3:30" ht="18" customHeight="1">
      <c r="C258" s="79" t="s">
        <v>182</v>
      </c>
      <c r="E258" s="194"/>
      <c r="G258" s="79" t="s">
        <v>183</v>
      </c>
      <c r="Y258" t="s">
        <v>1114</v>
      </c>
      <c r="Z258">
        <v>329</v>
      </c>
      <c r="AA258" t="s">
        <v>740</v>
      </c>
    </row>
    <row r="259" spans="3:30" ht="18" customHeight="1">
      <c r="C259" s="79" t="s">
        <v>119</v>
      </c>
      <c r="E259" s="194" t="s">
        <v>68</v>
      </c>
      <c r="G259" s="79" t="s">
        <v>340</v>
      </c>
    </row>
    <row r="260" spans="3:30" ht="18" customHeight="1">
      <c r="C260" s="79" t="s">
        <v>118</v>
      </c>
      <c r="E260" s="196" t="s">
        <v>341</v>
      </c>
      <c r="G260" s="79" t="s">
        <v>340</v>
      </c>
      <c r="Y260" t="s">
        <v>1115</v>
      </c>
      <c r="Z260">
        <v>25140</v>
      </c>
      <c r="AA260" t="s">
        <v>741</v>
      </c>
    </row>
    <row r="261" spans="3:30" ht="18" customHeight="1">
      <c r="C261" s="79" t="s">
        <v>116</v>
      </c>
      <c r="E261" s="196" t="s">
        <v>342</v>
      </c>
      <c r="G261" s="79" t="s">
        <v>340</v>
      </c>
      <c r="Y261" t="s">
        <v>1116</v>
      </c>
      <c r="Z261">
        <v>15048</v>
      </c>
      <c r="AA261" t="s">
        <v>742</v>
      </c>
    </row>
    <row r="262" spans="3:30" ht="18" customHeight="1">
      <c r="C262" s="79" t="s">
        <v>120</v>
      </c>
      <c r="E262" s="196" t="s">
        <v>343</v>
      </c>
      <c r="G262" s="79" t="s">
        <v>340</v>
      </c>
    </row>
    <row r="263" spans="3:30" ht="18" customHeight="1">
      <c r="C263" s="79" t="s">
        <v>121</v>
      </c>
      <c r="E263" s="194" t="s">
        <v>241</v>
      </c>
      <c r="G263" s="79" t="s">
        <v>340</v>
      </c>
    </row>
    <row r="264" spans="3:30" ht="18" customHeight="1">
      <c r="C264" s="79" t="s">
        <v>82</v>
      </c>
      <c r="E264" s="194" t="s">
        <v>63</v>
      </c>
      <c r="G264" s="79" t="s">
        <v>344</v>
      </c>
    </row>
    <row r="265" spans="3:30" ht="18" customHeight="1">
      <c r="C265" s="79" t="s">
        <v>81</v>
      </c>
      <c r="E265" s="194" t="s">
        <v>207</v>
      </c>
      <c r="G265" s="79" t="s">
        <v>344</v>
      </c>
      <c r="Y265" t="s">
        <v>1117</v>
      </c>
      <c r="Z265">
        <v>11802</v>
      </c>
      <c r="AA265" t="s">
        <v>743</v>
      </c>
    </row>
    <row r="266" spans="3:30" ht="18" customHeight="1">
      <c r="C266" s="79" t="s">
        <v>84</v>
      </c>
      <c r="E266" s="194" t="s">
        <v>205</v>
      </c>
      <c r="G266" s="79" t="s">
        <v>344</v>
      </c>
      <c r="AB266" t="s">
        <v>205</v>
      </c>
      <c r="AC266">
        <v>54787</v>
      </c>
      <c r="AD266" t="s">
        <v>810</v>
      </c>
    </row>
    <row r="267" spans="3:30" ht="18" customHeight="1">
      <c r="C267" s="79" t="s">
        <v>83</v>
      </c>
      <c r="E267" s="194" t="s">
        <v>206</v>
      </c>
      <c r="G267" s="79" t="s">
        <v>344</v>
      </c>
    </row>
    <row r="268" spans="3:30" ht="18" customHeight="1">
      <c r="C268" s="79" t="s">
        <v>165</v>
      </c>
      <c r="E268" s="194" t="s">
        <v>274</v>
      </c>
      <c r="G268" s="79" t="s">
        <v>160</v>
      </c>
      <c r="AB268" t="s">
        <v>274</v>
      </c>
      <c r="AC268">
        <v>56437</v>
      </c>
      <c r="AD268" t="s">
        <v>811</v>
      </c>
    </row>
    <row r="269" spans="3:30" ht="18" customHeight="1">
      <c r="C269" s="79" t="s">
        <v>163</v>
      </c>
      <c r="E269" s="194" t="s">
        <v>275</v>
      </c>
      <c r="G269" s="79" t="s">
        <v>160</v>
      </c>
      <c r="Y269" t="s">
        <v>1118</v>
      </c>
      <c r="Z269">
        <v>26454</v>
      </c>
      <c r="AA269" t="s">
        <v>744</v>
      </c>
      <c r="AB269" t="s">
        <v>275</v>
      </c>
      <c r="AC269">
        <v>56942</v>
      </c>
      <c r="AD269" t="s">
        <v>812</v>
      </c>
    </row>
    <row r="270" spans="3:30" ht="18" customHeight="1">
      <c r="C270" s="79" t="s">
        <v>164</v>
      </c>
      <c r="E270" s="194" t="s">
        <v>273</v>
      </c>
      <c r="G270" s="79" t="s">
        <v>160</v>
      </c>
    </row>
    <row r="271" spans="3:30" ht="18" customHeight="1">
      <c r="C271" s="79" t="s">
        <v>162</v>
      </c>
      <c r="E271" s="194" t="s">
        <v>272</v>
      </c>
      <c r="G271" s="79" t="s">
        <v>160</v>
      </c>
      <c r="Y271" t="s">
        <v>1119</v>
      </c>
      <c r="Z271">
        <v>21115</v>
      </c>
      <c r="AA271" t="s">
        <v>745</v>
      </c>
    </row>
    <row r="272" spans="3:30" ht="18" customHeight="1">
      <c r="C272" s="79" t="s">
        <v>161</v>
      </c>
      <c r="E272" s="194" t="s">
        <v>276</v>
      </c>
      <c r="G272" s="79" t="s">
        <v>160</v>
      </c>
      <c r="Y272" t="s">
        <v>1120</v>
      </c>
      <c r="Z272">
        <v>14681</v>
      </c>
      <c r="AA272" t="s">
        <v>746</v>
      </c>
      <c r="AB272" t="s">
        <v>276</v>
      </c>
      <c r="AC272">
        <v>56943</v>
      </c>
      <c r="AD272" t="s">
        <v>813</v>
      </c>
    </row>
    <row r="273" spans="3:30" ht="18" customHeight="1">
      <c r="C273" s="79" t="s">
        <v>159</v>
      </c>
      <c r="E273" s="194"/>
      <c r="G273" s="79" t="s">
        <v>160</v>
      </c>
      <c r="Y273" t="s">
        <v>1121</v>
      </c>
      <c r="Z273">
        <v>11745</v>
      </c>
      <c r="AA273" t="s">
        <v>747</v>
      </c>
    </row>
    <row r="274" spans="3:30" ht="18" customHeight="1">
      <c r="C274" s="79" t="s">
        <v>166</v>
      </c>
      <c r="E274" s="194"/>
      <c r="G274" s="79" t="s">
        <v>167</v>
      </c>
    </row>
    <row r="275" spans="3:30" ht="18" customHeight="1">
      <c r="C275" s="79" t="s">
        <v>168</v>
      </c>
      <c r="E275" s="194"/>
      <c r="G275" s="79" t="s">
        <v>167</v>
      </c>
    </row>
    <row r="276" spans="3:30" ht="18" customHeight="1">
      <c r="C276" s="79" t="s">
        <v>169</v>
      </c>
      <c r="E276" s="194"/>
      <c r="G276" s="79" t="s">
        <v>167</v>
      </c>
    </row>
    <row r="277" spans="3:30" ht="18" customHeight="1">
      <c r="C277" s="79" t="s">
        <v>155</v>
      </c>
      <c r="E277" s="194" t="s">
        <v>271</v>
      </c>
      <c r="G277" s="79" t="s">
        <v>345</v>
      </c>
      <c r="Y277" t="s">
        <v>1122</v>
      </c>
      <c r="Z277">
        <v>9588</v>
      </c>
      <c r="AA277" t="s">
        <v>748</v>
      </c>
      <c r="AB277" t="s">
        <v>271</v>
      </c>
      <c r="AC277">
        <v>57302</v>
      </c>
      <c r="AD277" t="s">
        <v>814</v>
      </c>
    </row>
    <row r="278" spans="3:30" ht="18" customHeight="1">
      <c r="C278" s="79" t="s">
        <v>157</v>
      </c>
      <c r="E278" s="194" t="s">
        <v>270</v>
      </c>
      <c r="G278" s="79" t="s">
        <v>345</v>
      </c>
      <c r="Y278" t="s">
        <v>1123</v>
      </c>
      <c r="Z278">
        <v>26813</v>
      </c>
      <c r="AA278" t="s">
        <v>749</v>
      </c>
    </row>
    <row r="279" spans="3:30" ht="18" customHeight="1">
      <c r="C279" s="79" t="s">
        <v>158</v>
      </c>
      <c r="E279" s="194"/>
      <c r="G279" s="79" t="s">
        <v>345</v>
      </c>
    </row>
    <row r="280" spans="3:30" ht="18" customHeight="1">
      <c r="C280" s="79" t="s">
        <v>178</v>
      </c>
      <c r="E280" s="196" t="s">
        <v>346</v>
      </c>
      <c r="G280" s="79" t="s">
        <v>347</v>
      </c>
      <c r="AB280" t="s">
        <v>816</v>
      </c>
      <c r="AC280">
        <v>54821</v>
      </c>
      <c r="AD280" t="s">
        <v>815</v>
      </c>
    </row>
    <row r="281" spans="3:30" ht="18" customHeight="1">
      <c r="C281" s="79" t="s">
        <v>180</v>
      </c>
      <c r="E281" s="194" t="s">
        <v>285</v>
      </c>
      <c r="G281" s="79" t="s">
        <v>347</v>
      </c>
      <c r="AB281" t="s">
        <v>285</v>
      </c>
      <c r="AC281">
        <v>56776</v>
      </c>
      <c r="AD281" t="s">
        <v>817</v>
      </c>
    </row>
    <row r="282" spans="3:30" ht="18" customHeight="1">
      <c r="C282" s="79" t="s">
        <v>181</v>
      </c>
      <c r="E282" s="196" t="s">
        <v>348</v>
      </c>
      <c r="G282" s="79" t="s">
        <v>347</v>
      </c>
      <c r="Y282" t="s">
        <v>1124</v>
      </c>
      <c r="Z282">
        <v>31693</v>
      </c>
      <c r="AA282" t="s">
        <v>750</v>
      </c>
    </row>
    <row r="283" spans="3:30" ht="18" customHeight="1">
      <c r="C283" s="21"/>
      <c r="E283" s="194" t="s">
        <v>283</v>
      </c>
      <c r="G283" s="79" t="s">
        <v>347</v>
      </c>
      <c r="AB283" t="s">
        <v>283</v>
      </c>
      <c r="AC283">
        <v>55681</v>
      </c>
      <c r="AD283" t="s">
        <v>818</v>
      </c>
    </row>
    <row r="284" spans="3:30" ht="18" customHeight="1">
      <c r="C284" s="21"/>
      <c r="E284" s="194" t="s">
        <v>284</v>
      </c>
      <c r="G284" s="79" t="s">
        <v>347</v>
      </c>
      <c r="AB284" t="s">
        <v>284</v>
      </c>
      <c r="AC284">
        <v>55817</v>
      </c>
      <c r="AD284" t="s">
        <v>819</v>
      </c>
    </row>
    <row r="285" spans="3:30" ht="18" customHeight="1">
      <c r="C285" s="79" t="s">
        <v>129</v>
      </c>
      <c r="E285" s="194" t="s">
        <v>252</v>
      </c>
      <c r="G285" s="79" t="s">
        <v>130</v>
      </c>
    </row>
    <row r="286" spans="3:30" ht="18" customHeight="1">
      <c r="C286" s="21"/>
      <c r="E286" s="194" t="s">
        <v>253</v>
      </c>
      <c r="G286" s="79" t="s">
        <v>130</v>
      </c>
    </row>
    <row r="287" spans="3:30" ht="18" customHeight="1">
      <c r="C287" s="79" t="s">
        <v>94</v>
      </c>
      <c r="E287" s="194" t="s">
        <v>216</v>
      </c>
      <c r="G287" s="79" t="s">
        <v>92</v>
      </c>
      <c r="Y287" t="s">
        <v>1125</v>
      </c>
      <c r="Z287">
        <v>26539</v>
      </c>
      <c r="AA287" t="s">
        <v>751</v>
      </c>
    </row>
    <row r="288" spans="3:30" ht="18" customHeight="1">
      <c r="C288" s="79" t="s">
        <v>95</v>
      </c>
      <c r="E288" s="196" t="s">
        <v>213</v>
      </c>
      <c r="G288" s="79" t="s">
        <v>92</v>
      </c>
      <c r="Y288" t="s">
        <v>1126</v>
      </c>
      <c r="Z288">
        <v>28073</v>
      </c>
      <c r="AA288" t="s">
        <v>752</v>
      </c>
    </row>
    <row r="289" spans="3:30" ht="18" customHeight="1">
      <c r="C289" s="79" t="s">
        <v>96</v>
      </c>
      <c r="E289" s="194" t="s">
        <v>215</v>
      </c>
      <c r="G289" s="79" t="s">
        <v>92</v>
      </c>
      <c r="Y289" t="s">
        <v>1127</v>
      </c>
      <c r="Z289">
        <v>29828</v>
      </c>
      <c r="AA289" t="s">
        <v>753</v>
      </c>
    </row>
    <row r="290" spans="3:30" ht="18" customHeight="1">
      <c r="C290" s="81" t="s">
        <v>97</v>
      </c>
      <c r="E290" s="194" t="s">
        <v>214</v>
      </c>
      <c r="G290" s="79" t="s">
        <v>92</v>
      </c>
    </row>
    <row r="291" spans="3:30" ht="18" customHeight="1">
      <c r="C291" s="79" t="s">
        <v>93</v>
      </c>
      <c r="E291" s="194" t="s">
        <v>217</v>
      </c>
      <c r="G291" s="79" t="s">
        <v>92</v>
      </c>
      <c r="Y291" t="s">
        <v>1128</v>
      </c>
      <c r="Z291">
        <v>25967</v>
      </c>
      <c r="AA291" t="s">
        <v>754</v>
      </c>
    </row>
    <row r="292" spans="3:30" ht="18" customHeight="1">
      <c r="C292" s="79" t="s">
        <v>91</v>
      </c>
      <c r="E292" s="194"/>
      <c r="G292" s="79" t="s">
        <v>92</v>
      </c>
      <c r="Y292" t="s">
        <v>1129</v>
      </c>
      <c r="Z292">
        <v>16678</v>
      </c>
      <c r="AA292" t="s">
        <v>755</v>
      </c>
    </row>
    <row r="293" spans="3:30" ht="18" customHeight="1">
      <c r="C293" s="79" t="s">
        <v>90</v>
      </c>
      <c r="E293" s="194" t="s">
        <v>211</v>
      </c>
      <c r="G293" s="79" t="s">
        <v>86</v>
      </c>
      <c r="Y293" t="s">
        <v>1130</v>
      </c>
      <c r="Z293">
        <v>28719</v>
      </c>
      <c r="AA293" t="s">
        <v>756</v>
      </c>
    </row>
    <row r="294" spans="3:30" ht="18" customHeight="1">
      <c r="C294" s="79" t="s">
        <v>88</v>
      </c>
      <c r="E294" s="194" t="s">
        <v>210</v>
      </c>
      <c r="G294" s="79" t="s">
        <v>86</v>
      </c>
      <c r="Y294" t="s">
        <v>1125</v>
      </c>
      <c r="Z294">
        <v>26539</v>
      </c>
      <c r="AA294" t="s">
        <v>751</v>
      </c>
    </row>
    <row r="295" spans="3:30" ht="18" customHeight="1">
      <c r="C295" s="79" t="s">
        <v>89</v>
      </c>
      <c r="E295" s="194" t="s">
        <v>209</v>
      </c>
      <c r="G295" s="79" t="s">
        <v>86</v>
      </c>
      <c r="Y295" t="s">
        <v>1131</v>
      </c>
      <c r="Z295">
        <v>28066</v>
      </c>
      <c r="AA295" t="s">
        <v>757</v>
      </c>
      <c r="AB295" t="s">
        <v>209</v>
      </c>
      <c r="AC295">
        <v>55572</v>
      </c>
      <c r="AD295" t="s">
        <v>820</v>
      </c>
    </row>
    <row r="296" spans="3:30" ht="18" customHeight="1">
      <c r="C296" s="79" t="s">
        <v>85</v>
      </c>
      <c r="E296" s="194" t="s">
        <v>212</v>
      </c>
      <c r="G296" s="79" t="s">
        <v>86</v>
      </c>
      <c r="Y296" t="s">
        <v>1132</v>
      </c>
      <c r="Z296">
        <v>10660</v>
      </c>
      <c r="AA296" t="s">
        <v>758</v>
      </c>
    </row>
    <row r="297" spans="3:30" ht="18" customHeight="1">
      <c r="C297" s="79" t="s">
        <v>87</v>
      </c>
      <c r="E297" s="194" t="s">
        <v>208</v>
      </c>
      <c r="G297" s="79" t="s">
        <v>86</v>
      </c>
      <c r="AB297" t="s">
        <v>208</v>
      </c>
      <c r="AC297">
        <v>54989</v>
      </c>
      <c r="AD297" t="s">
        <v>821</v>
      </c>
    </row>
    <row r="298" spans="3:30" ht="18" customHeight="1">
      <c r="C298" s="79" t="s">
        <v>203</v>
      </c>
      <c r="E298" s="194" t="s">
        <v>302</v>
      </c>
      <c r="G298" s="79" t="s">
        <v>72</v>
      </c>
      <c r="Y298" t="s">
        <v>1133</v>
      </c>
      <c r="Z298">
        <v>2287</v>
      </c>
      <c r="AA298" t="s">
        <v>759</v>
      </c>
    </row>
    <row r="299" spans="3:30" ht="18" customHeight="1">
      <c r="C299" s="79" t="s">
        <v>73</v>
      </c>
      <c r="E299" s="196" t="s">
        <v>349</v>
      </c>
      <c r="G299" s="79" t="s">
        <v>72</v>
      </c>
      <c r="Y299" t="s">
        <v>1134</v>
      </c>
      <c r="Z299">
        <v>5939</v>
      </c>
      <c r="AA299" t="s">
        <v>760</v>
      </c>
    </row>
    <row r="300" spans="3:30" ht="18" customHeight="1">
      <c r="C300" s="79" t="s">
        <v>74</v>
      </c>
      <c r="E300" s="194"/>
      <c r="G300" s="79" t="s">
        <v>72</v>
      </c>
      <c r="Y300" t="s">
        <v>1135</v>
      </c>
      <c r="Z300">
        <v>2306</v>
      </c>
      <c r="AA300" t="s">
        <v>761</v>
      </c>
    </row>
    <row r="301" spans="3:30" ht="18" customHeight="1">
      <c r="C301" s="79" t="s">
        <v>110</v>
      </c>
      <c r="E301" s="194" t="s">
        <v>240</v>
      </c>
      <c r="G301" s="79" t="s">
        <v>106</v>
      </c>
      <c r="Y301" t="s">
        <v>1136</v>
      </c>
      <c r="Z301">
        <v>21093</v>
      </c>
      <c r="AA301" t="s">
        <v>762</v>
      </c>
    </row>
    <row r="302" spans="3:30" ht="18" customHeight="1">
      <c r="C302" s="79" t="s">
        <v>112</v>
      </c>
      <c r="E302" s="194" t="s">
        <v>230</v>
      </c>
      <c r="G302" s="79" t="s">
        <v>106</v>
      </c>
      <c r="Y302" t="s">
        <v>1137</v>
      </c>
      <c r="Z302">
        <v>25586</v>
      </c>
      <c r="AA302" t="s">
        <v>763</v>
      </c>
      <c r="AB302" t="s">
        <v>230</v>
      </c>
      <c r="AC302">
        <v>54968</v>
      </c>
      <c r="AD302" t="s">
        <v>822</v>
      </c>
    </row>
    <row r="303" spans="3:30" ht="18" customHeight="1">
      <c r="C303" s="79" t="s">
        <v>115</v>
      </c>
      <c r="E303" s="194" t="s">
        <v>229</v>
      </c>
      <c r="G303" s="79" t="s">
        <v>106</v>
      </c>
      <c r="Y303" t="s">
        <v>1138</v>
      </c>
      <c r="Z303">
        <v>29395</v>
      </c>
      <c r="AA303" t="s">
        <v>764</v>
      </c>
      <c r="AB303" t="s">
        <v>229</v>
      </c>
      <c r="AC303">
        <v>53498</v>
      </c>
      <c r="AD303" t="s">
        <v>823</v>
      </c>
    </row>
    <row r="304" spans="3:30" ht="18" customHeight="1">
      <c r="C304" s="79" t="s">
        <v>114</v>
      </c>
      <c r="E304" s="194" t="s">
        <v>236</v>
      </c>
      <c r="G304" s="79" t="s">
        <v>106</v>
      </c>
      <c r="Y304" t="s">
        <v>1139</v>
      </c>
      <c r="Z304">
        <v>26226</v>
      </c>
      <c r="AA304" t="s">
        <v>765</v>
      </c>
      <c r="AB304" t="s">
        <v>236</v>
      </c>
      <c r="AC304">
        <v>57131</v>
      </c>
      <c r="AD304" t="s">
        <v>824</v>
      </c>
    </row>
    <row r="305" spans="3:30" ht="18" customHeight="1">
      <c r="C305" s="79" t="s">
        <v>65</v>
      </c>
      <c r="E305" s="194" t="s">
        <v>231</v>
      </c>
      <c r="G305" s="79" t="s">
        <v>106</v>
      </c>
    </row>
    <row r="306" spans="3:30" ht="18" customHeight="1">
      <c r="C306" s="79" t="s">
        <v>111</v>
      </c>
      <c r="E306" s="194" t="s">
        <v>239</v>
      </c>
      <c r="G306" s="79" t="s">
        <v>106</v>
      </c>
      <c r="Y306" t="s">
        <v>1140</v>
      </c>
      <c r="Z306">
        <v>25377</v>
      </c>
      <c r="AA306" t="s">
        <v>766</v>
      </c>
      <c r="AB306" t="s">
        <v>239</v>
      </c>
      <c r="AC306">
        <v>57460</v>
      </c>
      <c r="AD306" t="s">
        <v>825</v>
      </c>
    </row>
    <row r="307" spans="3:30" ht="18" customHeight="1">
      <c r="C307" s="79" t="s">
        <v>108</v>
      </c>
      <c r="E307" s="194" t="s">
        <v>69</v>
      </c>
      <c r="G307" s="79" t="s">
        <v>106</v>
      </c>
      <c r="Y307" t="s">
        <v>1141</v>
      </c>
      <c r="Z307">
        <v>18082</v>
      </c>
      <c r="AA307" t="s">
        <v>767</v>
      </c>
      <c r="AB307" t="s">
        <v>69</v>
      </c>
      <c r="AC307">
        <v>55362</v>
      </c>
      <c r="AD307" t="s">
        <v>826</v>
      </c>
    </row>
    <row r="308" spans="3:30" ht="18" customHeight="1">
      <c r="C308" s="79" t="s">
        <v>105</v>
      </c>
      <c r="E308" s="194" t="s">
        <v>238</v>
      </c>
      <c r="G308" s="79" t="s">
        <v>106</v>
      </c>
      <c r="Y308" t="s">
        <v>664</v>
      </c>
      <c r="Z308">
        <v>1384</v>
      </c>
      <c r="AA308" t="s">
        <v>768</v>
      </c>
    </row>
    <row r="309" spans="3:30" ht="18" customHeight="1">
      <c r="C309" s="79" t="s">
        <v>109</v>
      </c>
      <c r="E309" s="194" t="s">
        <v>234</v>
      </c>
      <c r="G309" s="79" t="s">
        <v>106</v>
      </c>
      <c r="Y309" t="s">
        <v>1142</v>
      </c>
      <c r="Z309">
        <v>18717</v>
      </c>
      <c r="AA309" t="s">
        <v>769</v>
      </c>
      <c r="AB309" t="s">
        <v>234</v>
      </c>
      <c r="AC309">
        <v>56690</v>
      </c>
      <c r="AD309" t="s">
        <v>827</v>
      </c>
    </row>
    <row r="310" spans="3:30" ht="18" customHeight="1">
      <c r="C310" s="79" t="s">
        <v>107</v>
      </c>
      <c r="E310" s="194" t="s">
        <v>228</v>
      </c>
      <c r="G310" s="79" t="s">
        <v>106</v>
      </c>
      <c r="Y310" t="s">
        <v>1143</v>
      </c>
      <c r="Z310">
        <v>13305</v>
      </c>
      <c r="AA310" t="s">
        <v>770</v>
      </c>
    </row>
    <row r="311" spans="3:30" ht="18" customHeight="1">
      <c r="C311" s="79" t="s">
        <v>113</v>
      </c>
      <c r="E311" s="194" t="s">
        <v>232</v>
      </c>
      <c r="G311" s="79" t="s">
        <v>106</v>
      </c>
      <c r="Y311" t="s">
        <v>1144</v>
      </c>
      <c r="Z311">
        <v>25871</v>
      </c>
      <c r="AA311" t="s">
        <v>771</v>
      </c>
      <c r="AB311" t="s">
        <v>232</v>
      </c>
      <c r="AC311">
        <v>56286</v>
      </c>
      <c r="AD311" t="s">
        <v>828</v>
      </c>
    </row>
    <row r="312" spans="3:30" ht="18" customHeight="1">
      <c r="C312" s="79"/>
      <c r="E312" s="194" t="s">
        <v>227</v>
      </c>
      <c r="G312" s="79" t="s">
        <v>106</v>
      </c>
      <c r="AB312" t="s">
        <v>227</v>
      </c>
      <c r="AC312">
        <v>50954</v>
      </c>
      <c r="AD312" t="s">
        <v>829</v>
      </c>
    </row>
    <row r="313" spans="3:30" ht="18" customHeight="1">
      <c r="C313" s="79"/>
      <c r="E313" s="194" t="s">
        <v>237</v>
      </c>
      <c r="G313" s="79" t="s">
        <v>106</v>
      </c>
    </row>
    <row r="314" spans="3:30" ht="18" customHeight="1">
      <c r="C314" s="79"/>
      <c r="E314" s="194" t="s">
        <v>235</v>
      </c>
      <c r="G314" s="79" t="s">
        <v>106</v>
      </c>
    </row>
    <row r="315" spans="3:30" ht="18" customHeight="1">
      <c r="C315" s="79"/>
      <c r="E315" s="194" t="s">
        <v>233</v>
      </c>
      <c r="G315" s="79" t="s">
        <v>106</v>
      </c>
    </row>
    <row r="316" spans="3:30" ht="18" customHeight="1">
      <c r="C316" s="79" t="s">
        <v>138</v>
      </c>
      <c r="E316" s="194" t="s">
        <v>258</v>
      </c>
      <c r="G316" s="79" t="s">
        <v>350</v>
      </c>
      <c r="Y316" t="s">
        <v>1145</v>
      </c>
      <c r="Z316">
        <v>965</v>
      </c>
      <c r="AA316" t="s">
        <v>772</v>
      </c>
    </row>
    <row r="317" spans="3:30" ht="18" customHeight="1">
      <c r="C317" s="21"/>
      <c r="E317" s="194" t="s">
        <v>257</v>
      </c>
      <c r="G317" s="79" t="s">
        <v>350</v>
      </c>
    </row>
    <row r="318" spans="3:30" ht="18" customHeight="1">
      <c r="C318" s="79" t="s">
        <v>101</v>
      </c>
      <c r="E318" s="194" t="s">
        <v>218</v>
      </c>
      <c r="G318" s="79" t="s">
        <v>99</v>
      </c>
      <c r="Y318" t="s">
        <v>1146</v>
      </c>
      <c r="Z318">
        <v>24357</v>
      </c>
      <c r="AA318" t="s">
        <v>773</v>
      </c>
    </row>
    <row r="319" spans="3:30" ht="18" customHeight="1">
      <c r="C319" s="79" t="s">
        <v>98</v>
      </c>
      <c r="E319" s="194" t="s">
        <v>220</v>
      </c>
      <c r="G319" s="79" t="s">
        <v>99</v>
      </c>
      <c r="Y319" t="s">
        <v>675</v>
      </c>
      <c r="Z319">
        <v>10562</v>
      </c>
      <c r="AA319" t="s">
        <v>774</v>
      </c>
      <c r="AB319" t="s">
        <v>220</v>
      </c>
      <c r="AC319">
        <v>55570</v>
      </c>
      <c r="AD319" t="s">
        <v>830</v>
      </c>
    </row>
    <row r="320" spans="3:30" ht="18" customHeight="1">
      <c r="C320" s="79" t="s">
        <v>100</v>
      </c>
      <c r="E320" s="194" t="s">
        <v>219</v>
      </c>
      <c r="G320" s="79" t="s">
        <v>99</v>
      </c>
      <c r="AB320" t="s">
        <v>219</v>
      </c>
      <c r="AC320">
        <v>55129</v>
      </c>
      <c r="AD320" t="s">
        <v>790</v>
      </c>
    </row>
    <row r="321" spans="3:30" ht="18" customHeight="1">
      <c r="C321" s="79"/>
      <c r="E321" s="194" t="s">
        <v>223</v>
      </c>
      <c r="G321" s="79" t="s">
        <v>99</v>
      </c>
    </row>
    <row r="322" spans="3:30" ht="18" customHeight="1">
      <c r="C322" s="79"/>
      <c r="E322" s="194" t="s">
        <v>221</v>
      </c>
      <c r="G322" s="79" t="s">
        <v>99</v>
      </c>
    </row>
    <row r="323" spans="3:30" ht="18" customHeight="1">
      <c r="C323" s="79"/>
      <c r="E323" s="194" t="s">
        <v>222</v>
      </c>
      <c r="G323" s="79" t="s">
        <v>99</v>
      </c>
    </row>
    <row r="324" spans="3:30" ht="18" customHeight="1">
      <c r="C324" s="81" t="s">
        <v>128</v>
      </c>
      <c r="E324" s="194" t="s">
        <v>250</v>
      </c>
      <c r="G324" s="79" t="s">
        <v>125</v>
      </c>
      <c r="Y324" t="s">
        <v>1147</v>
      </c>
      <c r="Z324">
        <v>28346</v>
      </c>
      <c r="AA324" t="s">
        <v>775</v>
      </c>
      <c r="AB324" t="s">
        <v>832</v>
      </c>
      <c r="AC324">
        <v>55733</v>
      </c>
      <c r="AD324" t="s">
        <v>831</v>
      </c>
    </row>
    <row r="325" spans="3:30" ht="18" customHeight="1">
      <c r="C325" s="79" t="s">
        <v>124</v>
      </c>
      <c r="E325" s="194" t="s">
        <v>249</v>
      </c>
      <c r="G325" s="79" t="s">
        <v>125</v>
      </c>
      <c r="Y325" t="s">
        <v>1148</v>
      </c>
      <c r="Z325">
        <v>7398</v>
      </c>
      <c r="AA325" t="s">
        <v>776</v>
      </c>
    </row>
    <row r="326" spans="3:30" ht="18" customHeight="1">
      <c r="C326" s="79" t="s">
        <v>315</v>
      </c>
      <c r="E326" s="194" t="s">
        <v>248</v>
      </c>
      <c r="G326" s="79" t="s">
        <v>125</v>
      </c>
    </row>
    <row r="327" spans="3:30" ht="18" customHeight="1">
      <c r="C327" s="79" t="s">
        <v>126</v>
      </c>
      <c r="E327" s="194" t="s">
        <v>247</v>
      </c>
      <c r="G327" s="79" t="s">
        <v>125</v>
      </c>
      <c r="Y327" t="s">
        <v>1149</v>
      </c>
      <c r="Z327">
        <v>16332</v>
      </c>
      <c r="AA327" t="s">
        <v>777</v>
      </c>
    </row>
    <row r="328" spans="3:30" ht="18" customHeight="1">
      <c r="C328" s="79" t="s">
        <v>127</v>
      </c>
      <c r="E328" s="194" t="s">
        <v>251</v>
      </c>
      <c r="G328" s="79" t="s">
        <v>125</v>
      </c>
      <c r="Y328" t="s">
        <v>1150</v>
      </c>
      <c r="Z328">
        <v>17996</v>
      </c>
      <c r="AA328" t="s">
        <v>778</v>
      </c>
    </row>
    <row r="329" spans="3:30" ht="18" customHeight="1">
      <c r="C329" s="79" t="s">
        <v>144</v>
      </c>
      <c r="E329" s="194" t="s">
        <v>260</v>
      </c>
      <c r="G329" s="79" t="s">
        <v>331</v>
      </c>
    </row>
    <row r="330" spans="3:30" ht="18" customHeight="1">
      <c r="C330" s="79" t="s">
        <v>140</v>
      </c>
      <c r="E330" s="194" t="s">
        <v>261</v>
      </c>
      <c r="G330" s="79" t="s">
        <v>331</v>
      </c>
      <c r="Y330" t="s">
        <v>1151</v>
      </c>
      <c r="Z330">
        <v>20386</v>
      </c>
      <c r="AA330" t="s">
        <v>779</v>
      </c>
    </row>
    <row r="331" spans="3:30" ht="18" customHeight="1">
      <c r="C331" s="79" t="s">
        <v>142</v>
      </c>
      <c r="E331" s="194" t="s">
        <v>259</v>
      </c>
      <c r="G331" s="79" t="s">
        <v>331</v>
      </c>
    </row>
    <row r="332" spans="3:30" ht="18" customHeight="1">
      <c r="C332" s="79" t="s">
        <v>145</v>
      </c>
      <c r="E332" s="194" t="s">
        <v>263</v>
      </c>
      <c r="G332" s="79" t="s">
        <v>331</v>
      </c>
      <c r="Y332" t="s">
        <v>1152</v>
      </c>
      <c r="Z332">
        <v>28039</v>
      </c>
      <c r="AA332" t="s">
        <v>780</v>
      </c>
    </row>
    <row r="333" spans="3:30" ht="18" customHeight="1">
      <c r="C333" s="79" t="s">
        <v>146</v>
      </c>
      <c r="E333" s="196" t="s">
        <v>332</v>
      </c>
      <c r="G333" s="79" t="s">
        <v>331</v>
      </c>
      <c r="Y333" t="s">
        <v>1153</v>
      </c>
      <c r="Z333">
        <v>30059</v>
      </c>
      <c r="AA333" t="s">
        <v>781</v>
      </c>
    </row>
    <row r="334" spans="3:30" ht="18" customHeight="1">
      <c r="C334" s="79" t="s">
        <v>143</v>
      </c>
      <c r="E334" s="194" t="s">
        <v>262</v>
      </c>
      <c r="G334" s="79" t="s">
        <v>331</v>
      </c>
      <c r="AB334" t="s">
        <v>262</v>
      </c>
      <c r="AC334">
        <v>57109</v>
      </c>
      <c r="AD334" t="s">
        <v>833</v>
      </c>
    </row>
    <row r="335" spans="3:30" ht="18" customHeight="1">
      <c r="C335" s="79" t="s">
        <v>316</v>
      </c>
      <c r="E335" s="194" t="s">
        <v>59</v>
      </c>
      <c r="G335" s="79" t="s">
        <v>333</v>
      </c>
    </row>
    <row r="336" spans="3:30" ht="18" customHeight="1">
      <c r="C336" s="79" t="s">
        <v>310</v>
      </c>
      <c r="E336" s="196" t="s">
        <v>334</v>
      </c>
      <c r="G336" s="79" t="s">
        <v>333</v>
      </c>
    </row>
    <row r="337" spans="3:30" ht="18" customHeight="1">
      <c r="C337" s="79" t="s">
        <v>307</v>
      </c>
      <c r="E337" s="194" t="s">
        <v>60</v>
      </c>
      <c r="G337" s="79" t="s">
        <v>333</v>
      </c>
      <c r="Y337" t="s">
        <v>702</v>
      </c>
      <c r="Z337">
        <v>13141</v>
      </c>
      <c r="AA337" t="s">
        <v>782</v>
      </c>
      <c r="AB337" t="s">
        <v>60</v>
      </c>
      <c r="AC337">
        <v>56296</v>
      </c>
      <c r="AD337" t="s">
        <v>834</v>
      </c>
    </row>
    <row r="338" spans="3:30" ht="18" customHeight="1">
      <c r="C338" s="79" t="s">
        <v>306</v>
      </c>
      <c r="E338" s="194" t="s">
        <v>61</v>
      </c>
      <c r="G338" s="79" t="s">
        <v>333</v>
      </c>
      <c r="Y338" t="s">
        <v>1154</v>
      </c>
      <c r="Z338">
        <v>1800</v>
      </c>
      <c r="AA338" t="s">
        <v>783</v>
      </c>
    </row>
    <row r="339" spans="3:30" ht="18" customHeight="1">
      <c r="C339" s="21"/>
      <c r="E339" s="194" t="s">
        <v>70</v>
      </c>
      <c r="G339" s="79" t="s">
        <v>333</v>
      </c>
    </row>
    <row r="340" spans="3:30" ht="18" customHeight="1">
      <c r="C340" s="21"/>
      <c r="E340" s="194" t="s">
        <v>62</v>
      </c>
      <c r="G340" s="79" t="s">
        <v>333</v>
      </c>
    </row>
    <row r="341" spans="3:30" ht="18" customHeight="1">
      <c r="C341" s="21"/>
      <c r="E341" s="194" t="s">
        <v>80</v>
      </c>
      <c r="G341" s="79" t="s">
        <v>333</v>
      </c>
      <c r="AB341" t="s">
        <v>80</v>
      </c>
      <c r="AC341">
        <v>59021</v>
      </c>
      <c r="AD341" t="s">
        <v>835</v>
      </c>
    </row>
    <row r="342" spans="3:30" ht="18" customHeight="1">
      <c r="C342" s="79" t="s">
        <v>318</v>
      </c>
      <c r="E342" s="194" t="s">
        <v>335</v>
      </c>
      <c r="G342" s="79" t="s">
        <v>66</v>
      </c>
    </row>
    <row r="343" spans="3:30" ht="18" customHeight="1">
      <c r="C343" s="79" t="s">
        <v>319</v>
      </c>
      <c r="E343" s="194" t="s">
        <v>336</v>
      </c>
      <c r="G343" s="79" t="s">
        <v>66</v>
      </c>
    </row>
    <row r="344" spans="3:30" ht="18" customHeight="1">
      <c r="C344" s="79" t="s">
        <v>320</v>
      </c>
      <c r="E344" s="194" t="s">
        <v>337</v>
      </c>
      <c r="G344" s="79" t="s">
        <v>66</v>
      </c>
      <c r="Y344" t="s">
        <v>1155</v>
      </c>
      <c r="Z344">
        <v>15756</v>
      </c>
      <c r="AA344" t="s">
        <v>784</v>
      </c>
    </row>
    <row r="345" spans="3:30" ht="18" customHeight="1">
      <c r="C345" s="21"/>
      <c r="E345" s="194" t="s">
        <v>338</v>
      </c>
      <c r="G345" s="79" t="s">
        <v>66</v>
      </c>
    </row>
    <row r="346" spans="3:30" ht="18" customHeight="1">
      <c r="C346" s="79" t="s">
        <v>308</v>
      </c>
      <c r="E346" s="194" t="s">
        <v>71</v>
      </c>
      <c r="G346" s="79" t="s">
        <v>309</v>
      </c>
      <c r="Y346" t="s">
        <v>1156</v>
      </c>
      <c r="Z346">
        <v>25962</v>
      </c>
      <c r="AA346" t="s">
        <v>785</v>
      </c>
    </row>
    <row r="347" spans="3:30" ht="18" customHeight="1">
      <c r="C347" s="79"/>
      <c r="E347" s="194"/>
      <c r="G347" s="79"/>
    </row>
    <row r="348" spans="3:30" ht="18" customHeight="1">
      <c r="C348" s="21"/>
      <c r="E348" s="194"/>
      <c r="G348" s="21"/>
    </row>
  </sheetData>
  <autoFilter ref="A13:AD13" xr:uid="{00000000-0001-0000-0A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38:AD48">
    <sortCondition ref="B38:B48"/>
  </sortState>
  <phoneticPr fontId="6" type="Hiragana"/>
  <conditionalFormatting sqref="V14:V73">
    <cfRule type="cellIs" dxfId="55" priority="6" stopIfTrue="1" operator="notBetween">
      <formula>"A"</formula>
      <formula>"Ｂ"</formula>
    </cfRule>
  </conditionalFormatting>
  <conditionalFormatting sqref="W14:W73">
    <cfRule type="cellIs" dxfId="54" priority="5" stopIfTrue="1" operator="between">
      <formula>"-"</formula>
      <formula>"申請中"</formula>
    </cfRule>
  </conditionalFormatting>
  <conditionalFormatting sqref="Y14:Z73">
    <cfRule type="expression" dxfId="53" priority="4">
      <formula>Y14&lt;&gt;C14</formula>
    </cfRule>
  </conditionalFormatting>
  <conditionalFormatting sqref="AB14:AC73">
    <cfRule type="expression" dxfId="52" priority="3">
      <formula>AB14&lt;&gt;E14</formula>
    </cfRule>
  </conditionalFormatting>
  <conditionalFormatting sqref="E21:E22">
    <cfRule type="cellIs" dxfId="51" priority="2" operator="notEqual">
      <formula>$L21</formula>
    </cfRule>
  </conditionalFormatting>
  <conditionalFormatting sqref="F21:F22">
    <cfRule type="cellIs" dxfId="50" priority="1" operator="notEqual">
      <formula>$J21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horizontalDpi="4294967293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4</xdr:row>
                    <xdr:rowOff>0</xdr:rowOff>
                  </from>
                  <to>
                    <xdr:col>27</xdr:col>
                    <xdr:colOff>198120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3">
    <tabColor rgb="FFFFC000"/>
  </sheetPr>
  <dimension ref="A1:AD348"/>
  <sheetViews>
    <sheetView topLeftCell="A13" zoomScale="96" zoomScaleNormal="96" workbookViewId="0">
      <selection activeCell="E36" sqref="E36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22</v>
      </c>
      <c r="D4" s="26" t="s">
        <v>7</v>
      </c>
      <c r="E4" s="27" t="s">
        <v>8</v>
      </c>
      <c r="F4" s="268" t="s">
        <v>586</v>
      </c>
      <c r="G4" s="31"/>
      <c r="H4" s="74" t="s">
        <v>595</v>
      </c>
      <c r="J4" s="27" t="s">
        <v>9</v>
      </c>
      <c r="K4" s="36" t="s">
        <v>58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 t="s">
        <v>58</v>
      </c>
      <c r="E5" s="27" t="s">
        <v>12</v>
      </c>
      <c r="F5" s="38" t="s">
        <v>58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355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 t="s">
        <v>1419</v>
      </c>
      <c r="B14" s="116">
        <v>1</v>
      </c>
      <c r="C14" s="123" t="s">
        <v>1438</v>
      </c>
      <c r="D14" s="302" t="s">
        <v>1324</v>
      </c>
      <c r="E14" s="240" t="s">
        <v>1375</v>
      </c>
      <c r="F14" s="282" t="s">
        <v>1324</v>
      </c>
      <c r="G14" s="164" t="s">
        <v>1373</v>
      </c>
      <c r="H14" s="23"/>
      <c r="I14" s="23"/>
      <c r="J14" s="64" t="str">
        <f t="shared" ref="J14:J45" si="0">IF(H14="","",H14+I14)</f>
        <v/>
      </c>
      <c r="K14" s="65"/>
      <c r="L14" s="65"/>
      <c r="M14" s="66" t="str">
        <f t="shared" ref="M14:M45" si="1">IF(L14="","",K14+L14)</f>
        <v/>
      </c>
      <c r="N14" s="23"/>
      <c r="O14" s="23"/>
      <c r="P14" s="64" t="str">
        <f t="shared" ref="P14:P45" si="2">IF(N14="","",N14+O14)</f>
        <v/>
      </c>
      <c r="Q14" s="65"/>
      <c r="R14" s="65"/>
      <c r="S14" s="66" t="str">
        <f t="shared" ref="S14:S45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/>
      <c r="Z14"/>
      <c r="AA14"/>
      <c r="AB14"/>
      <c r="AC14"/>
      <c r="AD14"/>
    </row>
    <row r="15" spans="1:30" s="69" customFormat="1" ht="18" customHeight="1">
      <c r="A15" s="62"/>
      <c r="B15" s="116">
        <v>2</v>
      </c>
      <c r="C15" s="155" t="s">
        <v>1467</v>
      </c>
      <c r="D15" s="264">
        <v>6200</v>
      </c>
      <c r="E15" s="237" t="s">
        <v>1382</v>
      </c>
      <c r="F15" s="275">
        <v>60192</v>
      </c>
      <c r="G15" s="154" t="s">
        <v>1379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/>
      <c r="Z15"/>
      <c r="AA15"/>
      <c r="AB15" t="s">
        <v>641</v>
      </c>
      <c r="AC15">
        <v>58347</v>
      </c>
      <c r="AD15" t="s">
        <v>841</v>
      </c>
    </row>
    <row r="16" spans="1:30" s="69" customFormat="1" ht="18" customHeight="1">
      <c r="A16" s="62" t="s">
        <v>1419</v>
      </c>
      <c r="B16" s="116">
        <v>3</v>
      </c>
      <c r="C16" s="155" t="s">
        <v>1407</v>
      </c>
      <c r="D16" s="264">
        <v>26433</v>
      </c>
      <c r="E16" s="241" t="s">
        <v>1376</v>
      </c>
      <c r="F16" s="271">
        <v>61240</v>
      </c>
      <c r="G16" s="157" t="s">
        <v>1373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/>
      <c r="Z16"/>
      <c r="AA16"/>
      <c r="AB16" t="s">
        <v>789</v>
      </c>
      <c r="AC16">
        <v>58659</v>
      </c>
      <c r="AD16" t="s">
        <v>788</v>
      </c>
    </row>
    <row r="17" spans="1:30" s="69" customFormat="1" ht="18" customHeight="1">
      <c r="A17" s="62"/>
      <c r="B17" s="116">
        <v>4</v>
      </c>
      <c r="C17" s="178" t="s">
        <v>1157</v>
      </c>
      <c r="D17" s="303">
        <v>32787</v>
      </c>
      <c r="E17" s="181" t="s">
        <v>641</v>
      </c>
      <c r="F17" s="304">
        <v>58347</v>
      </c>
      <c r="G17" s="157" t="s">
        <v>1393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/>
      <c r="AC17"/>
      <c r="AD17"/>
    </row>
    <row r="18" spans="1:30" s="69" customFormat="1" ht="18" customHeight="1">
      <c r="A18" s="62"/>
      <c r="B18" s="116">
        <v>5</v>
      </c>
      <c r="C18" s="245" t="s">
        <v>1468</v>
      </c>
      <c r="D18" s="303" t="s">
        <v>1324</v>
      </c>
      <c r="E18" s="243" t="s">
        <v>1469</v>
      </c>
      <c r="F18" s="305">
        <v>57863</v>
      </c>
      <c r="G18" s="244" t="s">
        <v>1397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/>
      <c r="Z18"/>
      <c r="AA18"/>
      <c r="AB18"/>
      <c r="AC18"/>
      <c r="AD18"/>
    </row>
    <row r="19" spans="1:30" s="69" customFormat="1" ht="18" customHeight="1">
      <c r="A19" s="62"/>
      <c r="B19" s="116">
        <v>6</v>
      </c>
      <c r="C19" s="125" t="s">
        <v>1470</v>
      </c>
      <c r="D19" s="265" t="s">
        <v>1324</v>
      </c>
      <c r="E19" s="236" t="s">
        <v>1458</v>
      </c>
      <c r="F19" s="305" t="s">
        <v>1324</v>
      </c>
      <c r="G19" s="200" t="s">
        <v>1373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 t="s">
        <v>1158</v>
      </c>
      <c r="Z19">
        <v>31690</v>
      </c>
      <c r="AA19" t="s">
        <v>838</v>
      </c>
      <c r="AB19" t="s">
        <v>655</v>
      </c>
      <c r="AC19">
        <v>59650</v>
      </c>
      <c r="AD19" t="s">
        <v>840</v>
      </c>
    </row>
    <row r="20" spans="1:30" s="69" customFormat="1" ht="18" customHeight="1">
      <c r="A20" s="62"/>
      <c r="B20" s="116">
        <v>7</v>
      </c>
      <c r="C20" s="155" t="s">
        <v>1321</v>
      </c>
      <c r="D20" s="265">
        <v>31486</v>
      </c>
      <c r="E20" s="243" t="s">
        <v>1322</v>
      </c>
      <c r="F20" s="304">
        <v>60672</v>
      </c>
      <c r="G20" s="244" t="s">
        <v>1318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 t="s">
        <v>1157</v>
      </c>
      <c r="Z20">
        <v>32787</v>
      </c>
      <c r="AA20" t="s">
        <v>837</v>
      </c>
      <c r="AB20"/>
      <c r="AC20"/>
      <c r="AD20"/>
    </row>
    <row r="21" spans="1:30" s="69" customFormat="1" ht="18" customHeight="1">
      <c r="A21" s="62"/>
      <c r="B21" s="116">
        <v>8</v>
      </c>
      <c r="C21" s="155" t="s">
        <v>1471</v>
      </c>
      <c r="D21" s="265" t="s">
        <v>1324</v>
      </c>
      <c r="E21" s="237" t="s">
        <v>1375</v>
      </c>
      <c r="F21" s="275" t="s">
        <v>1324</v>
      </c>
      <c r="G21" s="127" t="s">
        <v>1373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 t="s">
        <v>1086</v>
      </c>
      <c r="Z21">
        <v>32398</v>
      </c>
      <c r="AA21" t="s">
        <v>712</v>
      </c>
      <c r="AB21"/>
      <c r="AC21"/>
      <c r="AD21"/>
    </row>
    <row r="22" spans="1:30" s="69" customFormat="1" ht="18" customHeight="1">
      <c r="A22" s="62"/>
      <c r="B22" s="116">
        <v>9</v>
      </c>
      <c r="C22" s="120" t="s">
        <v>1466</v>
      </c>
      <c r="D22" s="265" t="s">
        <v>1324</v>
      </c>
      <c r="E22" s="239" t="s">
        <v>1382</v>
      </c>
      <c r="F22" s="265">
        <v>60192</v>
      </c>
      <c r="G22" s="122" t="s">
        <v>1379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 t="s">
        <v>1159</v>
      </c>
      <c r="Z22">
        <v>33053</v>
      </c>
      <c r="AA22" t="s">
        <v>839</v>
      </c>
      <c r="AB22"/>
      <c r="AC22"/>
      <c r="AD22"/>
    </row>
    <row r="23" spans="1:30" s="69" customFormat="1" ht="18" customHeight="1">
      <c r="A23" s="62"/>
      <c r="B23" s="116">
        <v>10</v>
      </c>
      <c r="C23" s="125" t="s">
        <v>1472</v>
      </c>
      <c r="D23" s="265" t="s">
        <v>1324</v>
      </c>
      <c r="E23" s="242" t="s">
        <v>1376</v>
      </c>
      <c r="F23" s="282">
        <v>61240</v>
      </c>
      <c r="G23" s="121" t="s">
        <v>1373</v>
      </c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 t="s">
        <v>1083</v>
      </c>
      <c r="Z23">
        <v>32929</v>
      </c>
      <c r="AA23" t="s">
        <v>709</v>
      </c>
      <c r="AB23" t="s">
        <v>676</v>
      </c>
      <c r="AC23">
        <v>59796</v>
      </c>
      <c r="AD23" t="s">
        <v>787</v>
      </c>
    </row>
    <row r="24" spans="1:30" s="69" customFormat="1" ht="18" customHeight="1">
      <c r="A24" s="62"/>
      <c r="B24" s="116">
        <v>11</v>
      </c>
      <c r="C24" s="120" t="s">
        <v>1446</v>
      </c>
      <c r="D24" s="265" t="s">
        <v>1324</v>
      </c>
      <c r="E24" s="151" t="s">
        <v>641</v>
      </c>
      <c r="F24" s="265">
        <v>58347</v>
      </c>
      <c r="G24" s="307" t="s">
        <v>1393</v>
      </c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 t="s">
        <v>659</v>
      </c>
      <c r="Z24">
        <v>12159</v>
      </c>
      <c r="AA24" t="s">
        <v>836</v>
      </c>
      <c r="AB24"/>
      <c r="AC24"/>
      <c r="AD24"/>
    </row>
    <row r="25" spans="1:30" s="69" customFormat="1" ht="18" customHeight="1">
      <c r="A25" s="62"/>
      <c r="B25" s="116">
        <v>12</v>
      </c>
      <c r="C25" s="125" t="s">
        <v>1473</v>
      </c>
      <c r="D25" s="265" t="s">
        <v>1324</v>
      </c>
      <c r="E25" s="125" t="s">
        <v>1474</v>
      </c>
      <c r="F25" s="271" t="s">
        <v>1324</v>
      </c>
      <c r="G25" s="122" t="s">
        <v>1363</v>
      </c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 t="s">
        <v>1085</v>
      </c>
      <c r="Z25">
        <v>31710</v>
      </c>
      <c r="AA25" t="s">
        <v>711</v>
      </c>
      <c r="AB25"/>
      <c r="AC25"/>
      <c r="AD25"/>
    </row>
    <row r="26" spans="1:30" s="69" customFormat="1" ht="18" customHeight="1">
      <c r="A26" s="62"/>
      <c r="B26" s="116">
        <v>13</v>
      </c>
      <c r="C26" s="125" t="s">
        <v>1426</v>
      </c>
      <c r="D26" s="265" t="s">
        <v>1324</v>
      </c>
      <c r="E26" s="125" t="s">
        <v>1377</v>
      </c>
      <c r="F26" s="271">
        <v>58308</v>
      </c>
      <c r="G26" s="122" t="s">
        <v>1379</v>
      </c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e">
        <f>IF($C26="","",VLOOKUP($C26,#REF!,4,FALSE))</f>
        <v>#REF!</v>
      </c>
      <c r="W26" s="72" t="e">
        <f>IF($E26="","",VLOOKUP($E26,#REF!,4,FALSE))</f>
        <v>#REF!</v>
      </c>
      <c r="Y26" t="s">
        <v>670</v>
      </c>
      <c r="Z26">
        <v>23529</v>
      </c>
      <c r="AA26" t="s">
        <v>708</v>
      </c>
      <c r="AB26"/>
      <c r="AC26"/>
      <c r="AD26"/>
    </row>
    <row r="27" spans="1:30" s="69" customFormat="1" ht="18" customHeight="1">
      <c r="A27" s="62"/>
      <c r="B27" s="116">
        <v>14</v>
      </c>
      <c r="C27" s="125" t="s">
        <v>1475</v>
      </c>
      <c r="D27" s="265">
        <v>31292</v>
      </c>
      <c r="E27" s="125" t="s">
        <v>1476</v>
      </c>
      <c r="F27" s="271">
        <v>50565</v>
      </c>
      <c r="G27" s="122" t="s">
        <v>1477</v>
      </c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e">
        <f>IF($C27="","",VLOOKUP($C27,#REF!,4,FALSE))</f>
        <v>#REF!</v>
      </c>
      <c r="W27" s="72" t="e">
        <f>IF($E27="","",VLOOKUP($E27,#REF!,4,FALSE))</f>
        <v>#REF!</v>
      </c>
      <c r="Y27" t="s">
        <v>1081</v>
      </c>
      <c r="Z27">
        <v>30169</v>
      </c>
      <c r="AA27" t="s">
        <v>706</v>
      </c>
      <c r="AB27"/>
      <c r="AC27"/>
      <c r="AD27"/>
    </row>
    <row r="28" spans="1:30" s="69" customFormat="1" ht="18" customHeight="1">
      <c r="A28" s="62"/>
      <c r="B28" s="116">
        <v>15</v>
      </c>
      <c r="C28" s="121" t="s">
        <v>1478</v>
      </c>
      <c r="D28" s="278" t="s">
        <v>1324</v>
      </c>
      <c r="E28" s="148" t="s" ph="1">
        <v>1375</v>
      </c>
      <c r="F28" s="282" t="s">
        <v>1324</v>
      </c>
      <c r="G28" s="167" t="s">
        <v>1373</v>
      </c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e">
        <f>IF($C28="","",VLOOKUP($C28,#REF!,4,FALSE))</f>
        <v>#REF!</v>
      </c>
      <c r="W28" s="72" t="e">
        <f>IF($E28="","",VLOOKUP($E28,#REF!,4,FALSE))</f>
        <v>#REF!</v>
      </c>
      <c r="Y28" t="s">
        <v>1084</v>
      </c>
      <c r="Z28">
        <v>33250</v>
      </c>
      <c r="AA28" t="s">
        <v>710</v>
      </c>
      <c r="AB28" t="s">
        <v>219</v>
      </c>
      <c r="AC28">
        <v>55129</v>
      </c>
      <c r="AD28" t="s">
        <v>790</v>
      </c>
    </row>
    <row r="29" spans="1:30" s="69" customFormat="1" ht="18" customHeight="1">
      <c r="A29" s="62" t="s">
        <v>1465</v>
      </c>
      <c r="B29" s="116">
        <v>16</v>
      </c>
      <c r="C29" s="125" t="s">
        <v>1479</v>
      </c>
      <c r="D29" s="265">
        <v>33226</v>
      </c>
      <c r="E29" s="125" t="s">
        <v>1360</v>
      </c>
      <c r="F29" s="271">
        <v>61773</v>
      </c>
      <c r="G29" s="122" t="s">
        <v>1361</v>
      </c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e">
        <f>IF($C29="","",VLOOKUP($C29,#REF!,4,FALSE))</f>
        <v>#REF!</v>
      </c>
      <c r="W29" s="72" t="e">
        <f>IF($E29="","",VLOOKUP($E29,#REF!,4,FALSE))</f>
        <v>#REF!</v>
      </c>
      <c r="Y29"/>
      <c r="Z29"/>
      <c r="AA29"/>
      <c r="AB29"/>
      <c r="AC29"/>
      <c r="AD29"/>
    </row>
    <row r="30" spans="1:30" s="69" customFormat="1" ht="18" customHeight="1">
      <c r="A30" s="62" t="s">
        <v>1465</v>
      </c>
      <c r="B30" s="116">
        <v>17</v>
      </c>
      <c r="C30" s="125" t="s">
        <v>1480</v>
      </c>
      <c r="D30" s="265">
        <v>32214</v>
      </c>
      <c r="E30" s="125" t="s">
        <v>1334</v>
      </c>
      <c r="F30" s="271" t="s">
        <v>1324</v>
      </c>
      <c r="G30" s="122" t="s">
        <v>1335</v>
      </c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e">
        <f>IF($C30="","",VLOOKUP($C30,#REF!,4,FALSE))</f>
        <v>#REF!</v>
      </c>
      <c r="W30" s="72" t="e">
        <f>IF($E30="","",VLOOKUP($E30,#REF!,4,FALSE))</f>
        <v>#REF!</v>
      </c>
      <c r="Y30"/>
      <c r="Z30"/>
      <c r="AA30"/>
      <c r="AB30"/>
      <c r="AC30"/>
      <c r="AD30"/>
    </row>
    <row r="31" spans="1:30" s="69" customFormat="1" ht="18" customHeight="1">
      <c r="A31" s="62"/>
      <c r="B31" s="116">
        <v>18</v>
      </c>
      <c r="C31" s="125"/>
      <c r="D31" s="265"/>
      <c r="E31" s="161"/>
      <c r="F31" s="275"/>
      <c r="G31" s="127"/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str">
        <f>IF($C31="","",VLOOKUP($C31,#REF!,4,FALSE))</f>
        <v/>
      </c>
      <c r="W31" s="72" t="str">
        <f>IF($E31="","",VLOOKUP($E31,#REF!,4,FALSE))</f>
        <v/>
      </c>
      <c r="Y31"/>
      <c r="Z31"/>
      <c r="AA31"/>
      <c r="AB31"/>
      <c r="AC31"/>
      <c r="AD31"/>
    </row>
    <row r="32" spans="1:30" s="69" customFormat="1" ht="18" customHeight="1">
      <c r="A32" s="62"/>
      <c r="B32" s="116">
        <v>19</v>
      </c>
      <c r="C32" s="125"/>
      <c r="D32" s="265"/>
      <c r="E32" s="160"/>
      <c r="F32" s="275"/>
      <c r="G32" s="161"/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str">
        <f>IF($C32="","",VLOOKUP($C32,#REF!,4,FALSE))</f>
        <v/>
      </c>
      <c r="W32" s="72" t="str">
        <f>IF($E32="","",VLOOKUP($E32,#REF!,4,FALSE))</f>
        <v/>
      </c>
      <c r="Y32"/>
      <c r="Z32"/>
      <c r="AA32"/>
      <c r="AB32"/>
      <c r="AC32"/>
      <c r="AD32"/>
    </row>
    <row r="33" spans="1:30" s="69" customFormat="1" ht="18" customHeight="1">
      <c r="A33" s="62"/>
      <c r="B33" s="116">
        <v>20</v>
      </c>
      <c r="C33" s="125"/>
      <c r="D33" s="265"/>
      <c r="E33" s="125"/>
      <c r="F33" s="271"/>
      <c r="G33" s="122"/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Y33"/>
      <c r="Z33"/>
      <c r="AA33"/>
      <c r="AB33"/>
      <c r="AC33"/>
      <c r="AD33"/>
    </row>
    <row r="34" spans="1:30" s="69" customFormat="1" ht="18" customHeight="1">
      <c r="A34" s="62"/>
      <c r="B34" s="116">
        <v>21</v>
      </c>
      <c r="C34" s="125"/>
      <c r="D34" s="265"/>
      <c r="E34" s="125"/>
      <c r="F34" s="271"/>
      <c r="G34" s="122"/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Y34"/>
      <c r="Z34"/>
      <c r="AA34"/>
      <c r="AB34"/>
      <c r="AC34"/>
      <c r="AD34"/>
    </row>
    <row r="35" spans="1:30" s="69" customFormat="1" ht="18" customHeight="1">
      <c r="A35" s="62"/>
      <c r="B35" s="116">
        <v>22</v>
      </c>
      <c r="C35" s="120"/>
      <c r="D35" s="282"/>
      <c r="E35" s="151"/>
      <c r="F35" s="282"/>
      <c r="G35" s="120"/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Y35"/>
      <c r="Z35"/>
      <c r="AA35"/>
      <c r="AB35"/>
      <c r="AC35"/>
      <c r="AD35"/>
    </row>
    <row r="36" spans="1:30" s="69" customFormat="1" ht="18" customHeight="1">
      <c r="A36" s="62"/>
      <c r="B36" s="116">
        <v>23</v>
      </c>
      <c r="C36" s="125"/>
      <c r="D36" s="265"/>
      <c r="E36" s="125"/>
      <c r="F36" s="271"/>
      <c r="G36" s="122"/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Y36"/>
      <c r="Z36"/>
      <c r="AA36"/>
      <c r="AB36"/>
      <c r="AC36"/>
      <c r="AD36"/>
    </row>
    <row r="37" spans="1:30" s="69" customFormat="1" ht="18" customHeight="1">
      <c r="A37" s="62"/>
      <c r="B37" s="116">
        <v>24</v>
      </c>
      <c r="C37" s="125"/>
      <c r="D37" s="265"/>
      <c r="E37" s="125"/>
      <c r="F37" s="271"/>
      <c r="G37" s="122"/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Y37"/>
      <c r="Z37"/>
      <c r="AA37"/>
      <c r="AB37"/>
      <c r="AC37"/>
      <c r="AD37"/>
    </row>
    <row r="38" spans="1:30" s="69" customFormat="1" ht="18" customHeight="1">
      <c r="A38" s="62"/>
      <c r="B38" s="116">
        <v>25</v>
      </c>
      <c r="C38" s="125"/>
      <c r="D38" s="265"/>
      <c r="E38" s="125"/>
      <c r="F38" s="271"/>
      <c r="G38" s="122"/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Y38"/>
      <c r="Z38"/>
      <c r="AA38"/>
      <c r="AB38"/>
      <c r="AC38"/>
      <c r="AD38"/>
    </row>
    <row r="39" spans="1:30" s="69" customFormat="1" ht="18" customHeight="1">
      <c r="A39" s="62"/>
      <c r="B39" s="116">
        <v>26</v>
      </c>
      <c r="C39" s="125"/>
      <c r="D39" s="265"/>
      <c r="E39" s="153"/>
      <c r="F39" s="270"/>
      <c r="G39" s="154"/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Y39"/>
      <c r="Z39"/>
      <c r="AA39"/>
      <c r="AB39"/>
      <c r="AC39"/>
      <c r="AD39"/>
    </row>
    <row r="40" spans="1:30" s="69" customFormat="1" ht="18" customHeight="1">
      <c r="A40" s="62"/>
      <c r="B40" s="116">
        <v>27</v>
      </c>
      <c r="C40" s="120"/>
      <c r="D40" s="300"/>
      <c r="E40" s="151"/>
      <c r="F40" s="301"/>
      <c r="G40" s="120"/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116">
        <v>28</v>
      </c>
      <c r="C41" s="125"/>
      <c r="D41" s="265"/>
      <c r="E41" s="125"/>
      <c r="F41" s="271"/>
      <c r="G41" s="122"/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/>
      <c r="Z41"/>
      <c r="AA41"/>
      <c r="AB41"/>
      <c r="AC41"/>
      <c r="AD41"/>
    </row>
    <row r="42" spans="1:30" s="69" customFormat="1" ht="18" customHeight="1">
      <c r="A42" s="62"/>
      <c r="B42" s="116">
        <v>29</v>
      </c>
      <c r="C42" s="125"/>
      <c r="D42" s="265"/>
      <c r="E42" s="125"/>
      <c r="F42" s="271"/>
      <c r="G42" s="122"/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/>
      <c r="Z42"/>
      <c r="AA42"/>
      <c r="AB42"/>
      <c r="AC42"/>
      <c r="AD42"/>
    </row>
    <row r="43" spans="1:30" s="69" customFormat="1" ht="18" customHeight="1">
      <c r="A43" s="62"/>
      <c r="B43" s="116">
        <v>30</v>
      </c>
      <c r="C43" s="125"/>
      <c r="D43" s="265"/>
      <c r="E43" s="156"/>
      <c r="F43" s="270"/>
      <c r="G43" s="153"/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116">
        <v>31</v>
      </c>
      <c r="C44" s="125"/>
      <c r="D44" s="265"/>
      <c r="E44" s="153"/>
      <c r="F44" s="270"/>
      <c r="G44" s="154"/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116">
        <v>32</v>
      </c>
      <c r="C45" s="125"/>
      <c r="D45" s="265"/>
      <c r="E45" s="156"/>
      <c r="F45" s="270"/>
      <c r="G45" s="163"/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116">
        <v>33</v>
      </c>
      <c r="C46" s="120"/>
      <c r="D46" s="300"/>
      <c r="E46" s="124"/>
      <c r="F46" s="306"/>
      <c r="G46" s="166"/>
      <c r="H46" s="23"/>
      <c r="I46" s="23"/>
      <c r="J46" s="64" t="str">
        <f t="shared" ref="J46:J73" si="4">IF(H46="","",H46+I46)</f>
        <v/>
      </c>
      <c r="K46" s="65"/>
      <c r="L46" s="65"/>
      <c r="M46" s="66" t="str">
        <f t="shared" ref="M46:M73" si="5">IF(L46="","",K46+L46)</f>
        <v/>
      </c>
      <c r="N46" s="23"/>
      <c r="O46" s="23"/>
      <c r="P46" s="64" t="str">
        <f t="shared" ref="P46:P73" si="6">IF(N46="","",N46+O46)</f>
        <v/>
      </c>
      <c r="Q46" s="65"/>
      <c r="R46" s="65"/>
      <c r="S46" s="66" t="str">
        <f t="shared" ref="S46:S73" si="7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</row>
    <row r="47" spans="1:30" s="69" customFormat="1" ht="18" customHeight="1">
      <c r="A47" s="62"/>
      <c r="B47" s="116">
        <v>34</v>
      </c>
      <c r="C47" s="125"/>
      <c r="D47" s="265"/>
      <c r="E47" s="155"/>
      <c r="F47" s="274"/>
      <c r="G47" s="152"/>
      <c r="H47" s="23"/>
      <c r="I47" s="23"/>
      <c r="J47" s="64" t="str">
        <f t="shared" si="4"/>
        <v/>
      </c>
      <c r="K47" s="65"/>
      <c r="L47" s="65"/>
      <c r="M47" s="66" t="str">
        <f t="shared" si="5"/>
        <v/>
      </c>
      <c r="N47" s="23"/>
      <c r="O47" s="23"/>
      <c r="P47" s="64" t="str">
        <f t="shared" si="6"/>
        <v/>
      </c>
      <c r="Q47" s="65"/>
      <c r="R47" s="65"/>
      <c r="S47" s="66" t="str">
        <f t="shared" si="7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116">
        <v>35</v>
      </c>
      <c r="C48" s="125"/>
      <c r="D48" s="265"/>
      <c r="E48" s="155"/>
      <c r="F48" s="274"/>
      <c r="G48" s="157"/>
      <c r="H48" s="23"/>
      <c r="I48" s="23"/>
      <c r="J48" s="64" t="str">
        <f t="shared" si="4"/>
        <v/>
      </c>
      <c r="K48" s="65"/>
      <c r="L48" s="65"/>
      <c r="M48" s="66" t="str">
        <f t="shared" si="5"/>
        <v/>
      </c>
      <c r="N48" s="23"/>
      <c r="O48" s="23"/>
      <c r="P48" s="64" t="str">
        <f t="shared" si="6"/>
        <v/>
      </c>
      <c r="Q48" s="65"/>
      <c r="R48" s="65"/>
      <c r="S48" s="66" t="str">
        <f t="shared" si="7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116">
        <v>36</v>
      </c>
      <c r="C49" s="125"/>
      <c r="D49" s="265"/>
      <c r="E49" s="125"/>
      <c r="F49" s="271"/>
      <c r="G49" s="122"/>
      <c r="H49" s="23"/>
      <c r="I49" s="23"/>
      <c r="J49" s="64" t="str">
        <f t="shared" si="4"/>
        <v/>
      </c>
      <c r="K49" s="65"/>
      <c r="L49" s="65"/>
      <c r="M49" s="66" t="str">
        <f t="shared" si="5"/>
        <v/>
      </c>
      <c r="N49" s="23"/>
      <c r="O49" s="23"/>
      <c r="P49" s="64" t="str">
        <f t="shared" si="6"/>
        <v/>
      </c>
      <c r="Q49" s="65"/>
      <c r="R49" s="65"/>
      <c r="S49" s="66" t="str">
        <f t="shared" si="7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116">
        <v>37</v>
      </c>
      <c r="C50" s="125"/>
      <c r="D50" s="265"/>
      <c r="E50" s="125"/>
      <c r="F50" s="271"/>
      <c r="G50" s="122"/>
      <c r="H50" s="23"/>
      <c r="I50" s="23"/>
      <c r="J50" s="64" t="str">
        <f t="shared" si="4"/>
        <v/>
      </c>
      <c r="K50" s="65"/>
      <c r="L50" s="65"/>
      <c r="M50" s="66" t="str">
        <f t="shared" si="5"/>
        <v/>
      </c>
      <c r="N50" s="23"/>
      <c r="O50" s="23"/>
      <c r="P50" s="64" t="str">
        <f t="shared" si="6"/>
        <v/>
      </c>
      <c r="Q50" s="65"/>
      <c r="R50" s="65"/>
      <c r="S50" s="66" t="str">
        <f t="shared" si="7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116">
        <v>38</v>
      </c>
      <c r="C51" s="125"/>
      <c r="D51" s="265"/>
      <c r="E51" s="125"/>
      <c r="F51" s="271"/>
      <c r="G51" s="122"/>
      <c r="H51" s="23"/>
      <c r="I51" s="23"/>
      <c r="J51" s="64" t="str">
        <f t="shared" si="4"/>
        <v/>
      </c>
      <c r="K51" s="65"/>
      <c r="L51" s="65"/>
      <c r="M51" s="66" t="str">
        <f t="shared" si="5"/>
        <v/>
      </c>
      <c r="N51" s="23"/>
      <c r="O51" s="23"/>
      <c r="P51" s="64" t="str">
        <f t="shared" si="6"/>
        <v/>
      </c>
      <c r="Q51" s="65"/>
      <c r="R51" s="65"/>
      <c r="S51" s="66" t="str">
        <f t="shared" si="7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116">
        <v>39</v>
      </c>
      <c r="C52" s="125"/>
      <c r="D52" s="265"/>
      <c r="E52" s="125"/>
      <c r="F52" s="271"/>
      <c r="G52" s="122"/>
      <c r="H52" s="23"/>
      <c r="I52" s="23"/>
      <c r="J52" s="64" t="str">
        <f t="shared" si="4"/>
        <v/>
      </c>
      <c r="K52" s="65"/>
      <c r="L52" s="65"/>
      <c r="M52" s="66" t="str">
        <f t="shared" si="5"/>
        <v/>
      </c>
      <c r="N52" s="23"/>
      <c r="O52" s="23"/>
      <c r="P52" s="64" t="str">
        <f t="shared" si="6"/>
        <v/>
      </c>
      <c r="Q52" s="65"/>
      <c r="R52" s="65"/>
      <c r="S52" s="66" t="str">
        <f t="shared" si="7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116">
        <v>40</v>
      </c>
      <c r="C53" s="125"/>
      <c r="D53" s="265"/>
      <c r="E53" s="125"/>
      <c r="F53" s="271"/>
      <c r="G53" s="122"/>
      <c r="H53" s="23"/>
      <c r="I53" s="23"/>
      <c r="J53" s="64" t="str">
        <f t="shared" si="4"/>
        <v/>
      </c>
      <c r="K53" s="65"/>
      <c r="L53" s="65"/>
      <c r="M53" s="66" t="str">
        <f t="shared" si="5"/>
        <v/>
      </c>
      <c r="N53" s="23"/>
      <c r="O53" s="23"/>
      <c r="P53" s="64" t="str">
        <f t="shared" si="6"/>
        <v/>
      </c>
      <c r="Q53" s="65"/>
      <c r="R53" s="65"/>
      <c r="S53" s="66" t="str">
        <f t="shared" si="7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116">
        <v>41</v>
      </c>
      <c r="C54" s="125"/>
      <c r="D54" s="265"/>
      <c r="E54" s="125"/>
      <c r="F54" s="271"/>
      <c r="G54" s="122"/>
      <c r="H54" s="23"/>
      <c r="I54" s="23"/>
      <c r="J54" s="64" t="str">
        <f t="shared" si="4"/>
        <v/>
      </c>
      <c r="K54" s="65"/>
      <c r="L54" s="65"/>
      <c r="M54" s="66" t="str">
        <f t="shared" si="5"/>
        <v/>
      </c>
      <c r="N54" s="23"/>
      <c r="O54" s="23"/>
      <c r="P54" s="64" t="str">
        <f t="shared" si="6"/>
        <v/>
      </c>
      <c r="Q54" s="65"/>
      <c r="R54" s="65"/>
      <c r="S54" s="66" t="str">
        <f t="shared" si="7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116">
        <v>42</v>
      </c>
      <c r="C55" s="125"/>
      <c r="D55" s="265"/>
      <c r="E55" s="125"/>
      <c r="F55" s="271"/>
      <c r="G55" s="122"/>
      <c r="H55" s="23"/>
      <c r="I55" s="23"/>
      <c r="J55" s="64" t="str">
        <f t="shared" si="4"/>
        <v/>
      </c>
      <c r="K55" s="65"/>
      <c r="L55" s="65"/>
      <c r="M55" s="66" t="str">
        <f t="shared" si="5"/>
        <v/>
      </c>
      <c r="N55" s="23"/>
      <c r="O55" s="23"/>
      <c r="P55" s="64" t="str">
        <f t="shared" si="6"/>
        <v/>
      </c>
      <c r="Q55" s="65"/>
      <c r="R55" s="65"/>
      <c r="S55" s="66" t="str">
        <f t="shared" si="7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116">
        <v>43</v>
      </c>
      <c r="C56" s="125"/>
      <c r="D56" s="265"/>
      <c r="E56" s="125"/>
      <c r="F56" s="271"/>
      <c r="G56" s="122"/>
      <c r="H56" s="23"/>
      <c r="I56" s="23"/>
      <c r="J56" s="64" t="str">
        <f t="shared" si="4"/>
        <v/>
      </c>
      <c r="K56" s="65"/>
      <c r="L56" s="65"/>
      <c r="M56" s="66" t="str">
        <f t="shared" si="5"/>
        <v/>
      </c>
      <c r="N56" s="23"/>
      <c r="O56" s="23"/>
      <c r="P56" s="64" t="str">
        <f t="shared" si="6"/>
        <v/>
      </c>
      <c r="Q56" s="65"/>
      <c r="R56" s="65"/>
      <c r="S56" s="66" t="str">
        <f t="shared" si="7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116">
        <v>44</v>
      </c>
      <c r="C57" s="125"/>
      <c r="D57" s="265"/>
      <c r="E57" s="125"/>
      <c r="F57" s="271"/>
      <c r="G57" s="122"/>
      <c r="H57" s="23"/>
      <c r="I57" s="23"/>
      <c r="J57" s="64" t="str">
        <f t="shared" si="4"/>
        <v/>
      </c>
      <c r="K57" s="65"/>
      <c r="L57" s="65"/>
      <c r="M57" s="66" t="str">
        <f t="shared" si="5"/>
        <v/>
      </c>
      <c r="N57" s="23"/>
      <c r="O57" s="23"/>
      <c r="P57" s="64" t="str">
        <f t="shared" si="6"/>
        <v/>
      </c>
      <c r="Q57" s="65"/>
      <c r="R57" s="65"/>
      <c r="S57" s="66" t="str">
        <f t="shared" si="7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116">
        <v>45</v>
      </c>
      <c r="C58" s="125"/>
      <c r="D58" s="265"/>
      <c r="E58" s="125"/>
      <c r="F58" s="271"/>
      <c r="G58" s="122"/>
      <c r="H58" s="23"/>
      <c r="I58" s="23"/>
      <c r="J58" s="64" t="str">
        <f t="shared" si="4"/>
        <v/>
      </c>
      <c r="K58" s="65"/>
      <c r="L58" s="65"/>
      <c r="M58" s="66" t="str">
        <f t="shared" si="5"/>
        <v/>
      </c>
      <c r="N58" s="23"/>
      <c r="O58" s="23"/>
      <c r="P58" s="64" t="str">
        <f t="shared" si="6"/>
        <v/>
      </c>
      <c r="Q58" s="65"/>
      <c r="R58" s="65"/>
      <c r="S58" s="66" t="str">
        <f t="shared" si="7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/>
      <c r="C59" s="125"/>
      <c r="D59" s="265"/>
      <c r="E59" s="125"/>
      <c r="F59" s="271"/>
      <c r="G59" s="122"/>
      <c r="H59" s="23"/>
      <c r="I59" s="23"/>
      <c r="J59" s="64" t="str">
        <f t="shared" si="4"/>
        <v/>
      </c>
      <c r="K59" s="65"/>
      <c r="L59" s="65"/>
      <c r="M59" s="66" t="str">
        <f t="shared" si="5"/>
        <v/>
      </c>
      <c r="N59" s="23"/>
      <c r="O59" s="23"/>
      <c r="P59" s="64" t="str">
        <f t="shared" si="6"/>
        <v/>
      </c>
      <c r="Q59" s="65"/>
      <c r="R59" s="65"/>
      <c r="S59" s="66" t="str">
        <f t="shared" si="7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/>
      <c r="C60" s="125"/>
      <c r="D60" s="265"/>
      <c r="E60" s="125"/>
      <c r="F60" s="271"/>
      <c r="G60" s="122"/>
      <c r="H60" s="23"/>
      <c r="I60" s="23"/>
      <c r="J60" s="64" t="str">
        <f t="shared" si="4"/>
        <v/>
      </c>
      <c r="K60" s="65"/>
      <c r="L60" s="65"/>
      <c r="M60" s="66" t="str">
        <f t="shared" si="5"/>
        <v/>
      </c>
      <c r="N60" s="23"/>
      <c r="O60" s="23"/>
      <c r="P60" s="64" t="str">
        <f t="shared" si="6"/>
        <v/>
      </c>
      <c r="Q60" s="65"/>
      <c r="R60" s="65"/>
      <c r="S60" s="66" t="str">
        <f t="shared" si="7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/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/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/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/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/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/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/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/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/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/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/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/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/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/>
      <c r="E201" s="71" ph="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30" ht="18" customHeight="1">
      <c r="C209" s="21"/>
      <c r="E209" s="71"/>
      <c r="G209" s="79"/>
    </row>
    <row r="210" spans="3:30" ht="18" customHeight="1">
      <c r="C210" s="21"/>
      <c r="E210" s="71"/>
      <c r="G210" s="79"/>
    </row>
    <row r="211" spans="3:30" ht="18" customHeight="1">
      <c r="C211" s="21"/>
      <c r="E211" s="71"/>
      <c r="G211" s="79"/>
    </row>
    <row r="212" spans="3:30" ht="18" customHeight="1">
      <c r="C212" s="21"/>
      <c r="E212" s="71"/>
      <c r="G212" s="79"/>
    </row>
    <row r="213" spans="3:30" ht="18" customHeight="1">
      <c r="C213" s="21"/>
      <c r="E213" s="71"/>
      <c r="G213" s="79"/>
    </row>
    <row r="214" spans="3:30" ht="18" customHeight="1">
      <c r="C214" s="79" t="s">
        <v>151</v>
      </c>
      <c r="E214" s="80" t="s">
        <v>269</v>
      </c>
      <c r="G214" s="79" t="s">
        <v>148</v>
      </c>
    </row>
    <row r="215" spans="3:30" ht="18" customHeight="1">
      <c r="C215" s="79" t="s">
        <v>147</v>
      </c>
      <c r="E215" s="71" t="s">
        <v>264</v>
      </c>
      <c r="G215" s="79" t="s">
        <v>148</v>
      </c>
      <c r="Y215" t="s">
        <v>1087</v>
      </c>
      <c r="Z215">
        <v>306</v>
      </c>
      <c r="AA215" t="s">
        <v>713</v>
      </c>
      <c r="AB215" t="s">
        <v>792</v>
      </c>
      <c r="AC215">
        <v>56795</v>
      </c>
      <c r="AD215" t="s">
        <v>791</v>
      </c>
    </row>
    <row r="216" spans="3:30" ht="18" customHeight="1">
      <c r="C216" s="79" t="s">
        <v>149</v>
      </c>
      <c r="E216" s="71" t="s">
        <v>268</v>
      </c>
      <c r="G216" s="79" t="s">
        <v>148</v>
      </c>
    </row>
    <row r="217" spans="3:30" ht="18" customHeight="1">
      <c r="C217" s="79" t="s">
        <v>150</v>
      </c>
      <c r="E217" s="71" t="s">
        <v>267</v>
      </c>
      <c r="G217" s="79" t="s">
        <v>148</v>
      </c>
      <c r="Y217" t="s">
        <v>1088</v>
      </c>
      <c r="Z217">
        <v>24426</v>
      </c>
      <c r="AA217" t="s">
        <v>714</v>
      </c>
    </row>
    <row r="218" spans="3:30" ht="18" customHeight="1">
      <c r="C218" s="79" t="s">
        <v>153</v>
      </c>
      <c r="E218" s="71" t="s">
        <v>266</v>
      </c>
      <c r="G218" s="79" t="s">
        <v>148</v>
      </c>
      <c r="Y218" t="s">
        <v>1089</v>
      </c>
      <c r="Z218">
        <v>29138</v>
      </c>
      <c r="AA218" t="s">
        <v>715</v>
      </c>
      <c r="AB218" t="s">
        <v>266</v>
      </c>
      <c r="AC218">
        <v>56009</v>
      </c>
      <c r="AD218" t="s">
        <v>793</v>
      </c>
    </row>
    <row r="219" spans="3:30" ht="18" customHeight="1">
      <c r="C219" s="79" t="s">
        <v>152</v>
      </c>
      <c r="E219" s="71" t="s">
        <v>265</v>
      </c>
      <c r="G219" s="79" t="s">
        <v>148</v>
      </c>
      <c r="Y219" t="s">
        <v>1090</v>
      </c>
      <c r="Z219">
        <v>29084</v>
      </c>
      <c r="AA219" t="s">
        <v>716</v>
      </c>
      <c r="AB219" t="s">
        <v>265</v>
      </c>
      <c r="AC219">
        <v>52862</v>
      </c>
      <c r="AD219" t="s">
        <v>794</v>
      </c>
    </row>
    <row r="220" spans="3:30" ht="18" customHeight="1">
      <c r="C220" s="79" t="s">
        <v>154</v>
      </c>
      <c r="E220" s="71"/>
      <c r="G220" s="79" t="s">
        <v>148</v>
      </c>
    </row>
    <row r="221" spans="3:30" ht="18" customHeight="1">
      <c r="C221" s="79" t="s">
        <v>122</v>
      </c>
      <c r="E221" s="71" t="s">
        <v>246</v>
      </c>
      <c r="G221" s="79" t="s">
        <v>123</v>
      </c>
      <c r="Y221" t="s">
        <v>1091</v>
      </c>
      <c r="Z221">
        <v>26463</v>
      </c>
      <c r="AA221" t="s">
        <v>717</v>
      </c>
      <c r="AB221" t="s">
        <v>246</v>
      </c>
      <c r="AC221">
        <v>53913</v>
      </c>
      <c r="AD221" t="s">
        <v>795</v>
      </c>
    </row>
    <row r="222" spans="3:30" ht="18" customHeight="1">
      <c r="C222" s="79" t="s">
        <v>204</v>
      </c>
      <c r="E222" s="71" t="s">
        <v>305</v>
      </c>
      <c r="G222" s="79" t="s">
        <v>311</v>
      </c>
      <c r="Y222" t="s">
        <v>1092</v>
      </c>
      <c r="Z222">
        <v>25436</v>
      </c>
      <c r="AA222" t="s">
        <v>718</v>
      </c>
      <c r="AB222" t="s">
        <v>305</v>
      </c>
      <c r="AC222">
        <v>56703</v>
      </c>
      <c r="AD222" t="s">
        <v>796</v>
      </c>
    </row>
    <row r="223" spans="3:30" ht="18" customHeight="1">
      <c r="C223" s="79" t="s">
        <v>312</v>
      </c>
      <c r="E223" s="71" t="s">
        <v>321</v>
      </c>
      <c r="G223" s="79" t="s">
        <v>313</v>
      </c>
      <c r="Y223" t="s">
        <v>1093</v>
      </c>
      <c r="Z223">
        <v>5901</v>
      </c>
      <c r="AA223" t="s">
        <v>719</v>
      </c>
    </row>
    <row r="224" spans="3:30" ht="18" customHeight="1">
      <c r="C224" s="79" t="s">
        <v>200</v>
      </c>
      <c r="E224" s="80" t="s">
        <v>301</v>
      </c>
      <c r="G224" s="79" t="s">
        <v>197</v>
      </c>
      <c r="Y224" t="s">
        <v>1094</v>
      </c>
      <c r="Z224">
        <v>33054</v>
      </c>
      <c r="AA224" t="s">
        <v>720</v>
      </c>
    </row>
    <row r="225" spans="3:30" ht="18" customHeight="1">
      <c r="C225" s="79" t="s">
        <v>199</v>
      </c>
      <c r="E225" s="80" t="s">
        <v>322</v>
      </c>
      <c r="G225" s="79" t="s">
        <v>197</v>
      </c>
    </row>
    <row r="226" spans="3:30" ht="18" customHeight="1">
      <c r="C226" s="79" t="s">
        <v>198</v>
      </c>
      <c r="E226" s="71"/>
      <c r="G226" s="79" t="s">
        <v>197</v>
      </c>
    </row>
    <row r="227" spans="3:30" ht="18" customHeight="1">
      <c r="C227" s="79" t="s">
        <v>202</v>
      </c>
      <c r="E227" s="71"/>
      <c r="G227" s="79" t="s">
        <v>197</v>
      </c>
    </row>
    <row r="228" spans="3:30" ht="18" customHeight="1">
      <c r="C228" s="79" t="s">
        <v>201</v>
      </c>
      <c r="E228" s="71"/>
      <c r="G228" s="79" t="s">
        <v>197</v>
      </c>
    </row>
    <row r="229" spans="3:30" ht="18" customHeight="1">
      <c r="C229" s="85" t="s">
        <v>196</v>
      </c>
      <c r="E229" s="71"/>
      <c r="G229" s="79" t="s">
        <v>197</v>
      </c>
    </row>
    <row r="230" spans="3:30" ht="18" customHeight="1">
      <c r="C230" s="79" t="s">
        <v>133</v>
      </c>
      <c r="E230" s="71" t="s">
        <v>75</v>
      </c>
      <c r="G230" s="79" t="s">
        <v>132</v>
      </c>
      <c r="Y230" t="s">
        <v>1095</v>
      </c>
      <c r="Z230">
        <v>28702</v>
      </c>
      <c r="AA230" t="s">
        <v>721</v>
      </c>
      <c r="AB230" t="s">
        <v>75</v>
      </c>
      <c r="AC230">
        <v>55610</v>
      </c>
      <c r="AD230" t="s">
        <v>797</v>
      </c>
    </row>
    <row r="231" spans="3:30" ht="18" customHeight="1">
      <c r="C231" s="79" t="s">
        <v>314</v>
      </c>
      <c r="E231" s="71" t="s">
        <v>76</v>
      </c>
      <c r="G231" s="79" t="s">
        <v>132</v>
      </c>
      <c r="Y231" t="s">
        <v>1096</v>
      </c>
      <c r="Z231">
        <v>10211</v>
      </c>
      <c r="AA231" t="s">
        <v>722</v>
      </c>
    </row>
    <row r="232" spans="3:30" ht="18" customHeight="1">
      <c r="C232" s="79" t="s">
        <v>131</v>
      </c>
      <c r="E232" s="71"/>
      <c r="G232" s="79" t="s">
        <v>132</v>
      </c>
      <c r="Y232" t="s">
        <v>1097</v>
      </c>
      <c r="Z232">
        <v>27306</v>
      </c>
      <c r="AA232" t="s">
        <v>723</v>
      </c>
    </row>
    <row r="233" spans="3:30" ht="18" customHeight="1">
      <c r="C233" s="79" t="s">
        <v>174</v>
      </c>
      <c r="E233" s="71" t="s">
        <v>278</v>
      </c>
      <c r="G233" s="79" t="s">
        <v>171</v>
      </c>
    </row>
    <row r="234" spans="3:30" ht="18" customHeight="1">
      <c r="C234" s="79" t="s">
        <v>175</v>
      </c>
      <c r="E234" s="71" t="s">
        <v>282</v>
      </c>
      <c r="G234" s="79" t="s">
        <v>171</v>
      </c>
      <c r="Y234" t="s">
        <v>1098</v>
      </c>
      <c r="Z234">
        <v>28432</v>
      </c>
      <c r="AA234" t="s">
        <v>724</v>
      </c>
      <c r="AB234" t="s">
        <v>282</v>
      </c>
      <c r="AC234">
        <v>57022</v>
      </c>
      <c r="AD234" t="s">
        <v>798</v>
      </c>
    </row>
    <row r="235" spans="3:30" ht="18" customHeight="1">
      <c r="C235" s="79" t="s">
        <v>176</v>
      </c>
      <c r="E235" s="71" t="s">
        <v>281</v>
      </c>
      <c r="G235" s="79" t="s">
        <v>171</v>
      </c>
      <c r="Y235" t="s">
        <v>1099</v>
      </c>
      <c r="Z235">
        <v>28433</v>
      </c>
      <c r="AA235" t="s">
        <v>725</v>
      </c>
      <c r="AB235" t="s">
        <v>281</v>
      </c>
      <c r="AC235">
        <v>56681</v>
      </c>
      <c r="AD235" t="s">
        <v>799</v>
      </c>
    </row>
    <row r="236" spans="3:30" ht="18" customHeight="1">
      <c r="C236" s="79" t="s">
        <v>172</v>
      </c>
      <c r="E236" s="71" t="s">
        <v>277</v>
      </c>
      <c r="G236" s="79" t="s">
        <v>171</v>
      </c>
      <c r="Y236" t="s">
        <v>1100</v>
      </c>
      <c r="Z236">
        <v>16391</v>
      </c>
      <c r="AA236" t="s">
        <v>726</v>
      </c>
    </row>
    <row r="237" spans="3:30" ht="18" customHeight="1">
      <c r="C237" s="79" t="s">
        <v>177</v>
      </c>
      <c r="E237" s="71" t="s">
        <v>279</v>
      </c>
      <c r="G237" s="79" t="s">
        <v>171</v>
      </c>
      <c r="Y237" t="s">
        <v>1101</v>
      </c>
      <c r="Z237">
        <v>29308</v>
      </c>
      <c r="AA237" t="s">
        <v>727</v>
      </c>
      <c r="AB237" t="s">
        <v>279</v>
      </c>
      <c r="AC237">
        <v>54903</v>
      </c>
      <c r="AD237" t="s">
        <v>800</v>
      </c>
    </row>
    <row r="238" spans="3:30" ht="18" customHeight="1">
      <c r="C238" s="79" t="s">
        <v>170</v>
      </c>
      <c r="E238" s="71" t="s">
        <v>280</v>
      </c>
      <c r="G238" s="79" t="s">
        <v>171</v>
      </c>
      <c r="Y238" t="s">
        <v>1102</v>
      </c>
      <c r="Z238">
        <v>6082</v>
      </c>
      <c r="AA238" t="s">
        <v>728</v>
      </c>
    </row>
    <row r="239" spans="3:30" ht="18" customHeight="1">
      <c r="C239" s="79" t="s">
        <v>173</v>
      </c>
      <c r="E239" s="71"/>
      <c r="G239" s="79" t="s">
        <v>171</v>
      </c>
      <c r="Y239" t="s">
        <v>1103</v>
      </c>
      <c r="Z239">
        <v>24142</v>
      </c>
      <c r="AA239" t="s">
        <v>729</v>
      </c>
    </row>
    <row r="240" spans="3:30" ht="18" customHeight="1">
      <c r="C240" s="79" t="s">
        <v>134</v>
      </c>
      <c r="E240" s="71" t="s">
        <v>256</v>
      </c>
      <c r="G240" s="79" t="s">
        <v>135</v>
      </c>
      <c r="AB240" t="s">
        <v>256</v>
      </c>
      <c r="AC240">
        <v>56221</v>
      </c>
      <c r="AD240" t="s">
        <v>801</v>
      </c>
    </row>
    <row r="241" spans="3:30" ht="18" customHeight="1">
      <c r="C241" s="79" t="s">
        <v>136</v>
      </c>
      <c r="E241" s="71" t="s">
        <v>254</v>
      </c>
      <c r="G241" s="79" t="s">
        <v>135</v>
      </c>
      <c r="AB241" t="s">
        <v>803</v>
      </c>
      <c r="AC241">
        <v>58279</v>
      </c>
      <c r="AD241" t="s">
        <v>802</v>
      </c>
    </row>
    <row r="242" spans="3:30" ht="18" customHeight="1">
      <c r="C242" s="79" t="s">
        <v>137</v>
      </c>
      <c r="E242" s="71" t="s">
        <v>255</v>
      </c>
      <c r="G242" s="79" t="s">
        <v>135</v>
      </c>
    </row>
    <row r="243" spans="3:30" ht="18" customHeight="1">
      <c r="C243" s="79" t="s">
        <v>104</v>
      </c>
      <c r="E243" s="71" t="s">
        <v>224</v>
      </c>
      <c r="G243" s="79" t="s">
        <v>103</v>
      </c>
      <c r="Y243" t="s">
        <v>1104</v>
      </c>
      <c r="Z243">
        <v>22984</v>
      </c>
      <c r="AA243" t="s">
        <v>730</v>
      </c>
    </row>
    <row r="244" spans="3:30" ht="18" customHeight="1">
      <c r="C244" s="79" t="s">
        <v>102</v>
      </c>
      <c r="E244" s="71" t="s">
        <v>225</v>
      </c>
      <c r="G244" s="79" t="s">
        <v>103</v>
      </c>
    </row>
    <row r="245" spans="3:30" ht="18" customHeight="1">
      <c r="C245" s="79"/>
      <c r="E245" s="80" t="s">
        <v>226</v>
      </c>
      <c r="G245" s="79" t="s">
        <v>103</v>
      </c>
      <c r="AB245" t="s">
        <v>805</v>
      </c>
      <c r="AC245">
        <v>58460</v>
      </c>
      <c r="AD245" t="s">
        <v>804</v>
      </c>
    </row>
    <row r="246" spans="3:30" ht="18" customHeight="1">
      <c r="C246" s="79" t="s">
        <v>192</v>
      </c>
      <c r="E246" s="71" t="s">
        <v>289</v>
      </c>
      <c r="G246" s="79" t="s">
        <v>183</v>
      </c>
    </row>
    <row r="247" spans="3:30" ht="18" customHeight="1">
      <c r="C247" s="79" t="s">
        <v>187</v>
      </c>
      <c r="E247" s="71" t="s">
        <v>296</v>
      </c>
      <c r="G247" s="79" t="s">
        <v>183</v>
      </c>
      <c r="AB247" t="s">
        <v>296</v>
      </c>
      <c r="AC247">
        <v>55846</v>
      </c>
      <c r="AD247" t="s">
        <v>806</v>
      </c>
    </row>
    <row r="248" spans="3:30" ht="18" customHeight="1">
      <c r="C248" s="79" t="s">
        <v>193</v>
      </c>
      <c r="E248" s="71" t="s">
        <v>298</v>
      </c>
      <c r="G248" s="79" t="s">
        <v>183</v>
      </c>
    </row>
    <row r="249" spans="3:30" ht="18" customHeight="1">
      <c r="C249" s="79" t="s">
        <v>184</v>
      </c>
      <c r="E249" s="71" t="s">
        <v>294</v>
      </c>
      <c r="G249" s="79" t="s">
        <v>183</v>
      </c>
      <c r="Y249" t="s">
        <v>1105</v>
      </c>
      <c r="Z249">
        <v>1213</v>
      </c>
      <c r="AA249" t="s">
        <v>731</v>
      </c>
    </row>
    <row r="250" spans="3:30" ht="18" customHeight="1">
      <c r="C250" s="79" t="s">
        <v>188</v>
      </c>
      <c r="E250" s="71" t="s">
        <v>295</v>
      </c>
      <c r="G250" s="79" t="s">
        <v>183</v>
      </c>
      <c r="Y250" t="s">
        <v>1106</v>
      </c>
      <c r="Z250">
        <v>23984</v>
      </c>
      <c r="AA250" t="s">
        <v>732</v>
      </c>
    </row>
    <row r="251" spans="3:30" ht="18" customHeight="1">
      <c r="C251" s="79" t="s">
        <v>185</v>
      </c>
      <c r="E251" s="71" t="s">
        <v>288</v>
      </c>
      <c r="G251" s="79" t="s">
        <v>183</v>
      </c>
      <c r="Y251" t="s">
        <v>1107</v>
      </c>
      <c r="Z251">
        <v>16854</v>
      </c>
      <c r="AA251" t="s">
        <v>733</v>
      </c>
    </row>
    <row r="252" spans="3:30" ht="18" customHeight="1">
      <c r="C252" s="79" t="s">
        <v>186</v>
      </c>
      <c r="E252" s="71" t="s">
        <v>290</v>
      </c>
      <c r="G252" s="79" t="s">
        <v>183</v>
      </c>
      <c r="Y252" t="s">
        <v>1108</v>
      </c>
      <c r="Z252">
        <v>20115</v>
      </c>
      <c r="AA252" t="s">
        <v>734</v>
      </c>
    </row>
    <row r="253" spans="3:30" ht="18" customHeight="1">
      <c r="C253" s="79" t="s">
        <v>190</v>
      </c>
      <c r="E253" s="71" t="s">
        <v>293</v>
      </c>
      <c r="G253" s="79" t="s">
        <v>183</v>
      </c>
      <c r="Y253" t="s">
        <v>1109</v>
      </c>
      <c r="Z253">
        <v>26734</v>
      </c>
      <c r="AA253" t="s">
        <v>735</v>
      </c>
      <c r="AB253" t="s">
        <v>293</v>
      </c>
      <c r="AC253">
        <v>54698</v>
      </c>
      <c r="AD253" t="s">
        <v>807</v>
      </c>
    </row>
    <row r="254" spans="3:30" ht="18" customHeight="1">
      <c r="C254" s="79" t="s">
        <v>191</v>
      </c>
      <c r="E254" s="71" t="s">
        <v>292</v>
      </c>
      <c r="G254" s="79" t="s">
        <v>183</v>
      </c>
      <c r="Y254" t="s">
        <v>1110</v>
      </c>
      <c r="Z254">
        <v>26916</v>
      </c>
      <c r="AA254" t="s">
        <v>736</v>
      </c>
      <c r="AB254" t="s">
        <v>292</v>
      </c>
      <c r="AC254">
        <v>54271</v>
      </c>
      <c r="AD254" t="s">
        <v>808</v>
      </c>
    </row>
    <row r="255" spans="3:30" ht="18" customHeight="1">
      <c r="C255" s="79" t="s">
        <v>195</v>
      </c>
      <c r="E255" s="71" t="s">
        <v>297</v>
      </c>
      <c r="G255" s="79" t="s">
        <v>183</v>
      </c>
      <c r="Y255" t="s">
        <v>1111</v>
      </c>
      <c r="Z255">
        <v>22520</v>
      </c>
      <c r="AA255" t="s">
        <v>737</v>
      </c>
    </row>
    <row r="256" spans="3:30" ht="18" customHeight="1">
      <c r="C256" s="79" t="s">
        <v>189</v>
      </c>
      <c r="E256" s="71" t="s">
        <v>299</v>
      </c>
      <c r="G256" s="79" t="s">
        <v>183</v>
      </c>
      <c r="Y256" t="s">
        <v>1112</v>
      </c>
      <c r="Z256">
        <v>25345</v>
      </c>
      <c r="AA256" t="s">
        <v>738</v>
      </c>
      <c r="AB256" t="s">
        <v>299</v>
      </c>
      <c r="AC256">
        <v>56737</v>
      </c>
      <c r="AD256" t="s">
        <v>809</v>
      </c>
    </row>
    <row r="257" spans="3:30" ht="18" customHeight="1">
      <c r="C257" s="79" t="s">
        <v>194</v>
      </c>
      <c r="E257" s="71" t="s">
        <v>291</v>
      </c>
      <c r="G257" s="79" t="s">
        <v>183</v>
      </c>
      <c r="Y257" t="s">
        <v>1113</v>
      </c>
      <c r="Z257">
        <v>28630</v>
      </c>
      <c r="AA257" t="s">
        <v>739</v>
      </c>
    </row>
    <row r="258" spans="3:30" ht="18" customHeight="1">
      <c r="C258" s="79" t="s">
        <v>182</v>
      </c>
      <c r="E258" s="71"/>
      <c r="G258" s="79" t="s">
        <v>183</v>
      </c>
      <c r="Y258" t="s">
        <v>1114</v>
      </c>
      <c r="Z258">
        <v>329</v>
      </c>
      <c r="AA258" t="s">
        <v>740</v>
      </c>
    </row>
    <row r="259" spans="3:30" ht="18" customHeight="1">
      <c r="C259" s="79" t="s">
        <v>119</v>
      </c>
      <c r="E259" s="71" t="s">
        <v>68</v>
      </c>
      <c r="G259" s="79" t="s">
        <v>117</v>
      </c>
    </row>
    <row r="260" spans="3:30" ht="18" customHeight="1">
      <c r="C260" s="79" t="s">
        <v>118</v>
      </c>
      <c r="E260" s="80" t="s">
        <v>242</v>
      </c>
      <c r="G260" s="79" t="s">
        <v>117</v>
      </c>
      <c r="Y260" t="s">
        <v>1115</v>
      </c>
      <c r="Z260">
        <v>25140</v>
      </c>
      <c r="AA260" t="s">
        <v>741</v>
      </c>
    </row>
    <row r="261" spans="3:30" ht="18" customHeight="1">
      <c r="C261" s="79" t="s">
        <v>116</v>
      </c>
      <c r="E261" s="80" t="s">
        <v>243</v>
      </c>
      <c r="G261" s="79" t="s">
        <v>117</v>
      </c>
      <c r="Y261" t="s">
        <v>1116</v>
      </c>
      <c r="Z261">
        <v>15048</v>
      </c>
      <c r="AA261" t="s">
        <v>742</v>
      </c>
    </row>
    <row r="262" spans="3:30" ht="18" customHeight="1">
      <c r="C262" s="79" t="s">
        <v>120</v>
      </c>
      <c r="E262" s="80" t="s">
        <v>244</v>
      </c>
      <c r="G262" s="79" t="s">
        <v>117</v>
      </c>
    </row>
    <row r="263" spans="3:30" ht="18" customHeight="1">
      <c r="C263" s="79" t="s">
        <v>121</v>
      </c>
      <c r="E263" s="71" t="s">
        <v>241</v>
      </c>
      <c r="G263" s="79" t="s">
        <v>117</v>
      </c>
    </row>
    <row r="264" spans="3:30" ht="18" customHeight="1">
      <c r="C264" s="79" t="s">
        <v>82</v>
      </c>
      <c r="E264" s="71" t="s">
        <v>63</v>
      </c>
      <c r="G264" s="79" t="s">
        <v>77</v>
      </c>
    </row>
    <row r="265" spans="3:30" ht="18" customHeight="1">
      <c r="C265" s="79" t="s">
        <v>81</v>
      </c>
      <c r="E265" s="71" t="s">
        <v>207</v>
      </c>
      <c r="G265" s="79" t="s">
        <v>77</v>
      </c>
      <c r="Y265" t="s">
        <v>1117</v>
      </c>
      <c r="Z265">
        <v>11802</v>
      </c>
      <c r="AA265" t="s">
        <v>743</v>
      </c>
    </row>
    <row r="266" spans="3:30" ht="18" customHeight="1">
      <c r="C266" s="79" t="s">
        <v>84</v>
      </c>
      <c r="E266" s="71" t="s">
        <v>205</v>
      </c>
      <c r="G266" s="79" t="s">
        <v>77</v>
      </c>
      <c r="AB266" t="s">
        <v>205</v>
      </c>
      <c r="AC266">
        <v>54787</v>
      </c>
      <c r="AD266" t="s">
        <v>810</v>
      </c>
    </row>
    <row r="267" spans="3:30" ht="18" customHeight="1">
      <c r="C267" s="79" t="s">
        <v>83</v>
      </c>
      <c r="E267" s="71" t="s">
        <v>206</v>
      </c>
      <c r="G267" s="79" t="s">
        <v>77</v>
      </c>
    </row>
    <row r="268" spans="3:30" ht="18" customHeight="1">
      <c r="C268" s="79" t="s">
        <v>165</v>
      </c>
      <c r="E268" s="71" t="s">
        <v>274</v>
      </c>
      <c r="G268" s="79" t="s">
        <v>160</v>
      </c>
      <c r="AB268" t="s">
        <v>274</v>
      </c>
      <c r="AC268">
        <v>56437</v>
      </c>
      <c r="AD268" t="s">
        <v>811</v>
      </c>
    </row>
    <row r="269" spans="3:30" ht="18" customHeight="1">
      <c r="C269" s="79" t="s">
        <v>163</v>
      </c>
      <c r="E269" s="71" t="s">
        <v>275</v>
      </c>
      <c r="G269" s="79" t="s">
        <v>160</v>
      </c>
      <c r="Y269" t="s">
        <v>1118</v>
      </c>
      <c r="Z269">
        <v>26454</v>
      </c>
      <c r="AA269" t="s">
        <v>744</v>
      </c>
      <c r="AB269" t="s">
        <v>275</v>
      </c>
      <c r="AC269">
        <v>56942</v>
      </c>
      <c r="AD269" t="s">
        <v>812</v>
      </c>
    </row>
    <row r="270" spans="3:30" ht="18" customHeight="1">
      <c r="C270" s="79" t="s">
        <v>164</v>
      </c>
      <c r="E270" s="71" t="s">
        <v>273</v>
      </c>
      <c r="G270" s="79" t="s">
        <v>160</v>
      </c>
    </row>
    <row r="271" spans="3:30" ht="18" customHeight="1">
      <c r="C271" s="79" t="s">
        <v>162</v>
      </c>
      <c r="E271" s="71" t="s">
        <v>272</v>
      </c>
      <c r="G271" s="79" t="s">
        <v>160</v>
      </c>
      <c r="Y271" t="s">
        <v>1119</v>
      </c>
      <c r="Z271">
        <v>21115</v>
      </c>
      <c r="AA271" t="s">
        <v>745</v>
      </c>
    </row>
    <row r="272" spans="3:30" ht="18" customHeight="1">
      <c r="C272" s="79" t="s">
        <v>161</v>
      </c>
      <c r="E272" s="71" t="s">
        <v>276</v>
      </c>
      <c r="G272" s="79" t="s">
        <v>160</v>
      </c>
      <c r="Y272" t="s">
        <v>1120</v>
      </c>
      <c r="Z272">
        <v>14681</v>
      </c>
      <c r="AA272" t="s">
        <v>746</v>
      </c>
      <c r="AB272" t="s">
        <v>276</v>
      </c>
      <c r="AC272">
        <v>56943</v>
      </c>
      <c r="AD272" t="s">
        <v>813</v>
      </c>
    </row>
    <row r="273" spans="3:30" ht="18" customHeight="1">
      <c r="C273" s="79" t="s">
        <v>159</v>
      </c>
      <c r="E273" s="71"/>
      <c r="G273" s="79" t="s">
        <v>160</v>
      </c>
      <c r="Y273" t="s">
        <v>1121</v>
      </c>
      <c r="Z273">
        <v>11745</v>
      </c>
      <c r="AA273" t="s">
        <v>747</v>
      </c>
    </row>
    <row r="274" spans="3:30" ht="18" customHeight="1">
      <c r="C274" s="79" t="s">
        <v>166</v>
      </c>
      <c r="E274" s="71"/>
      <c r="G274" s="79" t="s">
        <v>167</v>
      </c>
    </row>
    <row r="275" spans="3:30" ht="18" customHeight="1">
      <c r="C275" s="79" t="s">
        <v>168</v>
      </c>
      <c r="E275" s="71"/>
      <c r="G275" s="79" t="s">
        <v>167</v>
      </c>
    </row>
    <row r="276" spans="3:30" ht="18" customHeight="1">
      <c r="C276" s="79" t="s">
        <v>169</v>
      </c>
      <c r="E276" s="71"/>
      <c r="G276" s="79" t="s">
        <v>167</v>
      </c>
    </row>
    <row r="277" spans="3:30" ht="18" customHeight="1">
      <c r="C277" s="79" t="s">
        <v>155</v>
      </c>
      <c r="E277" s="71" t="s">
        <v>271</v>
      </c>
      <c r="G277" s="79" t="s">
        <v>156</v>
      </c>
      <c r="Y277" t="s">
        <v>1122</v>
      </c>
      <c r="Z277">
        <v>9588</v>
      </c>
      <c r="AA277" t="s">
        <v>748</v>
      </c>
      <c r="AB277" t="s">
        <v>271</v>
      </c>
      <c r="AC277">
        <v>57302</v>
      </c>
      <c r="AD277" t="s">
        <v>814</v>
      </c>
    </row>
    <row r="278" spans="3:30" ht="18" customHeight="1">
      <c r="C278" s="79" t="s">
        <v>157</v>
      </c>
      <c r="E278" s="71" t="s">
        <v>270</v>
      </c>
      <c r="G278" s="79" t="s">
        <v>156</v>
      </c>
      <c r="Y278" t="s">
        <v>1123</v>
      </c>
      <c r="Z278">
        <v>26813</v>
      </c>
      <c r="AA278" t="s">
        <v>749</v>
      </c>
    </row>
    <row r="279" spans="3:30" ht="18" customHeight="1">
      <c r="C279" s="79" t="s">
        <v>158</v>
      </c>
      <c r="E279" s="71"/>
      <c r="G279" s="79" t="s">
        <v>156</v>
      </c>
    </row>
    <row r="280" spans="3:30" ht="18" customHeight="1">
      <c r="C280" s="79" t="s">
        <v>178</v>
      </c>
      <c r="E280" s="80" t="s">
        <v>286</v>
      </c>
      <c r="G280" s="79" t="s">
        <v>179</v>
      </c>
      <c r="AB280" t="s">
        <v>816</v>
      </c>
      <c r="AC280">
        <v>54821</v>
      </c>
      <c r="AD280" t="s">
        <v>815</v>
      </c>
    </row>
    <row r="281" spans="3:30" ht="18" customHeight="1">
      <c r="C281" s="79" t="s">
        <v>180</v>
      </c>
      <c r="E281" s="71" t="s">
        <v>285</v>
      </c>
      <c r="G281" s="79" t="s">
        <v>179</v>
      </c>
      <c r="AB281" t="s">
        <v>285</v>
      </c>
      <c r="AC281">
        <v>56776</v>
      </c>
      <c r="AD281" t="s">
        <v>817</v>
      </c>
    </row>
    <row r="282" spans="3:30" ht="18" customHeight="1">
      <c r="C282" s="79" t="s">
        <v>181</v>
      </c>
      <c r="E282" s="80" t="s">
        <v>287</v>
      </c>
      <c r="G282" s="79" t="s">
        <v>179</v>
      </c>
      <c r="Y282" t="s">
        <v>1124</v>
      </c>
      <c r="Z282">
        <v>31693</v>
      </c>
      <c r="AA282" t="s">
        <v>750</v>
      </c>
    </row>
    <row r="283" spans="3:30" ht="18" customHeight="1">
      <c r="C283" s="21"/>
      <c r="E283" s="71" t="s">
        <v>283</v>
      </c>
      <c r="G283" s="79" t="s">
        <v>179</v>
      </c>
      <c r="AB283" t="s">
        <v>283</v>
      </c>
      <c r="AC283">
        <v>55681</v>
      </c>
      <c r="AD283" t="s">
        <v>818</v>
      </c>
    </row>
    <row r="284" spans="3:30" ht="18" customHeight="1">
      <c r="C284" s="21"/>
      <c r="E284" s="71" t="s">
        <v>284</v>
      </c>
      <c r="G284" s="79" t="s">
        <v>179</v>
      </c>
      <c r="AB284" t="s">
        <v>284</v>
      </c>
      <c r="AC284">
        <v>55817</v>
      </c>
      <c r="AD284" t="s">
        <v>819</v>
      </c>
    </row>
    <row r="285" spans="3:30" ht="18" customHeight="1">
      <c r="C285" s="79" t="s">
        <v>129</v>
      </c>
      <c r="E285" s="71" t="s">
        <v>252</v>
      </c>
      <c r="G285" s="79" t="s">
        <v>130</v>
      </c>
    </row>
    <row r="286" spans="3:30" ht="18" customHeight="1">
      <c r="C286" s="21"/>
      <c r="E286" s="71" t="s">
        <v>253</v>
      </c>
      <c r="G286" s="79" t="s">
        <v>130</v>
      </c>
    </row>
    <row r="287" spans="3:30" ht="18" customHeight="1">
      <c r="C287" s="79" t="s">
        <v>94</v>
      </c>
      <c r="E287" s="71" t="s">
        <v>216</v>
      </c>
      <c r="G287" s="79" t="s">
        <v>92</v>
      </c>
      <c r="Y287" t="s">
        <v>1125</v>
      </c>
      <c r="Z287">
        <v>26539</v>
      </c>
      <c r="AA287" t="s">
        <v>751</v>
      </c>
    </row>
    <row r="288" spans="3:30" ht="18" customHeight="1">
      <c r="C288" s="79" t="s">
        <v>95</v>
      </c>
      <c r="E288" s="80" t="s">
        <v>213</v>
      </c>
      <c r="G288" s="79" t="s">
        <v>92</v>
      </c>
      <c r="Y288" t="s">
        <v>1126</v>
      </c>
      <c r="Z288">
        <v>28073</v>
      </c>
      <c r="AA288" t="s">
        <v>752</v>
      </c>
    </row>
    <row r="289" spans="3:30" ht="18" customHeight="1">
      <c r="C289" s="79" t="s">
        <v>96</v>
      </c>
      <c r="E289" s="71" t="s">
        <v>215</v>
      </c>
      <c r="G289" s="79" t="s">
        <v>92</v>
      </c>
      <c r="Y289" t="s">
        <v>1127</v>
      </c>
      <c r="Z289">
        <v>29828</v>
      </c>
      <c r="AA289" t="s">
        <v>753</v>
      </c>
    </row>
    <row r="290" spans="3:30" ht="18" customHeight="1">
      <c r="C290" s="81" t="s">
        <v>97</v>
      </c>
      <c r="E290" s="71" t="s">
        <v>214</v>
      </c>
      <c r="G290" s="79" t="s">
        <v>92</v>
      </c>
    </row>
    <row r="291" spans="3:30" ht="18" customHeight="1">
      <c r="C291" s="79" t="s">
        <v>93</v>
      </c>
      <c r="E291" s="71" t="s">
        <v>217</v>
      </c>
      <c r="G291" s="79" t="s">
        <v>92</v>
      </c>
      <c r="Y291" t="s">
        <v>1128</v>
      </c>
      <c r="Z291">
        <v>25967</v>
      </c>
      <c r="AA291" t="s">
        <v>754</v>
      </c>
    </row>
    <row r="292" spans="3:30" ht="18" customHeight="1">
      <c r="C292" s="79" t="s">
        <v>91</v>
      </c>
      <c r="E292" s="71"/>
      <c r="G292" s="79" t="s">
        <v>92</v>
      </c>
      <c r="Y292" t="s">
        <v>1129</v>
      </c>
      <c r="Z292">
        <v>16678</v>
      </c>
      <c r="AA292" t="s">
        <v>755</v>
      </c>
    </row>
    <row r="293" spans="3:30" ht="18" customHeight="1">
      <c r="C293" s="79" t="s">
        <v>90</v>
      </c>
      <c r="E293" s="71" t="s">
        <v>211</v>
      </c>
      <c r="G293" s="79" t="s">
        <v>86</v>
      </c>
      <c r="Y293" t="s">
        <v>1130</v>
      </c>
      <c r="Z293">
        <v>28719</v>
      </c>
      <c r="AA293" t="s">
        <v>756</v>
      </c>
    </row>
    <row r="294" spans="3:30" ht="18" customHeight="1">
      <c r="C294" s="79" t="s">
        <v>88</v>
      </c>
      <c r="E294" s="71" t="s">
        <v>210</v>
      </c>
      <c r="G294" s="79" t="s">
        <v>86</v>
      </c>
      <c r="Y294" t="s">
        <v>1125</v>
      </c>
      <c r="Z294">
        <v>26539</v>
      </c>
      <c r="AA294" t="s">
        <v>751</v>
      </c>
    </row>
    <row r="295" spans="3:30" ht="18" customHeight="1">
      <c r="C295" s="79" t="s">
        <v>89</v>
      </c>
      <c r="E295" s="71" t="s">
        <v>209</v>
      </c>
      <c r="G295" s="79" t="s">
        <v>86</v>
      </c>
      <c r="Y295" t="s">
        <v>1131</v>
      </c>
      <c r="Z295">
        <v>28066</v>
      </c>
      <c r="AA295" t="s">
        <v>757</v>
      </c>
      <c r="AB295" t="s">
        <v>209</v>
      </c>
      <c r="AC295">
        <v>55572</v>
      </c>
      <c r="AD295" t="s">
        <v>820</v>
      </c>
    </row>
    <row r="296" spans="3:30" ht="18" customHeight="1">
      <c r="C296" s="79" t="s">
        <v>85</v>
      </c>
      <c r="E296" s="71" t="s">
        <v>212</v>
      </c>
      <c r="G296" s="79" t="s">
        <v>86</v>
      </c>
      <c r="Y296" t="s">
        <v>1132</v>
      </c>
      <c r="Z296">
        <v>10660</v>
      </c>
      <c r="AA296" t="s">
        <v>758</v>
      </c>
    </row>
    <row r="297" spans="3:30" ht="18" customHeight="1">
      <c r="C297" s="79" t="s">
        <v>87</v>
      </c>
      <c r="E297" s="71" t="s">
        <v>208</v>
      </c>
      <c r="G297" s="79" t="s">
        <v>86</v>
      </c>
      <c r="AB297" t="s">
        <v>208</v>
      </c>
      <c r="AC297">
        <v>54989</v>
      </c>
      <c r="AD297" t="s">
        <v>821</v>
      </c>
    </row>
    <row r="298" spans="3:30" ht="18" customHeight="1">
      <c r="C298" s="79" t="s">
        <v>203</v>
      </c>
      <c r="E298" s="71" t="s">
        <v>302</v>
      </c>
      <c r="G298" s="79" t="s">
        <v>72</v>
      </c>
      <c r="Y298" t="s">
        <v>1133</v>
      </c>
      <c r="Z298">
        <v>2287</v>
      </c>
      <c r="AA298" t="s">
        <v>759</v>
      </c>
    </row>
    <row r="299" spans="3:30" ht="18" customHeight="1">
      <c r="C299" s="79" t="s">
        <v>73</v>
      </c>
      <c r="E299" s="80" t="s">
        <v>303</v>
      </c>
      <c r="G299" s="79" t="s">
        <v>72</v>
      </c>
      <c r="Y299" t="s">
        <v>1134</v>
      </c>
      <c r="Z299">
        <v>5939</v>
      </c>
      <c r="AA299" t="s">
        <v>760</v>
      </c>
    </row>
    <row r="300" spans="3:30" ht="18" customHeight="1">
      <c r="C300" s="79" t="s">
        <v>74</v>
      </c>
      <c r="E300" s="71"/>
      <c r="G300" s="79" t="s">
        <v>72</v>
      </c>
      <c r="Y300" t="s">
        <v>1135</v>
      </c>
      <c r="Z300">
        <v>2306</v>
      </c>
      <c r="AA300" t="s">
        <v>761</v>
      </c>
    </row>
    <row r="301" spans="3:30" ht="18" customHeight="1">
      <c r="C301" s="79" t="s">
        <v>110</v>
      </c>
      <c r="E301" s="71" t="s">
        <v>240</v>
      </c>
      <c r="G301" s="79" t="s">
        <v>106</v>
      </c>
      <c r="Y301" t="s">
        <v>1136</v>
      </c>
      <c r="Z301">
        <v>21093</v>
      </c>
      <c r="AA301" t="s">
        <v>762</v>
      </c>
    </row>
    <row r="302" spans="3:30" ht="18" customHeight="1">
      <c r="C302" s="79" t="s">
        <v>112</v>
      </c>
      <c r="E302" s="71" t="s">
        <v>230</v>
      </c>
      <c r="G302" s="79" t="s">
        <v>106</v>
      </c>
      <c r="Y302" t="s">
        <v>1137</v>
      </c>
      <c r="Z302">
        <v>25586</v>
      </c>
      <c r="AA302" t="s">
        <v>763</v>
      </c>
      <c r="AB302" t="s">
        <v>230</v>
      </c>
      <c r="AC302">
        <v>54968</v>
      </c>
      <c r="AD302" t="s">
        <v>822</v>
      </c>
    </row>
    <row r="303" spans="3:30" ht="18" customHeight="1">
      <c r="C303" s="79" t="s">
        <v>115</v>
      </c>
      <c r="E303" s="71" t="s">
        <v>229</v>
      </c>
      <c r="G303" s="79" t="s">
        <v>106</v>
      </c>
      <c r="Y303" t="s">
        <v>1138</v>
      </c>
      <c r="Z303">
        <v>29395</v>
      </c>
      <c r="AA303" t="s">
        <v>764</v>
      </c>
      <c r="AB303" t="s">
        <v>229</v>
      </c>
      <c r="AC303">
        <v>53498</v>
      </c>
      <c r="AD303" t="s">
        <v>823</v>
      </c>
    </row>
    <row r="304" spans="3:30" ht="18" customHeight="1">
      <c r="C304" s="79" t="s">
        <v>114</v>
      </c>
      <c r="E304" s="71" t="s">
        <v>236</v>
      </c>
      <c r="G304" s="79" t="s">
        <v>106</v>
      </c>
      <c r="Y304" t="s">
        <v>1139</v>
      </c>
      <c r="Z304">
        <v>26226</v>
      </c>
      <c r="AA304" t="s">
        <v>765</v>
      </c>
      <c r="AB304" t="s">
        <v>236</v>
      </c>
      <c r="AC304">
        <v>57131</v>
      </c>
      <c r="AD304" t="s">
        <v>824</v>
      </c>
    </row>
    <row r="305" spans="3:30" ht="18" customHeight="1">
      <c r="C305" s="79" t="s">
        <v>65</v>
      </c>
      <c r="E305" s="71" t="s">
        <v>231</v>
      </c>
      <c r="G305" s="79" t="s">
        <v>106</v>
      </c>
    </row>
    <row r="306" spans="3:30" ht="18" customHeight="1">
      <c r="C306" s="79" t="s">
        <v>111</v>
      </c>
      <c r="E306" s="71" t="s">
        <v>239</v>
      </c>
      <c r="G306" s="79" t="s">
        <v>106</v>
      </c>
      <c r="Y306" t="s">
        <v>1140</v>
      </c>
      <c r="Z306">
        <v>25377</v>
      </c>
      <c r="AA306" t="s">
        <v>766</v>
      </c>
      <c r="AB306" t="s">
        <v>239</v>
      </c>
      <c r="AC306">
        <v>57460</v>
      </c>
      <c r="AD306" t="s">
        <v>825</v>
      </c>
    </row>
    <row r="307" spans="3:30" ht="18" customHeight="1">
      <c r="C307" s="79" t="s">
        <v>108</v>
      </c>
      <c r="E307" s="71" t="s">
        <v>69</v>
      </c>
      <c r="G307" s="79" t="s">
        <v>106</v>
      </c>
      <c r="Y307" t="s">
        <v>1141</v>
      </c>
      <c r="Z307">
        <v>18082</v>
      </c>
      <c r="AA307" t="s">
        <v>767</v>
      </c>
      <c r="AB307" t="s">
        <v>69</v>
      </c>
      <c r="AC307">
        <v>55362</v>
      </c>
      <c r="AD307" t="s">
        <v>826</v>
      </c>
    </row>
    <row r="308" spans="3:30" ht="18" customHeight="1">
      <c r="C308" s="79" t="s">
        <v>105</v>
      </c>
      <c r="E308" s="71" t="s">
        <v>238</v>
      </c>
      <c r="G308" s="79" t="s">
        <v>106</v>
      </c>
      <c r="Y308" t="s">
        <v>664</v>
      </c>
      <c r="Z308">
        <v>1384</v>
      </c>
      <c r="AA308" t="s">
        <v>768</v>
      </c>
    </row>
    <row r="309" spans="3:30" ht="18" customHeight="1">
      <c r="C309" s="79" t="s">
        <v>109</v>
      </c>
      <c r="E309" s="71" t="s">
        <v>234</v>
      </c>
      <c r="G309" s="79" t="s">
        <v>106</v>
      </c>
      <c r="Y309" t="s">
        <v>1142</v>
      </c>
      <c r="Z309">
        <v>18717</v>
      </c>
      <c r="AA309" t="s">
        <v>769</v>
      </c>
      <c r="AB309" t="s">
        <v>234</v>
      </c>
      <c r="AC309">
        <v>56690</v>
      </c>
      <c r="AD309" t="s">
        <v>827</v>
      </c>
    </row>
    <row r="310" spans="3:30" ht="18" customHeight="1">
      <c r="C310" s="79" t="s">
        <v>107</v>
      </c>
      <c r="E310" s="71" t="s">
        <v>228</v>
      </c>
      <c r="G310" s="79" t="s">
        <v>106</v>
      </c>
      <c r="Y310" t="s">
        <v>1143</v>
      </c>
      <c r="Z310">
        <v>13305</v>
      </c>
      <c r="AA310" t="s">
        <v>770</v>
      </c>
    </row>
    <row r="311" spans="3:30" ht="18" customHeight="1">
      <c r="C311" s="79" t="s">
        <v>113</v>
      </c>
      <c r="E311" s="71" t="s">
        <v>232</v>
      </c>
      <c r="G311" s="79" t="s">
        <v>106</v>
      </c>
      <c r="Y311" t="s">
        <v>1144</v>
      </c>
      <c r="Z311">
        <v>25871</v>
      </c>
      <c r="AA311" t="s">
        <v>771</v>
      </c>
      <c r="AB311" t="s">
        <v>232</v>
      </c>
      <c r="AC311">
        <v>56286</v>
      </c>
      <c r="AD311" t="s">
        <v>828</v>
      </c>
    </row>
    <row r="312" spans="3:30" ht="18" customHeight="1">
      <c r="C312" s="79"/>
      <c r="E312" s="71" t="s">
        <v>227</v>
      </c>
      <c r="G312" s="79" t="s">
        <v>106</v>
      </c>
      <c r="AB312" t="s">
        <v>227</v>
      </c>
      <c r="AC312">
        <v>50954</v>
      </c>
      <c r="AD312" t="s">
        <v>829</v>
      </c>
    </row>
    <row r="313" spans="3:30" ht="18" customHeight="1">
      <c r="C313" s="79"/>
      <c r="E313" s="71" t="s">
        <v>237</v>
      </c>
      <c r="G313" s="79" t="s">
        <v>106</v>
      </c>
    </row>
    <row r="314" spans="3:30" ht="18" customHeight="1">
      <c r="C314" s="79"/>
      <c r="E314" s="71" t="s">
        <v>235</v>
      </c>
      <c r="G314" s="79" t="s">
        <v>106</v>
      </c>
    </row>
    <row r="315" spans="3:30" ht="18" customHeight="1">
      <c r="C315" s="79"/>
      <c r="E315" s="71" t="s">
        <v>233</v>
      </c>
      <c r="G315" s="79" t="s">
        <v>106</v>
      </c>
    </row>
    <row r="316" spans="3:30" ht="18" customHeight="1">
      <c r="C316" s="79" t="s">
        <v>138</v>
      </c>
      <c r="E316" s="71" t="s">
        <v>258</v>
      </c>
      <c r="G316" s="79" t="s">
        <v>139</v>
      </c>
      <c r="Y316" t="s">
        <v>1145</v>
      </c>
      <c r="Z316">
        <v>965</v>
      </c>
      <c r="AA316" t="s">
        <v>772</v>
      </c>
    </row>
    <row r="317" spans="3:30" ht="18" customHeight="1">
      <c r="C317" s="21"/>
      <c r="E317" s="71" t="s">
        <v>257</v>
      </c>
      <c r="G317" s="79" t="s">
        <v>139</v>
      </c>
    </row>
    <row r="318" spans="3:30" ht="18" customHeight="1">
      <c r="C318" s="79" t="s">
        <v>101</v>
      </c>
      <c r="E318" s="71" t="s">
        <v>218</v>
      </c>
      <c r="G318" s="79" t="s">
        <v>99</v>
      </c>
      <c r="Y318" t="s">
        <v>1146</v>
      </c>
      <c r="Z318">
        <v>24357</v>
      </c>
      <c r="AA318" t="s">
        <v>773</v>
      </c>
    </row>
    <row r="319" spans="3:30" ht="18" customHeight="1">
      <c r="C319" s="79" t="s">
        <v>98</v>
      </c>
      <c r="E319" s="71" t="s">
        <v>220</v>
      </c>
      <c r="G319" s="79" t="s">
        <v>99</v>
      </c>
      <c r="Y319" t="s">
        <v>675</v>
      </c>
      <c r="Z319">
        <v>10562</v>
      </c>
      <c r="AA319" t="s">
        <v>774</v>
      </c>
      <c r="AB319" t="s">
        <v>220</v>
      </c>
      <c r="AC319">
        <v>55570</v>
      </c>
      <c r="AD319" t="s">
        <v>830</v>
      </c>
    </row>
    <row r="320" spans="3:30" ht="18" customHeight="1">
      <c r="C320" s="79" t="s">
        <v>100</v>
      </c>
      <c r="E320" s="71" t="s">
        <v>219</v>
      </c>
      <c r="G320" s="79" t="s">
        <v>99</v>
      </c>
      <c r="AB320" t="s">
        <v>219</v>
      </c>
      <c r="AC320">
        <v>55129</v>
      </c>
      <c r="AD320" t="s">
        <v>790</v>
      </c>
    </row>
    <row r="321" spans="3:30" ht="18" customHeight="1">
      <c r="C321" s="79"/>
      <c r="E321" s="71" t="s">
        <v>223</v>
      </c>
      <c r="G321" s="79" t="s">
        <v>99</v>
      </c>
    </row>
    <row r="322" spans="3:30" ht="18" customHeight="1">
      <c r="C322" s="79"/>
      <c r="E322" s="71" t="s">
        <v>221</v>
      </c>
      <c r="G322" s="79" t="s">
        <v>99</v>
      </c>
    </row>
    <row r="323" spans="3:30" ht="18" customHeight="1">
      <c r="C323" s="79"/>
      <c r="E323" s="71" t="s">
        <v>222</v>
      </c>
      <c r="G323" s="79" t="s">
        <v>99</v>
      </c>
    </row>
    <row r="324" spans="3:30" ht="18" customHeight="1">
      <c r="C324" s="81" t="s">
        <v>128</v>
      </c>
      <c r="E324" s="71" t="s">
        <v>250</v>
      </c>
      <c r="G324" s="79" t="s">
        <v>125</v>
      </c>
      <c r="Y324" t="s">
        <v>1147</v>
      </c>
      <c r="Z324">
        <v>28346</v>
      </c>
      <c r="AA324" t="s">
        <v>775</v>
      </c>
      <c r="AB324" t="s">
        <v>832</v>
      </c>
      <c r="AC324">
        <v>55733</v>
      </c>
      <c r="AD324" t="s">
        <v>831</v>
      </c>
    </row>
    <row r="325" spans="3:30" ht="18" customHeight="1">
      <c r="C325" s="79" t="s">
        <v>124</v>
      </c>
      <c r="E325" s="71" t="s">
        <v>249</v>
      </c>
      <c r="G325" s="79" t="s">
        <v>125</v>
      </c>
      <c r="Y325" t="s">
        <v>1148</v>
      </c>
      <c r="Z325">
        <v>7398</v>
      </c>
      <c r="AA325" t="s">
        <v>776</v>
      </c>
    </row>
    <row r="326" spans="3:30" ht="18" customHeight="1">
      <c r="C326" s="79" t="s">
        <v>315</v>
      </c>
      <c r="E326" s="71" t="s">
        <v>248</v>
      </c>
      <c r="G326" s="79" t="s">
        <v>125</v>
      </c>
    </row>
    <row r="327" spans="3:30" ht="18" customHeight="1">
      <c r="C327" s="79" t="s">
        <v>126</v>
      </c>
      <c r="E327" s="71" t="s">
        <v>247</v>
      </c>
      <c r="G327" s="79" t="s">
        <v>125</v>
      </c>
      <c r="Y327" t="s">
        <v>1149</v>
      </c>
      <c r="Z327">
        <v>16332</v>
      </c>
      <c r="AA327" t="s">
        <v>777</v>
      </c>
    </row>
    <row r="328" spans="3:30" ht="18" customHeight="1">
      <c r="C328" s="79" t="s">
        <v>127</v>
      </c>
      <c r="E328" s="71" t="s">
        <v>251</v>
      </c>
      <c r="G328" s="79" t="s">
        <v>125</v>
      </c>
      <c r="Y328" t="s">
        <v>1150</v>
      </c>
      <c r="Z328">
        <v>17996</v>
      </c>
      <c r="AA328" t="s">
        <v>778</v>
      </c>
    </row>
    <row r="329" spans="3:30" ht="18" customHeight="1">
      <c r="C329" s="79" t="s">
        <v>144</v>
      </c>
      <c r="E329" s="71" t="s">
        <v>260</v>
      </c>
      <c r="G329" s="79" t="s">
        <v>141</v>
      </c>
    </row>
    <row r="330" spans="3:30" ht="18" customHeight="1">
      <c r="C330" s="79" t="s">
        <v>140</v>
      </c>
      <c r="E330" s="71" t="s">
        <v>261</v>
      </c>
      <c r="G330" s="79" t="s">
        <v>141</v>
      </c>
      <c r="Y330" t="s">
        <v>1151</v>
      </c>
      <c r="Z330">
        <v>20386</v>
      </c>
      <c r="AA330" t="s">
        <v>779</v>
      </c>
    </row>
    <row r="331" spans="3:30" ht="18" customHeight="1">
      <c r="C331" s="79" t="s">
        <v>142</v>
      </c>
      <c r="E331" s="71" t="s">
        <v>259</v>
      </c>
      <c r="G331" s="79" t="s">
        <v>141</v>
      </c>
    </row>
    <row r="332" spans="3:30" ht="18" customHeight="1">
      <c r="C332" s="79" t="s">
        <v>145</v>
      </c>
      <c r="E332" s="71" t="s">
        <v>263</v>
      </c>
      <c r="G332" s="79" t="s">
        <v>141</v>
      </c>
      <c r="Y332" t="s">
        <v>1152</v>
      </c>
      <c r="Z332">
        <v>28039</v>
      </c>
      <c r="AA332" t="s">
        <v>780</v>
      </c>
    </row>
    <row r="333" spans="3:30" ht="18" customHeight="1">
      <c r="C333" s="79" t="s">
        <v>146</v>
      </c>
      <c r="E333" s="80" t="s">
        <v>323</v>
      </c>
      <c r="G333" s="79" t="s">
        <v>141</v>
      </c>
      <c r="Y333" t="s">
        <v>1153</v>
      </c>
      <c r="Z333">
        <v>30059</v>
      </c>
      <c r="AA333" t="s">
        <v>781</v>
      </c>
    </row>
    <row r="334" spans="3:30" ht="18" customHeight="1">
      <c r="C334" s="79" t="s">
        <v>143</v>
      </c>
      <c r="E334" s="71" t="s">
        <v>262</v>
      </c>
      <c r="G334" s="79" t="s">
        <v>141</v>
      </c>
      <c r="AB334" t="s">
        <v>262</v>
      </c>
      <c r="AC334">
        <v>57109</v>
      </c>
      <c r="AD334" t="s">
        <v>833</v>
      </c>
    </row>
    <row r="335" spans="3:30" ht="18" customHeight="1">
      <c r="C335" s="79" t="s">
        <v>316</v>
      </c>
      <c r="E335" s="71" t="s">
        <v>59</v>
      </c>
      <c r="G335" s="79" t="s">
        <v>317</v>
      </c>
    </row>
    <row r="336" spans="3:30" ht="18" customHeight="1">
      <c r="C336" s="79" t="s">
        <v>310</v>
      </c>
      <c r="E336" s="80" t="s">
        <v>324</v>
      </c>
      <c r="G336" s="79" t="s">
        <v>317</v>
      </c>
    </row>
    <row r="337" spans="3:30" ht="18" customHeight="1">
      <c r="C337" s="79" t="s">
        <v>307</v>
      </c>
      <c r="E337" s="71" t="s">
        <v>60</v>
      </c>
      <c r="G337" s="79" t="s">
        <v>317</v>
      </c>
      <c r="Y337" t="s">
        <v>702</v>
      </c>
      <c r="Z337">
        <v>13141</v>
      </c>
      <c r="AA337" t="s">
        <v>782</v>
      </c>
      <c r="AB337" t="s">
        <v>60</v>
      </c>
      <c r="AC337">
        <v>56296</v>
      </c>
      <c r="AD337" t="s">
        <v>834</v>
      </c>
    </row>
    <row r="338" spans="3:30" ht="18" customHeight="1">
      <c r="C338" s="79" t="s">
        <v>306</v>
      </c>
      <c r="E338" s="71" t="s">
        <v>61</v>
      </c>
      <c r="G338" s="79" t="s">
        <v>317</v>
      </c>
      <c r="Y338" t="s">
        <v>1154</v>
      </c>
      <c r="Z338">
        <v>1800</v>
      </c>
      <c r="AA338" t="s">
        <v>783</v>
      </c>
    </row>
    <row r="339" spans="3:30" ht="18" customHeight="1">
      <c r="C339" s="21"/>
      <c r="E339" s="71" t="s">
        <v>70</v>
      </c>
      <c r="G339" s="79" t="s">
        <v>317</v>
      </c>
    </row>
    <row r="340" spans="3:30" ht="18" customHeight="1">
      <c r="C340" s="21"/>
      <c r="E340" s="71" t="s">
        <v>62</v>
      </c>
      <c r="G340" s="79" t="s">
        <v>317</v>
      </c>
    </row>
    <row r="341" spans="3:30" ht="18" customHeight="1">
      <c r="C341" s="21"/>
      <c r="E341" s="71" t="s">
        <v>80</v>
      </c>
      <c r="G341" s="79" t="s">
        <v>317</v>
      </c>
      <c r="AB341" t="s">
        <v>80</v>
      </c>
      <c r="AC341">
        <v>59021</v>
      </c>
      <c r="AD341" t="s">
        <v>835</v>
      </c>
    </row>
    <row r="342" spans="3:30" ht="18" customHeight="1">
      <c r="C342" s="79" t="s">
        <v>318</v>
      </c>
      <c r="E342" s="71" t="s">
        <v>325</v>
      </c>
      <c r="G342" s="79" t="s">
        <v>66</v>
      </c>
    </row>
    <row r="343" spans="3:30" ht="18" customHeight="1">
      <c r="C343" s="79" t="s">
        <v>319</v>
      </c>
      <c r="E343" s="71" t="s">
        <v>326</v>
      </c>
      <c r="G343" s="79" t="s">
        <v>66</v>
      </c>
    </row>
    <row r="344" spans="3:30" ht="18" customHeight="1">
      <c r="C344" s="79" t="s">
        <v>320</v>
      </c>
      <c r="E344" s="71" t="s">
        <v>327</v>
      </c>
      <c r="G344" s="79" t="s">
        <v>66</v>
      </c>
      <c r="Y344" t="s">
        <v>1155</v>
      </c>
      <c r="Z344">
        <v>15756</v>
      </c>
      <c r="AA344" t="s">
        <v>784</v>
      </c>
    </row>
    <row r="345" spans="3:30" ht="18" customHeight="1">
      <c r="C345" s="21"/>
      <c r="E345" s="71" t="s">
        <v>328</v>
      </c>
      <c r="G345" s="79" t="s">
        <v>66</v>
      </c>
    </row>
    <row r="346" spans="3:30" ht="18" customHeight="1">
      <c r="C346" s="79" t="s">
        <v>308</v>
      </c>
      <c r="E346" s="71" t="s">
        <v>71</v>
      </c>
      <c r="G346" s="79" t="s">
        <v>309</v>
      </c>
      <c r="Y346" t="s">
        <v>1156</v>
      </c>
      <c r="Z346">
        <v>25962</v>
      </c>
      <c r="AA346" t="s">
        <v>785</v>
      </c>
    </row>
    <row r="347" spans="3:30" ht="18" customHeight="1">
      <c r="C347" s="79"/>
      <c r="E347" s="71"/>
      <c r="G347" s="79"/>
    </row>
    <row r="348" spans="3:30" ht="18" customHeight="1">
      <c r="C348" s="21"/>
      <c r="E348" s="71"/>
      <c r="G348" s="21"/>
    </row>
  </sheetData>
  <autoFilter ref="A13:AD13" xr:uid="{00000000-0001-0000-0B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AD24">
    <sortCondition ref="B14:B24"/>
  </sortState>
  <phoneticPr fontId="6"/>
  <conditionalFormatting sqref="V14:V73">
    <cfRule type="cellIs" dxfId="49" priority="4" stopIfTrue="1" operator="notBetween">
      <formula>"A"</formula>
      <formula>"Ｂ"</formula>
    </cfRule>
  </conditionalFormatting>
  <conditionalFormatting sqref="W14:W73">
    <cfRule type="cellIs" dxfId="48" priority="3" stopIfTrue="1" operator="between">
      <formula>"-"</formula>
      <formula>"申請中"</formula>
    </cfRule>
  </conditionalFormatting>
  <conditionalFormatting sqref="Y14:Z73">
    <cfRule type="expression" dxfId="47" priority="2">
      <formula>Y14&lt;&gt;C14</formula>
    </cfRule>
  </conditionalFormatting>
  <conditionalFormatting sqref="AB14:AC73">
    <cfRule type="expression" dxfId="46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3</xdr:row>
                    <xdr:rowOff>0</xdr:rowOff>
                  </from>
                  <to>
                    <xdr:col>27</xdr:col>
                    <xdr:colOff>198120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>
    <tabColor rgb="FFFFC000"/>
  </sheetPr>
  <dimension ref="A1:AD348"/>
  <sheetViews>
    <sheetView topLeftCell="A4" zoomScale="91" zoomScaleNormal="91" workbookViewId="0">
      <selection activeCell="G27" sqref="G27"/>
    </sheetView>
  </sheetViews>
  <sheetFormatPr defaultColWidth="9.6640625" defaultRowHeight="18" customHeight="1"/>
  <cols>
    <col min="1" max="1" width="6.6640625" style="20" customWidth="1"/>
    <col min="2" max="2" width="6.6640625" style="172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172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9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9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9" t="s">
        <v>6</v>
      </c>
      <c r="C4" s="35">
        <v>23</v>
      </c>
      <c r="D4" s="26" t="s">
        <v>7</v>
      </c>
      <c r="E4" s="27" t="s">
        <v>8</v>
      </c>
      <c r="F4" s="268" t="s">
        <v>594</v>
      </c>
      <c r="G4" s="31"/>
      <c r="H4" s="74" t="s">
        <v>590</v>
      </c>
      <c r="J4" s="27" t="s">
        <v>9</v>
      </c>
      <c r="K4" s="36" t="s">
        <v>58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B5" s="29"/>
      <c r="C5" s="27" t="s">
        <v>11</v>
      </c>
      <c r="D5" s="28" t="s">
        <v>58</v>
      </c>
      <c r="E5" s="27" t="s">
        <v>12</v>
      </c>
      <c r="F5" s="38" t="s">
        <v>58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B6" s="29"/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173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173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173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173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173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Y11"/>
      <c r="Z11"/>
      <c r="AA11"/>
      <c r="AB11"/>
      <c r="AC11"/>
      <c r="AD11"/>
    </row>
    <row r="12" spans="1:30" ht="15" customHeight="1">
      <c r="A12" s="46"/>
      <c r="B12" s="47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 t="s">
        <v>1419</v>
      </c>
      <c r="B14" s="171">
        <v>1</v>
      </c>
      <c r="C14" s="121" t="s">
        <v>1401</v>
      </c>
      <c r="D14" s="278">
        <v>28809</v>
      </c>
      <c r="E14" s="148" t="s">
        <v>1481</v>
      </c>
      <c r="F14" s="282">
        <v>61600</v>
      </c>
      <c r="G14" s="158" t="s">
        <v>1351</v>
      </c>
      <c r="H14" s="23"/>
      <c r="I14" s="23"/>
      <c r="J14" s="64" t="str">
        <f t="shared" ref="J14:J32" si="0">IF(H14="","",H14+I14)</f>
        <v/>
      </c>
      <c r="K14" s="65"/>
      <c r="L14" s="65"/>
      <c r="M14" s="66" t="str">
        <f t="shared" ref="M14:M32" si="1">IF(L14="","",K14+L14)</f>
        <v/>
      </c>
      <c r="N14" s="23"/>
      <c r="O14" s="23"/>
      <c r="P14" s="64" t="str">
        <f t="shared" ref="P14:P32" si="2">IF(N14="","",N14+O14)</f>
        <v/>
      </c>
      <c r="Q14" s="65"/>
      <c r="R14" s="65"/>
      <c r="S14" s="66" t="str">
        <f t="shared" ref="S14:S32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/>
      <c r="Z14"/>
      <c r="AA14"/>
      <c r="AB14" t="s">
        <v>648</v>
      </c>
      <c r="AC14">
        <v>59546</v>
      </c>
      <c r="AD14" t="s">
        <v>852</v>
      </c>
    </row>
    <row r="15" spans="1:30" s="69" customFormat="1" ht="18" customHeight="1">
      <c r="A15" s="62"/>
      <c r="B15" s="171">
        <v>2</v>
      </c>
      <c r="C15" s="125" t="s">
        <v>1435</v>
      </c>
      <c r="D15" s="300" t="s">
        <v>1324</v>
      </c>
      <c r="E15" s="125" t="s">
        <v>1371</v>
      </c>
      <c r="F15" s="300" t="s">
        <v>1324</v>
      </c>
      <c r="G15" s="157" t="s">
        <v>1373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 t="s">
        <v>1160</v>
      </c>
      <c r="Z15">
        <v>33330</v>
      </c>
      <c r="AA15" t="s">
        <v>842</v>
      </c>
      <c r="AB15" t="s">
        <v>847</v>
      </c>
      <c r="AC15">
        <v>57094</v>
      </c>
      <c r="AD15" t="s">
        <v>846</v>
      </c>
    </row>
    <row r="16" spans="1:30" s="69" customFormat="1" ht="18" customHeight="1">
      <c r="A16" s="62" t="s">
        <v>1419</v>
      </c>
      <c r="B16" s="171">
        <v>3</v>
      </c>
      <c r="C16" s="125" t="s">
        <v>1199</v>
      </c>
      <c r="D16" s="265">
        <v>7270</v>
      </c>
      <c r="E16" s="238" t="s">
        <v>1322</v>
      </c>
      <c r="F16" s="271">
        <v>60672</v>
      </c>
      <c r="G16" s="157" t="s">
        <v>1318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/>
      <c r="Z16"/>
      <c r="AA16"/>
      <c r="AB16"/>
      <c r="AC16"/>
      <c r="AD16"/>
    </row>
    <row r="17" spans="1:30" s="69" customFormat="1" ht="18" customHeight="1">
      <c r="A17" s="62" t="s">
        <v>1419</v>
      </c>
      <c r="B17" s="171">
        <v>4</v>
      </c>
      <c r="C17" s="120" t="s">
        <v>656</v>
      </c>
      <c r="D17" s="265">
        <v>19572</v>
      </c>
      <c r="E17" s="151" t="s">
        <v>1421</v>
      </c>
      <c r="F17" s="271">
        <v>61394</v>
      </c>
      <c r="G17" s="126" t="s">
        <v>1363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/>
      <c r="AC17"/>
      <c r="AD17"/>
    </row>
    <row r="18" spans="1:30" s="69" customFormat="1" ht="18" customHeight="1">
      <c r="A18" s="62"/>
      <c r="B18" s="171">
        <v>5</v>
      </c>
      <c r="C18" s="125" t="s">
        <v>1426</v>
      </c>
      <c r="D18" s="265" t="s">
        <v>1324</v>
      </c>
      <c r="E18" s="125" t="s">
        <v>1377</v>
      </c>
      <c r="F18" s="271">
        <v>58308</v>
      </c>
      <c r="G18" s="122" t="s">
        <v>1379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/>
      <c r="Z18"/>
      <c r="AA18"/>
      <c r="AB18" t="s">
        <v>641</v>
      </c>
      <c r="AC18">
        <v>58347</v>
      </c>
      <c r="AD18" t="s">
        <v>841</v>
      </c>
    </row>
    <row r="19" spans="1:30" s="69" customFormat="1" ht="18" customHeight="1">
      <c r="A19" s="62" t="s">
        <v>1419</v>
      </c>
      <c r="B19" s="171">
        <v>6</v>
      </c>
      <c r="C19" s="125" t="s">
        <v>1142</v>
      </c>
      <c r="D19" s="265">
        <v>18717</v>
      </c>
      <c r="E19" s="161" t="s">
        <v>1422</v>
      </c>
      <c r="F19" s="275" t="s">
        <v>1344</v>
      </c>
      <c r="G19" s="127" t="s">
        <v>1342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/>
      <c r="Z19"/>
      <c r="AA19"/>
      <c r="AB19"/>
      <c r="AC19"/>
      <c r="AD19"/>
    </row>
    <row r="20" spans="1:30" s="69" customFormat="1" ht="18" customHeight="1">
      <c r="A20" s="62"/>
      <c r="B20" s="171">
        <v>7</v>
      </c>
      <c r="C20" s="120" t="s">
        <v>1423</v>
      </c>
      <c r="D20" s="278" t="s">
        <v>1324</v>
      </c>
      <c r="E20" s="148" t="s">
        <v>1424</v>
      </c>
      <c r="F20" s="298" t="s">
        <v>1344</v>
      </c>
      <c r="G20" s="120" t="s">
        <v>1356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 t="s">
        <v>1157</v>
      </c>
      <c r="Z20">
        <v>32787</v>
      </c>
      <c r="AA20" t="s">
        <v>837</v>
      </c>
      <c r="AB20" t="s">
        <v>641</v>
      </c>
      <c r="AC20">
        <v>58347</v>
      </c>
      <c r="AD20" t="s">
        <v>841</v>
      </c>
    </row>
    <row r="21" spans="1:30" s="69" customFormat="1" ht="18" customHeight="1">
      <c r="A21" s="62"/>
      <c r="B21" s="116">
        <v>8</v>
      </c>
      <c r="C21" s="125" t="s">
        <v>1425</v>
      </c>
      <c r="D21" s="271">
        <v>11976</v>
      </c>
      <c r="E21" s="125" t="s">
        <v>1394</v>
      </c>
      <c r="F21" s="301" t="s">
        <v>1324</v>
      </c>
      <c r="G21" s="122" t="s">
        <v>1393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/>
      <c r="Z21"/>
      <c r="AA21"/>
      <c r="AB21"/>
      <c r="AC21"/>
      <c r="AD21"/>
    </row>
    <row r="22" spans="1:30" s="69" customFormat="1" ht="18" customHeight="1">
      <c r="A22" s="62"/>
      <c r="B22" s="171">
        <v>9</v>
      </c>
      <c r="C22" s="120" t="s">
        <v>1482</v>
      </c>
      <c r="D22" s="300" t="s">
        <v>1324</v>
      </c>
      <c r="E22" s="246" t="s">
        <v>1339</v>
      </c>
      <c r="F22" s="282" t="s">
        <v>1324</v>
      </c>
      <c r="G22" s="126" t="s">
        <v>1337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/>
      <c r="Z22"/>
      <c r="AA22"/>
      <c r="AB22"/>
      <c r="AC22"/>
      <c r="AD22"/>
    </row>
    <row r="23" spans="1:30" s="69" customFormat="1" ht="18" customHeight="1">
      <c r="A23" s="62"/>
      <c r="B23" s="116">
        <v>10</v>
      </c>
      <c r="C23" s="125" t="s">
        <v>1483</v>
      </c>
      <c r="D23" s="265">
        <v>33314</v>
      </c>
      <c r="E23" s="125" t="s">
        <v>1481</v>
      </c>
      <c r="F23" s="271">
        <v>61600</v>
      </c>
      <c r="G23" s="122" t="s">
        <v>1351</v>
      </c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 t="s">
        <v>1161</v>
      </c>
      <c r="Z23">
        <v>28381</v>
      </c>
      <c r="AA23" t="s">
        <v>843</v>
      </c>
      <c r="AB23"/>
      <c r="AC23"/>
      <c r="AD23"/>
    </row>
    <row r="24" spans="1:30" s="69" customFormat="1" ht="18" customHeight="1">
      <c r="A24" s="62"/>
      <c r="B24" s="171">
        <v>11</v>
      </c>
      <c r="C24" s="125" t="s">
        <v>1168</v>
      </c>
      <c r="D24" s="265">
        <v>17971</v>
      </c>
      <c r="E24" s="125" t="s">
        <v>1421</v>
      </c>
      <c r="F24" s="271">
        <v>61394</v>
      </c>
      <c r="G24" s="120" t="s">
        <v>1363</v>
      </c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/>
      <c r="Z24"/>
      <c r="AA24"/>
      <c r="AB24"/>
      <c r="AC24"/>
      <c r="AD24"/>
    </row>
    <row r="25" spans="1:30" s="69" customFormat="1" ht="18" customHeight="1">
      <c r="A25" s="62"/>
      <c r="B25" s="116">
        <v>12</v>
      </c>
      <c r="C25" s="125" t="s">
        <v>1418</v>
      </c>
      <c r="D25" s="265" t="s">
        <v>1324</v>
      </c>
      <c r="E25" s="155" t="s">
        <v>1371</v>
      </c>
      <c r="F25" s="274" t="s">
        <v>1324</v>
      </c>
      <c r="G25" s="157" t="s">
        <v>1373</v>
      </c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/>
      <c r="Z25"/>
      <c r="AA25"/>
      <c r="AB25"/>
      <c r="AC25"/>
      <c r="AD25"/>
    </row>
    <row r="26" spans="1:30" s="69" customFormat="1" ht="18" customHeight="1">
      <c r="A26" s="62"/>
      <c r="B26" s="171">
        <v>13</v>
      </c>
      <c r="C26" s="125" t="s">
        <v>1321</v>
      </c>
      <c r="D26" s="265">
        <v>31486</v>
      </c>
      <c r="E26" s="125" t="s">
        <v>1322</v>
      </c>
      <c r="F26" s="271">
        <v>60672</v>
      </c>
      <c r="G26" s="168" t="s">
        <v>1318</v>
      </c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e">
        <f>IF($C26="","",VLOOKUP($C26,#REF!,4,FALSE))</f>
        <v>#REF!</v>
      </c>
      <c r="W26" s="72" t="e">
        <f>IF($E26="","",VLOOKUP($E26,#REF!,4,FALSE))</f>
        <v>#REF!</v>
      </c>
      <c r="Y26"/>
      <c r="Z26"/>
      <c r="AA26"/>
      <c r="AB26"/>
      <c r="AC26"/>
      <c r="AD26"/>
    </row>
    <row r="27" spans="1:30" s="69" customFormat="1" ht="18" customHeight="1">
      <c r="A27" s="62"/>
      <c r="B27" s="116">
        <v>14</v>
      </c>
      <c r="C27" s="125" t="s">
        <v>1428</v>
      </c>
      <c r="D27" s="265">
        <v>32890</v>
      </c>
      <c r="E27" s="125" t="s">
        <v>1357</v>
      </c>
      <c r="F27" s="271">
        <v>58668</v>
      </c>
      <c r="G27" s="127" t="s">
        <v>1356</v>
      </c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e">
        <f>IF($C27="","",VLOOKUP($C27,#REF!,4,FALSE))</f>
        <v>#REF!</v>
      </c>
      <c r="W27" s="72" t="e">
        <f>IF($E27="","",VLOOKUP($E27,#REF!,4,FALSE))</f>
        <v>#REF!</v>
      </c>
      <c r="Y27"/>
      <c r="Z27"/>
      <c r="AA27"/>
      <c r="AB27"/>
      <c r="AC27"/>
      <c r="AD27"/>
    </row>
    <row r="28" spans="1:30" s="69" customFormat="1" ht="18" customHeight="1">
      <c r="A28" s="62"/>
      <c r="B28" s="171">
        <v>15</v>
      </c>
      <c r="C28" s="125" t="s">
        <v>1429</v>
      </c>
      <c r="D28" s="265">
        <v>32494</v>
      </c>
      <c r="E28" s="125" t="s">
        <v>1346</v>
      </c>
      <c r="F28" s="271" t="s">
        <v>1344</v>
      </c>
      <c r="G28" s="122" t="s">
        <v>1342</v>
      </c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e">
        <f>IF($C28="","",VLOOKUP($C28,#REF!,4,FALSE))</f>
        <v>#REF!</v>
      </c>
      <c r="W28" s="72" t="e">
        <f>IF($E28="","",VLOOKUP($E28,#REF!,4,FALSE))</f>
        <v>#REF!</v>
      </c>
      <c r="Y28"/>
      <c r="Z28"/>
      <c r="AA28"/>
      <c r="AB28" t="s">
        <v>693</v>
      </c>
      <c r="AC28">
        <v>57478</v>
      </c>
      <c r="AD28" t="s">
        <v>849</v>
      </c>
    </row>
    <row r="29" spans="1:30" s="69" customFormat="1" ht="18" customHeight="1">
      <c r="A29" s="62"/>
      <c r="B29" s="116">
        <v>16</v>
      </c>
      <c r="C29" s="120" t="s">
        <v>1157</v>
      </c>
      <c r="D29" s="265">
        <v>32787</v>
      </c>
      <c r="E29" s="125" t="s">
        <v>1392</v>
      </c>
      <c r="F29" s="271">
        <v>61272</v>
      </c>
      <c r="G29" s="122" t="s">
        <v>1393</v>
      </c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e">
        <f>IF($C29="","",VLOOKUP($C29,#REF!,4,FALSE))</f>
        <v>#REF!</v>
      </c>
      <c r="W29" s="72" t="e">
        <f>IF($E29="","",VLOOKUP($E29,#REF!,4,FALSE))</f>
        <v>#REF!</v>
      </c>
      <c r="Y29"/>
      <c r="Z29"/>
      <c r="AA29"/>
      <c r="AB29"/>
      <c r="AC29"/>
      <c r="AD29"/>
    </row>
    <row r="30" spans="1:30" s="69" customFormat="1" ht="18" customHeight="1">
      <c r="A30" s="62"/>
      <c r="B30" s="116">
        <v>17</v>
      </c>
      <c r="C30" s="125" t="s">
        <v>1158</v>
      </c>
      <c r="D30" s="265">
        <v>31690</v>
      </c>
      <c r="E30" s="125" t="s">
        <v>655</v>
      </c>
      <c r="F30" s="271">
        <v>59650</v>
      </c>
      <c r="G30" s="122" t="s">
        <v>1363</v>
      </c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e">
        <f>IF($C30="","",VLOOKUP($C30,#REF!,4,FALSE))</f>
        <v>#REF!</v>
      </c>
      <c r="W30" s="72" t="e">
        <f>IF($E30="","",VLOOKUP($E30,#REF!,4,FALSE))</f>
        <v>#REF!</v>
      </c>
      <c r="Y30"/>
      <c r="Z30"/>
      <c r="AA30"/>
      <c r="AB30" t="s">
        <v>669</v>
      </c>
      <c r="AC30">
        <v>60744</v>
      </c>
      <c r="AD30" t="s">
        <v>848</v>
      </c>
    </row>
    <row r="31" spans="1:30" s="69" customFormat="1" ht="18" customHeight="1">
      <c r="A31" s="62"/>
      <c r="B31" s="171">
        <v>18</v>
      </c>
      <c r="C31" s="164" t="s">
        <v>1484</v>
      </c>
      <c r="D31" s="278">
        <v>34299</v>
      </c>
      <c r="E31" s="170" t="s" ph="1">
        <v>1485</v>
      </c>
      <c r="F31" s="282">
        <v>62092</v>
      </c>
      <c r="G31" s="139" t="s">
        <v>1397</v>
      </c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e">
        <f>IF($C31="","",VLOOKUP($C31,#REF!,4,FALSE))</f>
        <v>#REF!</v>
      </c>
      <c r="W31" s="72" t="e">
        <f>IF($E31="","",VLOOKUP($E31,#REF!,4,FALSE))</f>
        <v>#REF!</v>
      </c>
      <c r="Y31" t="s">
        <v>1162</v>
      </c>
      <c r="Z31">
        <v>30373</v>
      </c>
      <c r="AA31" t="s">
        <v>844</v>
      </c>
      <c r="AB31"/>
      <c r="AC31"/>
      <c r="AD31"/>
    </row>
    <row r="32" spans="1:30" s="69" customFormat="1" ht="18" customHeight="1">
      <c r="A32" s="62"/>
      <c r="B32" s="171">
        <v>19</v>
      </c>
      <c r="C32" s="123" t="s">
        <v>1430</v>
      </c>
      <c r="D32" s="278" t="s">
        <v>1324</v>
      </c>
      <c r="E32" s="155" t="s">
        <v>1347</v>
      </c>
      <c r="F32" s="271" t="s">
        <v>1344</v>
      </c>
      <c r="G32" s="157" t="s">
        <v>1342</v>
      </c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e">
        <f>IF($C32="","",VLOOKUP($C32,#REF!,4,FALSE))</f>
        <v>#REF!</v>
      </c>
      <c r="W32" s="72" t="e">
        <f>IF($E32="","",VLOOKUP($E32,#REF!,4,FALSE))</f>
        <v>#REF!</v>
      </c>
      <c r="Y32"/>
      <c r="Z32"/>
      <c r="AA32"/>
      <c r="AB32"/>
      <c r="AC32"/>
      <c r="AD32"/>
    </row>
    <row r="33" spans="1:30" s="69" customFormat="1" ht="18" customHeight="1">
      <c r="A33" s="62"/>
      <c r="B33" s="171">
        <v>20</v>
      </c>
      <c r="C33" s="125" t="s">
        <v>1162</v>
      </c>
      <c r="D33" s="265">
        <v>30373</v>
      </c>
      <c r="E33" s="125" t="s">
        <v>549</v>
      </c>
      <c r="F33" s="271">
        <v>58339</v>
      </c>
      <c r="G33" s="157" t="s">
        <v>1431</v>
      </c>
      <c r="H33" s="23"/>
      <c r="I33" s="23"/>
      <c r="J33" s="64" t="str">
        <f t="shared" ref="J33:J45" si="4">IF(H33="","",H33+I33)</f>
        <v/>
      </c>
      <c r="K33" s="65"/>
      <c r="L33" s="65"/>
      <c r="M33" s="66" t="str">
        <f t="shared" ref="M33:M45" si="5">IF(L33="","",K33+L33)</f>
        <v/>
      </c>
      <c r="N33" s="23"/>
      <c r="O33" s="23"/>
      <c r="P33" s="64" t="str">
        <f t="shared" ref="P33:P45" si="6">IF(N33="","",N33+O33)</f>
        <v/>
      </c>
      <c r="Q33" s="65"/>
      <c r="R33" s="65"/>
      <c r="S33" s="66" t="str">
        <f t="shared" ref="S33:S45" si="7">IF(R33="","",Q33+R33)</f>
        <v/>
      </c>
      <c r="T33" s="67"/>
      <c r="U33" s="68"/>
      <c r="V33" s="18" t="e">
        <f>IF($C33="","",VLOOKUP($C33,#REF!,4,FALSE))</f>
        <v>#REF!</v>
      </c>
      <c r="W33" s="72" t="e">
        <f>IF($E33="","",VLOOKUP($E33,#REF!,4,FALSE))</f>
        <v>#REF!</v>
      </c>
      <c r="Y33" t="s">
        <v>1163</v>
      </c>
      <c r="Z33">
        <v>32786</v>
      </c>
      <c r="AA33" t="s">
        <v>845</v>
      </c>
      <c r="AB33" t="s">
        <v>640</v>
      </c>
      <c r="AC33">
        <v>57349</v>
      </c>
      <c r="AD33" t="s">
        <v>851</v>
      </c>
    </row>
    <row r="34" spans="1:30" s="69" customFormat="1" ht="18" customHeight="1">
      <c r="A34" s="62"/>
      <c r="B34" s="171">
        <v>21</v>
      </c>
      <c r="C34" s="120" t="s">
        <v>1427</v>
      </c>
      <c r="D34" s="265" t="s">
        <v>1324</v>
      </c>
      <c r="E34" s="151" t="s">
        <v>1371</v>
      </c>
      <c r="F34" s="271" t="s">
        <v>1324</v>
      </c>
      <c r="G34" s="158" t="s">
        <v>1373</v>
      </c>
      <c r="H34" s="23"/>
      <c r="I34" s="23"/>
      <c r="J34" s="64" t="str">
        <f t="shared" si="4"/>
        <v/>
      </c>
      <c r="K34" s="65"/>
      <c r="L34" s="65"/>
      <c r="M34" s="66" t="str">
        <f t="shared" si="5"/>
        <v/>
      </c>
      <c r="N34" s="23"/>
      <c r="O34" s="23"/>
      <c r="P34" s="64" t="str">
        <f t="shared" si="6"/>
        <v/>
      </c>
      <c r="Q34" s="65"/>
      <c r="R34" s="65"/>
      <c r="S34" s="66" t="str">
        <f t="shared" si="7"/>
        <v/>
      </c>
      <c r="T34" s="67"/>
      <c r="U34" s="68"/>
      <c r="V34" s="18" t="e">
        <f>IF($C34="","",VLOOKUP($C34,#REF!,4,FALSE))</f>
        <v>#REF!</v>
      </c>
      <c r="W34" s="72" t="e">
        <f>IF($E34="","",VLOOKUP($E34,#REF!,4,FALSE))</f>
        <v>#REF!</v>
      </c>
      <c r="Y34"/>
      <c r="Z34"/>
      <c r="AA34"/>
      <c r="AB34"/>
      <c r="AC34"/>
      <c r="AD34"/>
    </row>
    <row r="35" spans="1:30" s="69" customFormat="1" ht="18" customHeight="1">
      <c r="A35" s="62"/>
      <c r="B35" s="171">
        <v>22</v>
      </c>
      <c r="C35" s="125" t="s">
        <v>1432</v>
      </c>
      <c r="D35" s="265" t="s">
        <v>1324</v>
      </c>
      <c r="E35" s="160" t="s">
        <v>1355</v>
      </c>
      <c r="F35" s="275" t="s">
        <v>1344</v>
      </c>
      <c r="G35" s="198" t="s">
        <v>1356</v>
      </c>
      <c r="H35" s="23"/>
      <c r="I35" s="23"/>
      <c r="J35" s="64" t="str">
        <f t="shared" si="4"/>
        <v/>
      </c>
      <c r="K35" s="65"/>
      <c r="L35" s="65"/>
      <c r="M35" s="66" t="str">
        <f t="shared" si="5"/>
        <v/>
      </c>
      <c r="N35" s="23"/>
      <c r="O35" s="23"/>
      <c r="P35" s="64" t="str">
        <f t="shared" si="6"/>
        <v/>
      </c>
      <c r="Q35" s="65"/>
      <c r="R35" s="65"/>
      <c r="S35" s="66" t="str">
        <f t="shared" si="7"/>
        <v/>
      </c>
      <c r="T35" s="67"/>
      <c r="U35" s="68"/>
      <c r="V35" s="18" t="e">
        <f>IF($C35="","",VLOOKUP($C35,#REF!,4,FALSE))</f>
        <v>#REF!</v>
      </c>
      <c r="W35" s="72" t="e">
        <f>IF($E35="","",VLOOKUP($E35,#REF!,4,FALSE))</f>
        <v>#REF!</v>
      </c>
      <c r="Y35"/>
      <c r="Z35"/>
      <c r="AA35"/>
      <c r="AB35"/>
      <c r="AC35"/>
      <c r="AD35"/>
    </row>
    <row r="36" spans="1:30" s="69" customFormat="1" ht="18" customHeight="1">
      <c r="A36" s="62"/>
      <c r="B36" s="171">
        <v>23</v>
      </c>
      <c r="C36" s="125" t="s">
        <v>1433</v>
      </c>
      <c r="D36" s="265" t="s">
        <v>1324</v>
      </c>
      <c r="E36" s="125" t="s">
        <v>1434</v>
      </c>
      <c r="F36" s="271">
        <v>57574</v>
      </c>
      <c r="G36" s="122" t="s">
        <v>1356</v>
      </c>
      <c r="H36" s="23"/>
      <c r="I36" s="23"/>
      <c r="J36" s="64" t="str">
        <f t="shared" si="4"/>
        <v/>
      </c>
      <c r="K36" s="65"/>
      <c r="L36" s="65"/>
      <c r="M36" s="66" t="str">
        <f t="shared" si="5"/>
        <v/>
      </c>
      <c r="N36" s="23"/>
      <c r="O36" s="23"/>
      <c r="P36" s="64" t="str">
        <f t="shared" si="6"/>
        <v/>
      </c>
      <c r="Q36" s="65"/>
      <c r="R36" s="65"/>
      <c r="S36" s="66" t="str">
        <f t="shared" si="7"/>
        <v/>
      </c>
      <c r="T36" s="67"/>
      <c r="U36" s="68"/>
      <c r="V36" s="18" t="e">
        <f>IF($C36="","",VLOOKUP($C36,#REF!,4,FALSE))</f>
        <v>#REF!</v>
      </c>
      <c r="W36" s="72" t="e">
        <f>IF($E36="","",VLOOKUP($E36,#REF!,4,FALSE))</f>
        <v>#REF!</v>
      </c>
      <c r="Y36"/>
      <c r="Z36"/>
      <c r="AA36"/>
      <c r="AB36"/>
      <c r="AC36"/>
      <c r="AD36"/>
    </row>
    <row r="37" spans="1:30" s="69" customFormat="1" ht="18" customHeight="1">
      <c r="A37" s="62"/>
      <c r="B37" s="116">
        <v>24</v>
      </c>
      <c r="C37" s="121" t="s">
        <v>1479</v>
      </c>
      <c r="D37" s="278">
        <v>33226</v>
      </c>
      <c r="E37" s="148" t="s">
        <v>1360</v>
      </c>
      <c r="F37" s="282">
        <v>61773</v>
      </c>
      <c r="G37" s="126" t="s">
        <v>1361</v>
      </c>
      <c r="H37" s="23"/>
      <c r="I37" s="23"/>
      <c r="J37" s="64" t="str">
        <f t="shared" si="4"/>
        <v/>
      </c>
      <c r="K37" s="65"/>
      <c r="L37" s="65"/>
      <c r="M37" s="66" t="str">
        <f t="shared" si="5"/>
        <v/>
      </c>
      <c r="N37" s="23"/>
      <c r="O37" s="23"/>
      <c r="P37" s="64" t="str">
        <f t="shared" si="6"/>
        <v/>
      </c>
      <c r="Q37" s="65"/>
      <c r="R37" s="65"/>
      <c r="S37" s="66" t="str">
        <f t="shared" si="7"/>
        <v/>
      </c>
      <c r="T37" s="67"/>
      <c r="U37" s="68"/>
      <c r="V37" s="18" t="e">
        <f>IF($C37="","",VLOOKUP($C37,#REF!,4,FALSE))</f>
        <v>#REF!</v>
      </c>
      <c r="W37" s="72" t="e">
        <f>IF($E37="","",VLOOKUP($E37,#REF!,4,FALSE))</f>
        <v>#REF!</v>
      </c>
      <c r="Y37"/>
      <c r="Z37"/>
      <c r="AA37"/>
      <c r="AB37"/>
      <c r="AC37"/>
      <c r="AD37"/>
    </row>
    <row r="38" spans="1:30" s="69" customFormat="1" ht="18" customHeight="1">
      <c r="A38" s="62"/>
      <c r="B38" s="171">
        <v>25</v>
      </c>
      <c r="C38" s="125" t="s">
        <v>1486</v>
      </c>
      <c r="D38" s="265" t="s">
        <v>1324</v>
      </c>
      <c r="E38" s="125" t="s">
        <v>1469</v>
      </c>
      <c r="F38" s="271">
        <v>57863</v>
      </c>
      <c r="G38" s="157" t="s">
        <v>1397</v>
      </c>
      <c r="H38" s="23"/>
      <c r="I38" s="23"/>
      <c r="J38" s="64" t="str">
        <f t="shared" si="4"/>
        <v/>
      </c>
      <c r="K38" s="65"/>
      <c r="L38" s="65"/>
      <c r="M38" s="66" t="str">
        <f t="shared" si="5"/>
        <v/>
      </c>
      <c r="N38" s="23"/>
      <c r="O38" s="23"/>
      <c r="P38" s="64" t="str">
        <f t="shared" si="6"/>
        <v/>
      </c>
      <c r="Q38" s="65"/>
      <c r="R38" s="65"/>
      <c r="S38" s="66" t="str">
        <f t="shared" si="7"/>
        <v/>
      </c>
      <c r="T38" s="67"/>
      <c r="U38" s="68"/>
      <c r="V38" s="18" t="e">
        <f>IF($C38="","",VLOOKUP($C38,#REF!,4,FALSE))</f>
        <v>#REF!</v>
      </c>
      <c r="W38" s="72" t="e">
        <f>IF($E38="","",VLOOKUP($E38,#REF!,4,FALSE))</f>
        <v>#REF!</v>
      </c>
      <c r="Y38"/>
      <c r="Z38"/>
      <c r="AA38"/>
      <c r="AB38"/>
      <c r="AC38"/>
      <c r="AD38"/>
    </row>
    <row r="39" spans="1:30" s="69" customFormat="1" ht="18" customHeight="1">
      <c r="A39" s="62" t="s">
        <v>1465</v>
      </c>
      <c r="B39" s="171">
        <v>26</v>
      </c>
      <c r="C39" s="121" t="s">
        <v>1420</v>
      </c>
      <c r="D39" s="278">
        <v>21867</v>
      </c>
      <c r="E39" s="148" t="s" ph="1">
        <v>1377</v>
      </c>
      <c r="F39" s="282">
        <v>58308</v>
      </c>
      <c r="G39" s="139" t="s">
        <v>1379</v>
      </c>
      <c r="H39" s="23"/>
      <c r="I39" s="23"/>
      <c r="J39" s="64" t="str">
        <f t="shared" si="4"/>
        <v/>
      </c>
      <c r="K39" s="65"/>
      <c r="L39" s="65"/>
      <c r="M39" s="66" t="str">
        <f t="shared" si="5"/>
        <v/>
      </c>
      <c r="N39" s="23"/>
      <c r="O39" s="23"/>
      <c r="P39" s="64" t="str">
        <f t="shared" si="6"/>
        <v/>
      </c>
      <c r="Q39" s="65"/>
      <c r="R39" s="65"/>
      <c r="S39" s="66" t="str">
        <f t="shared" si="7"/>
        <v/>
      </c>
      <c r="T39" s="67"/>
      <c r="U39" s="68"/>
      <c r="V39" s="18" t="e">
        <f>IF($C39="","",VLOOKUP($C39,#REF!,4,FALSE))</f>
        <v>#REF!</v>
      </c>
      <c r="W39" s="72" t="e">
        <f>IF($E39="","",VLOOKUP($E39,#REF!,4,FALSE))</f>
        <v>#REF!</v>
      </c>
      <c r="Y39"/>
      <c r="Z39"/>
      <c r="AA39"/>
      <c r="AB39"/>
      <c r="AC39"/>
      <c r="AD39"/>
    </row>
    <row r="40" spans="1:30" s="69" customFormat="1" ht="18" customHeight="1">
      <c r="A40" s="62"/>
      <c r="B40" s="116">
        <v>27</v>
      </c>
      <c r="C40" s="125"/>
      <c r="D40" s="265"/>
      <c r="E40" s="155"/>
      <c r="F40" s="274"/>
      <c r="G40" s="157"/>
      <c r="H40" s="23"/>
      <c r="I40" s="23"/>
      <c r="J40" s="64" t="str">
        <f t="shared" si="4"/>
        <v/>
      </c>
      <c r="K40" s="65"/>
      <c r="L40" s="65"/>
      <c r="M40" s="66" t="str">
        <f t="shared" si="5"/>
        <v/>
      </c>
      <c r="N40" s="23"/>
      <c r="O40" s="23"/>
      <c r="P40" s="64" t="str">
        <f t="shared" si="6"/>
        <v/>
      </c>
      <c r="Q40" s="65"/>
      <c r="R40" s="65"/>
      <c r="S40" s="66" t="str">
        <f t="shared" si="7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171">
        <v>28</v>
      </c>
      <c r="C41" s="125"/>
      <c r="D41" s="265"/>
      <c r="E41" s="155"/>
      <c r="F41" s="274"/>
      <c r="G41" s="157"/>
      <c r="H41" s="23"/>
      <c r="I41" s="23"/>
      <c r="J41" s="64" t="str">
        <f t="shared" si="4"/>
        <v/>
      </c>
      <c r="K41" s="65"/>
      <c r="L41" s="65"/>
      <c r="M41" s="66" t="str">
        <f t="shared" si="5"/>
        <v/>
      </c>
      <c r="N41" s="23"/>
      <c r="O41" s="23"/>
      <c r="P41" s="64" t="str">
        <f t="shared" si="6"/>
        <v/>
      </c>
      <c r="Q41" s="65"/>
      <c r="R41" s="65"/>
      <c r="S41" s="66" t="str">
        <f t="shared" si="7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/>
      <c r="Z41"/>
      <c r="AA41"/>
      <c r="AB41"/>
      <c r="AC41"/>
      <c r="AD41"/>
    </row>
    <row r="42" spans="1:30" s="69" customFormat="1" ht="18" customHeight="1">
      <c r="A42" s="62"/>
      <c r="B42" s="171">
        <v>29</v>
      </c>
      <c r="C42" s="155"/>
      <c r="D42" s="265"/>
      <c r="E42" s="125"/>
      <c r="F42" s="271"/>
      <c r="G42" s="122"/>
      <c r="H42" s="23"/>
      <c r="I42" s="23"/>
      <c r="J42" s="64" t="str">
        <f t="shared" si="4"/>
        <v/>
      </c>
      <c r="K42" s="65"/>
      <c r="L42" s="65"/>
      <c r="M42" s="66" t="str">
        <f t="shared" si="5"/>
        <v/>
      </c>
      <c r="N42" s="23"/>
      <c r="O42" s="23"/>
      <c r="P42" s="64" t="str">
        <f t="shared" si="6"/>
        <v/>
      </c>
      <c r="Q42" s="65"/>
      <c r="R42" s="65"/>
      <c r="S42" s="66" t="str">
        <f t="shared" si="7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/>
      <c r="Z42"/>
      <c r="AA42"/>
      <c r="AB42"/>
      <c r="AC42"/>
      <c r="AD42"/>
    </row>
    <row r="43" spans="1:30" s="69" customFormat="1" ht="18" customHeight="1">
      <c r="A43" s="62"/>
      <c r="B43" s="116">
        <v>30</v>
      </c>
      <c r="C43" s="120"/>
      <c r="D43" s="300"/>
      <c r="E43" s="161"/>
      <c r="F43" s="275"/>
      <c r="G43" s="127"/>
      <c r="H43" s="23"/>
      <c r="I43" s="23"/>
      <c r="J43" s="64" t="str">
        <f t="shared" si="4"/>
        <v/>
      </c>
      <c r="K43" s="65"/>
      <c r="L43" s="65"/>
      <c r="M43" s="66" t="str">
        <f t="shared" si="5"/>
        <v/>
      </c>
      <c r="N43" s="23"/>
      <c r="O43" s="23"/>
      <c r="P43" s="64" t="str">
        <f t="shared" si="6"/>
        <v/>
      </c>
      <c r="Q43" s="65"/>
      <c r="R43" s="65"/>
      <c r="S43" s="66" t="str">
        <f t="shared" si="7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171">
        <v>31</v>
      </c>
      <c r="C44" s="125"/>
      <c r="D44" s="265"/>
      <c r="E44" s="125"/>
      <c r="F44" s="271"/>
      <c r="G44" s="122"/>
      <c r="H44" s="23"/>
      <c r="I44" s="23"/>
      <c r="J44" s="64" t="str">
        <f t="shared" si="4"/>
        <v/>
      </c>
      <c r="K44" s="65"/>
      <c r="L44" s="65"/>
      <c r="M44" s="66" t="str">
        <f t="shared" si="5"/>
        <v/>
      </c>
      <c r="N44" s="23"/>
      <c r="O44" s="23"/>
      <c r="P44" s="64" t="str">
        <f t="shared" si="6"/>
        <v/>
      </c>
      <c r="Q44" s="65"/>
      <c r="R44" s="65"/>
      <c r="S44" s="66" t="str">
        <f t="shared" si="7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171">
        <v>32</v>
      </c>
      <c r="C45" s="125"/>
      <c r="D45" s="265"/>
      <c r="E45" s="161"/>
      <c r="F45" s="275"/>
      <c r="G45" s="127"/>
      <c r="H45" s="23"/>
      <c r="I45" s="23"/>
      <c r="J45" s="64" t="str">
        <f t="shared" si="4"/>
        <v/>
      </c>
      <c r="K45" s="65"/>
      <c r="L45" s="65"/>
      <c r="M45" s="66" t="str">
        <f t="shared" si="5"/>
        <v/>
      </c>
      <c r="N45" s="23"/>
      <c r="O45" s="23"/>
      <c r="P45" s="64" t="str">
        <f t="shared" si="6"/>
        <v/>
      </c>
      <c r="Q45" s="65"/>
      <c r="R45" s="65"/>
      <c r="S45" s="66" t="str">
        <f t="shared" si="7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116">
        <v>33</v>
      </c>
      <c r="C46" s="125"/>
      <c r="D46" s="265"/>
      <c r="E46" s="155"/>
      <c r="F46" s="274"/>
      <c r="G46" s="157"/>
      <c r="H46" s="23"/>
      <c r="I46" s="23"/>
      <c r="J46" s="64" t="str">
        <f t="shared" ref="J46:J73" si="8">IF(H46="","",H46+I46)</f>
        <v/>
      </c>
      <c r="K46" s="65"/>
      <c r="L46" s="65"/>
      <c r="M46" s="66" t="str">
        <f t="shared" ref="M46:M73" si="9">IF(L46="","",K46+L46)</f>
        <v/>
      </c>
      <c r="N46" s="23"/>
      <c r="O46" s="23"/>
      <c r="P46" s="64" t="str">
        <f t="shared" ref="P46:P73" si="10">IF(N46="","",N46+O46)</f>
        <v/>
      </c>
      <c r="Q46" s="65"/>
      <c r="R46" s="65"/>
      <c r="S46" s="66" t="str">
        <f t="shared" ref="S46:S73" si="11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 t="s">
        <v>647</v>
      </c>
      <c r="AC46">
        <v>60987</v>
      </c>
      <c r="AD46" t="s">
        <v>850</v>
      </c>
    </row>
    <row r="47" spans="1:30" s="69" customFormat="1" ht="18" customHeight="1">
      <c r="A47" s="62"/>
      <c r="B47" s="171">
        <v>34</v>
      </c>
      <c r="C47" s="125"/>
      <c r="D47" s="265"/>
      <c r="E47" s="155"/>
      <c r="F47" s="274"/>
      <c r="G47" s="159"/>
      <c r="H47" s="23"/>
      <c r="I47" s="23"/>
      <c r="J47" s="64" t="str">
        <f t="shared" si="8"/>
        <v/>
      </c>
      <c r="K47" s="65"/>
      <c r="L47" s="65"/>
      <c r="M47" s="66" t="str">
        <f t="shared" si="9"/>
        <v/>
      </c>
      <c r="N47" s="23"/>
      <c r="O47" s="23"/>
      <c r="P47" s="64" t="str">
        <f t="shared" si="10"/>
        <v/>
      </c>
      <c r="Q47" s="65"/>
      <c r="R47" s="65"/>
      <c r="S47" s="66" t="str">
        <f t="shared" si="11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171">
        <v>35</v>
      </c>
      <c r="C48" s="125"/>
      <c r="D48" s="265"/>
      <c r="E48" s="125"/>
      <c r="F48" s="275"/>
      <c r="G48" s="126"/>
      <c r="H48" s="23"/>
      <c r="I48" s="23"/>
      <c r="J48" s="64" t="str">
        <f t="shared" si="8"/>
        <v/>
      </c>
      <c r="K48" s="65"/>
      <c r="L48" s="65"/>
      <c r="M48" s="66" t="str">
        <f t="shared" si="9"/>
        <v/>
      </c>
      <c r="N48" s="23"/>
      <c r="O48" s="23"/>
      <c r="P48" s="64" t="str">
        <f t="shared" si="10"/>
        <v/>
      </c>
      <c r="Q48" s="65"/>
      <c r="R48" s="65"/>
      <c r="S48" s="66" t="str">
        <f t="shared" si="11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116">
        <v>36</v>
      </c>
      <c r="C49" s="125"/>
      <c r="D49" s="265"/>
      <c r="E49" s="125"/>
      <c r="F49" s="271"/>
      <c r="G49" s="157"/>
      <c r="H49" s="23"/>
      <c r="I49" s="23"/>
      <c r="J49" s="64" t="str">
        <f t="shared" si="8"/>
        <v/>
      </c>
      <c r="K49" s="65"/>
      <c r="L49" s="65"/>
      <c r="M49" s="66" t="str">
        <f t="shared" si="9"/>
        <v/>
      </c>
      <c r="N49" s="23"/>
      <c r="O49" s="23"/>
      <c r="P49" s="64" t="str">
        <f t="shared" si="10"/>
        <v/>
      </c>
      <c r="Q49" s="65"/>
      <c r="R49" s="65"/>
      <c r="S49" s="66" t="str">
        <f t="shared" si="11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171">
        <v>37</v>
      </c>
      <c r="C50" s="125"/>
      <c r="D50" s="265"/>
      <c r="E50" s="125"/>
      <c r="F50" s="271"/>
      <c r="G50" s="122"/>
      <c r="H50" s="23"/>
      <c r="I50" s="23"/>
      <c r="J50" s="64" t="str">
        <f t="shared" si="8"/>
        <v/>
      </c>
      <c r="K50" s="65"/>
      <c r="L50" s="65"/>
      <c r="M50" s="66" t="str">
        <f t="shared" si="9"/>
        <v/>
      </c>
      <c r="N50" s="23"/>
      <c r="O50" s="23"/>
      <c r="P50" s="64" t="str">
        <f t="shared" si="10"/>
        <v/>
      </c>
      <c r="Q50" s="65"/>
      <c r="R50" s="65"/>
      <c r="S50" s="66" t="str">
        <f t="shared" si="11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171">
        <v>38</v>
      </c>
      <c r="C51" s="125"/>
      <c r="D51" s="265"/>
      <c r="E51" s="125"/>
      <c r="F51" s="271"/>
      <c r="G51" s="122"/>
      <c r="H51" s="23"/>
      <c r="I51" s="23"/>
      <c r="J51" s="64" t="str">
        <f t="shared" si="8"/>
        <v/>
      </c>
      <c r="K51" s="65"/>
      <c r="L51" s="65"/>
      <c r="M51" s="66" t="str">
        <f t="shared" si="9"/>
        <v/>
      </c>
      <c r="N51" s="23"/>
      <c r="O51" s="23"/>
      <c r="P51" s="64" t="str">
        <f t="shared" si="10"/>
        <v/>
      </c>
      <c r="Q51" s="65"/>
      <c r="R51" s="65"/>
      <c r="S51" s="66" t="str">
        <f t="shared" si="11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116">
        <v>39</v>
      </c>
      <c r="C52" s="125"/>
      <c r="D52" s="265"/>
      <c r="E52" s="125"/>
      <c r="F52" s="271"/>
      <c r="G52" s="122"/>
      <c r="H52" s="23"/>
      <c r="I52" s="23"/>
      <c r="J52" s="64" t="str">
        <f t="shared" si="8"/>
        <v/>
      </c>
      <c r="K52" s="65"/>
      <c r="L52" s="65"/>
      <c r="M52" s="66" t="str">
        <f t="shared" si="9"/>
        <v/>
      </c>
      <c r="N52" s="23"/>
      <c r="O52" s="23"/>
      <c r="P52" s="64" t="str">
        <f t="shared" si="10"/>
        <v/>
      </c>
      <c r="Q52" s="65"/>
      <c r="R52" s="65"/>
      <c r="S52" s="66" t="str">
        <f t="shared" si="11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171">
        <v>40</v>
      </c>
      <c r="C53" s="125"/>
      <c r="D53" s="265"/>
      <c r="E53" s="125"/>
      <c r="F53" s="271"/>
      <c r="G53" s="122"/>
      <c r="H53" s="23"/>
      <c r="I53" s="23"/>
      <c r="J53" s="64" t="str">
        <f t="shared" si="8"/>
        <v/>
      </c>
      <c r="K53" s="65"/>
      <c r="L53" s="65"/>
      <c r="M53" s="66" t="str">
        <f t="shared" si="9"/>
        <v/>
      </c>
      <c r="N53" s="23"/>
      <c r="O53" s="23"/>
      <c r="P53" s="64" t="str">
        <f t="shared" si="10"/>
        <v/>
      </c>
      <c r="Q53" s="65"/>
      <c r="R53" s="65"/>
      <c r="S53" s="66" t="str">
        <f t="shared" si="11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171">
        <v>41</v>
      </c>
      <c r="C54" s="125"/>
      <c r="D54" s="265"/>
      <c r="E54" s="125"/>
      <c r="F54" s="271"/>
      <c r="G54" s="122"/>
      <c r="H54" s="23"/>
      <c r="I54" s="23"/>
      <c r="J54" s="64" t="str">
        <f t="shared" si="8"/>
        <v/>
      </c>
      <c r="K54" s="65"/>
      <c r="L54" s="65"/>
      <c r="M54" s="66" t="str">
        <f t="shared" si="9"/>
        <v/>
      </c>
      <c r="N54" s="23"/>
      <c r="O54" s="23"/>
      <c r="P54" s="64" t="str">
        <f t="shared" si="10"/>
        <v/>
      </c>
      <c r="Q54" s="65"/>
      <c r="R54" s="65"/>
      <c r="S54" s="66" t="str">
        <f t="shared" si="11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116">
        <v>42</v>
      </c>
      <c r="C55" s="125"/>
      <c r="D55" s="265"/>
      <c r="E55" s="125"/>
      <c r="F55" s="271"/>
      <c r="G55" s="122"/>
      <c r="H55" s="23"/>
      <c r="I55" s="23"/>
      <c r="J55" s="64" t="str">
        <f t="shared" si="8"/>
        <v/>
      </c>
      <c r="K55" s="65"/>
      <c r="L55" s="65"/>
      <c r="M55" s="66" t="str">
        <f t="shared" si="9"/>
        <v/>
      </c>
      <c r="N55" s="23"/>
      <c r="O55" s="23"/>
      <c r="P55" s="64" t="str">
        <f t="shared" si="10"/>
        <v/>
      </c>
      <c r="Q55" s="65"/>
      <c r="R55" s="65"/>
      <c r="S55" s="66" t="str">
        <f t="shared" si="11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171">
        <v>43</v>
      </c>
      <c r="C56" s="125"/>
      <c r="D56" s="265"/>
      <c r="E56" s="125"/>
      <c r="F56" s="271"/>
      <c r="G56" s="122"/>
      <c r="H56" s="23"/>
      <c r="I56" s="23"/>
      <c r="J56" s="64" t="str">
        <f t="shared" si="8"/>
        <v/>
      </c>
      <c r="K56" s="65"/>
      <c r="L56" s="65"/>
      <c r="M56" s="66" t="str">
        <f t="shared" si="9"/>
        <v/>
      </c>
      <c r="N56" s="23"/>
      <c r="O56" s="23"/>
      <c r="P56" s="64" t="str">
        <f t="shared" si="10"/>
        <v/>
      </c>
      <c r="Q56" s="65"/>
      <c r="R56" s="65"/>
      <c r="S56" s="66" t="str">
        <f t="shared" si="11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171">
        <v>44</v>
      </c>
      <c r="C57" s="125"/>
      <c r="D57" s="265"/>
      <c r="E57" s="125"/>
      <c r="F57" s="271"/>
      <c r="G57" s="122"/>
      <c r="H57" s="23"/>
      <c r="I57" s="23"/>
      <c r="J57" s="64" t="str">
        <f t="shared" si="8"/>
        <v/>
      </c>
      <c r="K57" s="65"/>
      <c r="L57" s="65"/>
      <c r="M57" s="66" t="str">
        <f t="shared" si="9"/>
        <v/>
      </c>
      <c r="N57" s="23"/>
      <c r="O57" s="23"/>
      <c r="P57" s="64" t="str">
        <f t="shared" si="10"/>
        <v/>
      </c>
      <c r="Q57" s="65"/>
      <c r="R57" s="65"/>
      <c r="S57" s="66" t="str">
        <f t="shared" si="11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116">
        <v>45</v>
      </c>
      <c r="C58" s="125"/>
      <c r="D58" s="265"/>
      <c r="E58" s="125"/>
      <c r="F58" s="271"/>
      <c r="G58" s="122"/>
      <c r="H58" s="23"/>
      <c r="I58" s="23"/>
      <c r="J58" s="64" t="str">
        <f t="shared" si="8"/>
        <v/>
      </c>
      <c r="K58" s="65"/>
      <c r="L58" s="65"/>
      <c r="M58" s="66" t="str">
        <f t="shared" si="9"/>
        <v/>
      </c>
      <c r="N58" s="23"/>
      <c r="O58" s="23"/>
      <c r="P58" s="64" t="str">
        <f t="shared" si="10"/>
        <v/>
      </c>
      <c r="Q58" s="65"/>
      <c r="R58" s="65"/>
      <c r="S58" s="66" t="str">
        <f t="shared" si="11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171">
        <v>46</v>
      </c>
      <c r="C59" s="22"/>
      <c r="D59" s="266"/>
      <c r="E59" s="125"/>
      <c r="F59" s="276"/>
      <c r="G59" s="24"/>
      <c r="H59" s="23"/>
      <c r="I59" s="23"/>
      <c r="J59" s="64" t="str">
        <f t="shared" si="8"/>
        <v/>
      </c>
      <c r="K59" s="65"/>
      <c r="L59" s="65"/>
      <c r="M59" s="66" t="str">
        <f t="shared" si="9"/>
        <v/>
      </c>
      <c r="N59" s="23"/>
      <c r="O59" s="23"/>
      <c r="P59" s="64" t="str">
        <f t="shared" si="10"/>
        <v/>
      </c>
      <c r="Q59" s="65"/>
      <c r="R59" s="65"/>
      <c r="S59" s="66" t="str">
        <f t="shared" si="11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171">
        <v>47</v>
      </c>
      <c r="C60" s="22"/>
      <c r="D60" s="266"/>
      <c r="E60" s="125"/>
      <c r="F60" s="276"/>
      <c r="G60" s="24"/>
      <c r="H60" s="23"/>
      <c r="I60" s="23"/>
      <c r="J60" s="64" t="str">
        <f t="shared" si="8"/>
        <v/>
      </c>
      <c r="K60" s="65"/>
      <c r="L60" s="65"/>
      <c r="M60" s="66" t="str">
        <f t="shared" si="9"/>
        <v/>
      </c>
      <c r="N60" s="23"/>
      <c r="O60" s="23"/>
      <c r="P60" s="64" t="str">
        <f t="shared" si="10"/>
        <v/>
      </c>
      <c r="Q60" s="65"/>
      <c r="R60" s="65"/>
      <c r="S60" s="66" t="str">
        <f t="shared" si="11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116">
        <v>48</v>
      </c>
      <c r="C61" s="22"/>
      <c r="D61" s="266"/>
      <c r="E61" s="125"/>
      <c r="F61" s="276"/>
      <c r="G61" s="24"/>
      <c r="H61" s="23"/>
      <c r="I61" s="23"/>
      <c r="J61" s="64" t="str">
        <f t="shared" si="8"/>
        <v/>
      </c>
      <c r="K61" s="65"/>
      <c r="L61" s="65"/>
      <c r="M61" s="66" t="str">
        <f t="shared" si="9"/>
        <v/>
      </c>
      <c r="N61" s="23"/>
      <c r="O61" s="23"/>
      <c r="P61" s="64" t="str">
        <f t="shared" si="10"/>
        <v/>
      </c>
      <c r="Q61" s="65"/>
      <c r="R61" s="65"/>
      <c r="S61" s="66" t="str">
        <f t="shared" si="11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171">
        <v>49</v>
      </c>
      <c r="C62" s="22"/>
      <c r="D62" s="266" t="s">
        <v>408</v>
      </c>
      <c r="E62" s="125"/>
      <c r="F62" s="276" t="s">
        <v>408</v>
      </c>
      <c r="G62" s="24"/>
      <c r="H62" s="23"/>
      <c r="I62" s="23"/>
      <c r="J62" s="64" t="str">
        <f t="shared" si="8"/>
        <v/>
      </c>
      <c r="K62" s="65"/>
      <c r="L62" s="65"/>
      <c r="M62" s="66" t="str">
        <f t="shared" si="9"/>
        <v/>
      </c>
      <c r="N62" s="23"/>
      <c r="O62" s="23"/>
      <c r="P62" s="64" t="str">
        <f t="shared" si="10"/>
        <v/>
      </c>
      <c r="Q62" s="65"/>
      <c r="R62" s="65"/>
      <c r="S62" s="66" t="str">
        <f t="shared" si="11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171">
        <v>50</v>
      </c>
      <c r="C63" s="22"/>
      <c r="D63" s="266" t="s">
        <v>408</v>
      </c>
      <c r="E63" s="125"/>
      <c r="F63" s="276" t="s">
        <v>408</v>
      </c>
      <c r="G63" s="24"/>
      <c r="H63" s="23"/>
      <c r="I63" s="23"/>
      <c r="J63" s="64" t="str">
        <f t="shared" si="8"/>
        <v/>
      </c>
      <c r="K63" s="65"/>
      <c r="L63" s="65"/>
      <c r="M63" s="66" t="str">
        <f t="shared" si="9"/>
        <v/>
      </c>
      <c r="N63" s="23"/>
      <c r="O63" s="23"/>
      <c r="P63" s="64" t="str">
        <f t="shared" si="10"/>
        <v/>
      </c>
      <c r="Q63" s="65"/>
      <c r="R63" s="65"/>
      <c r="S63" s="66" t="str">
        <f t="shared" si="11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116">
        <v>51</v>
      </c>
      <c r="C64" s="22"/>
      <c r="D64" s="266" t="s">
        <v>408</v>
      </c>
      <c r="E64" s="125"/>
      <c r="F64" s="276" t="s">
        <v>408</v>
      </c>
      <c r="G64" s="24"/>
      <c r="H64" s="23"/>
      <c r="I64" s="23"/>
      <c r="J64" s="64" t="str">
        <f t="shared" si="8"/>
        <v/>
      </c>
      <c r="K64" s="65"/>
      <c r="L64" s="65"/>
      <c r="M64" s="66" t="str">
        <f t="shared" si="9"/>
        <v/>
      </c>
      <c r="N64" s="23"/>
      <c r="O64" s="23"/>
      <c r="P64" s="64" t="str">
        <f t="shared" si="10"/>
        <v/>
      </c>
      <c r="Q64" s="65"/>
      <c r="R64" s="65"/>
      <c r="S64" s="66" t="str">
        <f t="shared" si="11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171">
        <v>52</v>
      </c>
      <c r="C65" s="22"/>
      <c r="D65" s="266" t="s">
        <v>408</v>
      </c>
      <c r="E65" s="125"/>
      <c r="F65" s="276" t="s">
        <v>408</v>
      </c>
      <c r="G65" s="24"/>
      <c r="H65" s="23"/>
      <c r="I65" s="23"/>
      <c r="J65" s="64" t="str">
        <f t="shared" si="8"/>
        <v/>
      </c>
      <c r="K65" s="65"/>
      <c r="L65" s="65"/>
      <c r="M65" s="66" t="str">
        <f t="shared" si="9"/>
        <v/>
      </c>
      <c r="N65" s="23"/>
      <c r="O65" s="23"/>
      <c r="P65" s="64" t="str">
        <f t="shared" si="10"/>
        <v/>
      </c>
      <c r="Q65" s="65"/>
      <c r="R65" s="65"/>
      <c r="S65" s="66" t="str">
        <f t="shared" si="11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171">
        <v>53</v>
      </c>
      <c r="C66" s="22"/>
      <c r="D66" s="266" t="s">
        <v>408</v>
      </c>
      <c r="E66" s="125"/>
      <c r="F66" s="276" t="s">
        <v>408</v>
      </c>
      <c r="G66" s="24"/>
      <c r="H66" s="23"/>
      <c r="I66" s="23"/>
      <c r="J66" s="64" t="str">
        <f t="shared" si="8"/>
        <v/>
      </c>
      <c r="K66" s="65"/>
      <c r="L66" s="65"/>
      <c r="M66" s="66" t="str">
        <f t="shared" si="9"/>
        <v/>
      </c>
      <c r="N66" s="23"/>
      <c r="O66" s="23"/>
      <c r="P66" s="64" t="str">
        <f t="shared" si="10"/>
        <v/>
      </c>
      <c r="Q66" s="65"/>
      <c r="R66" s="65"/>
      <c r="S66" s="66" t="str">
        <f t="shared" si="11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116">
        <v>54</v>
      </c>
      <c r="C67" s="22"/>
      <c r="D67" s="266" t="s">
        <v>408</v>
      </c>
      <c r="E67" s="125"/>
      <c r="F67" s="276" t="s">
        <v>408</v>
      </c>
      <c r="G67" s="24"/>
      <c r="H67" s="23"/>
      <c r="I67" s="23"/>
      <c r="J67" s="64" t="str">
        <f t="shared" si="8"/>
        <v/>
      </c>
      <c r="K67" s="65"/>
      <c r="L67" s="65"/>
      <c r="M67" s="66" t="str">
        <f t="shared" si="9"/>
        <v/>
      </c>
      <c r="N67" s="23"/>
      <c r="O67" s="23"/>
      <c r="P67" s="64" t="str">
        <f t="shared" si="10"/>
        <v/>
      </c>
      <c r="Q67" s="65"/>
      <c r="R67" s="65"/>
      <c r="S67" s="66" t="str">
        <f t="shared" si="11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171">
        <v>55</v>
      </c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8"/>
        <v/>
      </c>
      <c r="K68" s="65"/>
      <c r="L68" s="65"/>
      <c r="M68" s="66" t="str">
        <f t="shared" si="9"/>
        <v/>
      </c>
      <c r="N68" s="23"/>
      <c r="O68" s="23"/>
      <c r="P68" s="64" t="str">
        <f t="shared" si="10"/>
        <v/>
      </c>
      <c r="Q68" s="65"/>
      <c r="R68" s="65"/>
      <c r="S68" s="66" t="str">
        <f t="shared" si="11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171">
        <v>56</v>
      </c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8"/>
        <v/>
      </c>
      <c r="K69" s="65"/>
      <c r="L69" s="65"/>
      <c r="M69" s="66" t="str">
        <f t="shared" si="9"/>
        <v/>
      </c>
      <c r="N69" s="23"/>
      <c r="O69" s="23"/>
      <c r="P69" s="64" t="str">
        <f t="shared" si="10"/>
        <v/>
      </c>
      <c r="Q69" s="65"/>
      <c r="R69" s="65"/>
      <c r="S69" s="66" t="str">
        <f t="shared" si="11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171">
        <v>57</v>
      </c>
      <c r="C70" s="125"/>
      <c r="D70" s="265"/>
      <c r="E70" s="160"/>
      <c r="F70" s="275"/>
      <c r="G70" s="161"/>
      <c r="H70" s="23"/>
      <c r="I70" s="23"/>
      <c r="J70" s="64" t="str">
        <f t="shared" si="8"/>
        <v/>
      </c>
      <c r="K70" s="65"/>
      <c r="L70" s="65"/>
      <c r="M70" s="66" t="str">
        <f t="shared" si="9"/>
        <v/>
      </c>
      <c r="N70" s="23"/>
      <c r="O70" s="23"/>
      <c r="P70" s="64" t="str">
        <f t="shared" si="10"/>
        <v/>
      </c>
      <c r="Q70" s="65"/>
      <c r="R70" s="65"/>
      <c r="S70" s="66" t="str">
        <f t="shared" si="11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116">
        <v>58</v>
      </c>
      <c r="C71" s="125"/>
      <c r="D71" s="265"/>
      <c r="E71" s="125"/>
      <c r="F71" s="271"/>
      <c r="G71" s="122"/>
      <c r="H71" s="23"/>
      <c r="I71" s="23"/>
      <c r="J71" s="64" t="str">
        <f t="shared" si="8"/>
        <v/>
      </c>
      <c r="K71" s="65"/>
      <c r="L71" s="65"/>
      <c r="M71" s="66" t="str">
        <f t="shared" si="9"/>
        <v/>
      </c>
      <c r="N71" s="23"/>
      <c r="O71" s="23"/>
      <c r="P71" s="64" t="str">
        <f t="shared" si="10"/>
        <v/>
      </c>
      <c r="Q71" s="65"/>
      <c r="R71" s="65"/>
      <c r="S71" s="66" t="str">
        <f t="shared" si="11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171">
        <v>59</v>
      </c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8"/>
        <v/>
      </c>
      <c r="K72" s="65"/>
      <c r="L72" s="65"/>
      <c r="M72" s="66" t="str">
        <f t="shared" si="9"/>
        <v/>
      </c>
      <c r="N72" s="23"/>
      <c r="O72" s="23"/>
      <c r="P72" s="64" t="str">
        <f t="shared" si="10"/>
        <v/>
      </c>
      <c r="Q72" s="65"/>
      <c r="R72" s="65"/>
      <c r="S72" s="66" t="str">
        <f t="shared" si="11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171">
        <v>60</v>
      </c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8"/>
        <v/>
      </c>
      <c r="K73" s="65"/>
      <c r="L73" s="65"/>
      <c r="M73" s="66" t="str">
        <f t="shared" si="9"/>
        <v/>
      </c>
      <c r="N73" s="23"/>
      <c r="O73" s="23"/>
      <c r="P73" s="64" t="str">
        <f t="shared" si="10"/>
        <v/>
      </c>
      <c r="Q73" s="65"/>
      <c r="R73" s="65"/>
      <c r="S73" s="66" t="str">
        <f t="shared" si="11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/>
      <c r="E201" s="71" ph="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30" ht="18" customHeight="1">
      <c r="C209" s="21"/>
      <c r="E209" s="71"/>
      <c r="G209" s="79"/>
    </row>
    <row r="210" spans="3:30" ht="18" customHeight="1">
      <c r="C210" s="21"/>
      <c r="E210" s="71"/>
      <c r="G210" s="79"/>
    </row>
    <row r="211" spans="3:30" ht="18" customHeight="1">
      <c r="C211" s="21"/>
      <c r="E211" s="71"/>
      <c r="G211" s="79"/>
    </row>
    <row r="212" spans="3:30" ht="18" customHeight="1">
      <c r="C212" s="21"/>
      <c r="E212" s="71"/>
      <c r="G212" s="79"/>
    </row>
    <row r="213" spans="3:30" ht="18" customHeight="1">
      <c r="C213" s="21"/>
      <c r="E213" s="71"/>
      <c r="G213" s="79"/>
    </row>
    <row r="214" spans="3:30" ht="18" customHeight="1">
      <c r="C214" s="79" t="s">
        <v>151</v>
      </c>
      <c r="E214" s="80" t="s">
        <v>269</v>
      </c>
      <c r="G214" s="79" t="s">
        <v>148</v>
      </c>
    </row>
    <row r="215" spans="3:30" ht="18" customHeight="1">
      <c r="C215" s="79" t="s">
        <v>147</v>
      </c>
      <c r="E215" s="71" t="s">
        <v>264</v>
      </c>
      <c r="G215" s="79" t="s">
        <v>148</v>
      </c>
      <c r="Y215" t="s">
        <v>1087</v>
      </c>
      <c r="Z215">
        <v>306</v>
      </c>
      <c r="AA215" t="s">
        <v>713</v>
      </c>
      <c r="AB215" t="s">
        <v>792</v>
      </c>
      <c r="AC215">
        <v>56795</v>
      </c>
      <c r="AD215" t="s">
        <v>791</v>
      </c>
    </row>
    <row r="216" spans="3:30" ht="18" customHeight="1">
      <c r="C216" s="79" t="s">
        <v>149</v>
      </c>
      <c r="E216" s="71" t="s">
        <v>268</v>
      </c>
      <c r="G216" s="79" t="s">
        <v>148</v>
      </c>
    </row>
    <row r="217" spans="3:30" ht="18" customHeight="1">
      <c r="C217" s="79" t="s">
        <v>150</v>
      </c>
      <c r="E217" s="71" t="s">
        <v>267</v>
      </c>
      <c r="G217" s="79" t="s">
        <v>148</v>
      </c>
      <c r="Y217" t="s">
        <v>1088</v>
      </c>
      <c r="Z217">
        <v>24426</v>
      </c>
      <c r="AA217" t="s">
        <v>714</v>
      </c>
    </row>
    <row r="218" spans="3:30" ht="18" customHeight="1">
      <c r="C218" s="79" t="s">
        <v>153</v>
      </c>
      <c r="E218" s="71" t="s">
        <v>266</v>
      </c>
      <c r="G218" s="79" t="s">
        <v>148</v>
      </c>
      <c r="Y218" t="s">
        <v>1089</v>
      </c>
      <c r="Z218">
        <v>29138</v>
      </c>
      <c r="AA218" t="s">
        <v>715</v>
      </c>
      <c r="AB218" t="s">
        <v>266</v>
      </c>
      <c r="AC218">
        <v>56009</v>
      </c>
      <c r="AD218" t="s">
        <v>793</v>
      </c>
    </row>
    <row r="219" spans="3:30" ht="18" customHeight="1">
      <c r="C219" s="79" t="s">
        <v>152</v>
      </c>
      <c r="E219" s="71" t="s">
        <v>265</v>
      </c>
      <c r="G219" s="79" t="s">
        <v>148</v>
      </c>
      <c r="Y219" t="s">
        <v>1090</v>
      </c>
      <c r="Z219">
        <v>29084</v>
      </c>
      <c r="AA219" t="s">
        <v>716</v>
      </c>
      <c r="AB219" t="s">
        <v>265</v>
      </c>
      <c r="AC219">
        <v>52862</v>
      </c>
      <c r="AD219" t="s">
        <v>794</v>
      </c>
    </row>
    <row r="220" spans="3:30" ht="18" customHeight="1">
      <c r="C220" s="79" t="s">
        <v>154</v>
      </c>
      <c r="E220" s="71"/>
      <c r="G220" s="79" t="s">
        <v>148</v>
      </c>
    </row>
    <row r="221" spans="3:30" ht="18" customHeight="1">
      <c r="C221" s="79" t="s">
        <v>122</v>
      </c>
      <c r="E221" s="71" t="s">
        <v>246</v>
      </c>
      <c r="G221" s="79" t="s">
        <v>123</v>
      </c>
      <c r="Y221" t="s">
        <v>1091</v>
      </c>
      <c r="Z221">
        <v>26463</v>
      </c>
      <c r="AA221" t="s">
        <v>717</v>
      </c>
      <c r="AB221" t="s">
        <v>246</v>
      </c>
      <c r="AC221">
        <v>53913</v>
      </c>
      <c r="AD221" t="s">
        <v>795</v>
      </c>
    </row>
    <row r="222" spans="3:30" ht="18" customHeight="1">
      <c r="C222" s="79" t="s">
        <v>204</v>
      </c>
      <c r="E222" s="71" t="s">
        <v>305</v>
      </c>
      <c r="G222" s="79" t="s">
        <v>311</v>
      </c>
      <c r="Y222" t="s">
        <v>1092</v>
      </c>
      <c r="Z222">
        <v>25436</v>
      </c>
      <c r="AA222" t="s">
        <v>718</v>
      </c>
      <c r="AB222" t="s">
        <v>305</v>
      </c>
      <c r="AC222">
        <v>56703</v>
      </c>
      <c r="AD222" t="s">
        <v>796</v>
      </c>
    </row>
    <row r="223" spans="3:30" ht="18" customHeight="1">
      <c r="C223" s="79" t="s">
        <v>312</v>
      </c>
      <c r="E223" s="71" t="s">
        <v>321</v>
      </c>
      <c r="G223" s="79" t="s">
        <v>313</v>
      </c>
      <c r="Y223" t="s">
        <v>1093</v>
      </c>
      <c r="Z223">
        <v>5901</v>
      </c>
      <c r="AA223" t="s">
        <v>719</v>
      </c>
    </row>
    <row r="224" spans="3:30" ht="18" customHeight="1">
      <c r="C224" s="79" t="s">
        <v>200</v>
      </c>
      <c r="E224" s="80" t="s">
        <v>301</v>
      </c>
      <c r="G224" s="79" t="s">
        <v>197</v>
      </c>
      <c r="Y224" t="s">
        <v>1094</v>
      </c>
      <c r="Z224">
        <v>33054</v>
      </c>
      <c r="AA224" t="s">
        <v>720</v>
      </c>
    </row>
    <row r="225" spans="3:30" ht="18" customHeight="1">
      <c r="C225" s="79" t="s">
        <v>199</v>
      </c>
      <c r="E225" s="80" t="s">
        <v>329</v>
      </c>
      <c r="G225" s="79" t="s">
        <v>197</v>
      </c>
    </row>
    <row r="226" spans="3:30" ht="18" customHeight="1">
      <c r="C226" s="79" t="s">
        <v>198</v>
      </c>
      <c r="E226" s="71"/>
      <c r="G226" s="79" t="s">
        <v>197</v>
      </c>
    </row>
    <row r="227" spans="3:30" ht="18" customHeight="1">
      <c r="C227" s="79" t="s">
        <v>202</v>
      </c>
      <c r="E227" s="71"/>
      <c r="G227" s="79" t="s">
        <v>197</v>
      </c>
    </row>
    <row r="228" spans="3:30" ht="18" customHeight="1">
      <c r="C228" s="79" t="s">
        <v>201</v>
      </c>
      <c r="E228" s="71"/>
      <c r="G228" s="79" t="s">
        <v>197</v>
      </c>
    </row>
    <row r="229" spans="3:30" ht="18" customHeight="1">
      <c r="C229" s="85" t="s">
        <v>196</v>
      </c>
      <c r="E229" s="71"/>
      <c r="G229" s="79" t="s">
        <v>197</v>
      </c>
    </row>
    <row r="230" spans="3:30" ht="18" customHeight="1">
      <c r="C230" s="79" t="s">
        <v>133</v>
      </c>
      <c r="E230" s="71" t="s">
        <v>75</v>
      </c>
      <c r="G230" s="79" t="s">
        <v>330</v>
      </c>
      <c r="Y230" t="s">
        <v>1095</v>
      </c>
      <c r="Z230">
        <v>28702</v>
      </c>
      <c r="AA230" t="s">
        <v>721</v>
      </c>
      <c r="AB230" t="s">
        <v>75</v>
      </c>
      <c r="AC230">
        <v>55610</v>
      </c>
      <c r="AD230" t="s">
        <v>797</v>
      </c>
    </row>
    <row r="231" spans="3:30" ht="18" customHeight="1">
      <c r="C231" s="79" t="s">
        <v>314</v>
      </c>
      <c r="E231" s="71" t="s">
        <v>76</v>
      </c>
      <c r="G231" s="79" t="s">
        <v>330</v>
      </c>
      <c r="Y231" t="s">
        <v>1096</v>
      </c>
      <c r="Z231">
        <v>10211</v>
      </c>
      <c r="AA231" t="s">
        <v>722</v>
      </c>
    </row>
    <row r="232" spans="3:30" ht="18" customHeight="1">
      <c r="C232" s="79" t="s">
        <v>131</v>
      </c>
      <c r="E232" s="71"/>
      <c r="G232" s="79" t="s">
        <v>330</v>
      </c>
      <c r="Y232" t="s">
        <v>1097</v>
      </c>
      <c r="Z232">
        <v>27306</v>
      </c>
      <c r="AA232" t="s">
        <v>723</v>
      </c>
    </row>
    <row r="233" spans="3:30" ht="18" customHeight="1">
      <c r="C233" s="79" t="s">
        <v>174</v>
      </c>
      <c r="E233" s="71" t="s">
        <v>278</v>
      </c>
      <c r="G233" s="79" t="s">
        <v>171</v>
      </c>
    </row>
    <row r="234" spans="3:30" ht="18" customHeight="1">
      <c r="C234" s="79" t="s">
        <v>175</v>
      </c>
      <c r="E234" s="71" t="s">
        <v>282</v>
      </c>
      <c r="G234" s="79" t="s">
        <v>171</v>
      </c>
      <c r="Y234" t="s">
        <v>1098</v>
      </c>
      <c r="Z234">
        <v>28432</v>
      </c>
      <c r="AA234" t="s">
        <v>724</v>
      </c>
      <c r="AB234" t="s">
        <v>282</v>
      </c>
      <c r="AC234">
        <v>57022</v>
      </c>
      <c r="AD234" t="s">
        <v>798</v>
      </c>
    </row>
    <row r="235" spans="3:30" ht="18" customHeight="1">
      <c r="C235" s="79" t="s">
        <v>176</v>
      </c>
      <c r="E235" s="71" t="s">
        <v>281</v>
      </c>
      <c r="G235" s="79" t="s">
        <v>171</v>
      </c>
      <c r="Y235" t="s">
        <v>1099</v>
      </c>
      <c r="Z235">
        <v>28433</v>
      </c>
      <c r="AA235" t="s">
        <v>725</v>
      </c>
      <c r="AB235" t="s">
        <v>281</v>
      </c>
      <c r="AC235">
        <v>56681</v>
      </c>
      <c r="AD235" t="s">
        <v>799</v>
      </c>
    </row>
    <row r="236" spans="3:30" ht="18" customHeight="1">
      <c r="C236" s="79" t="s">
        <v>172</v>
      </c>
      <c r="E236" s="71" t="s">
        <v>277</v>
      </c>
      <c r="G236" s="79" t="s">
        <v>171</v>
      </c>
      <c r="Y236" t="s">
        <v>1100</v>
      </c>
      <c r="Z236">
        <v>16391</v>
      </c>
      <c r="AA236" t="s">
        <v>726</v>
      </c>
    </row>
    <row r="237" spans="3:30" ht="18" customHeight="1">
      <c r="C237" s="79" t="s">
        <v>177</v>
      </c>
      <c r="E237" s="71" t="s">
        <v>279</v>
      </c>
      <c r="G237" s="79" t="s">
        <v>171</v>
      </c>
      <c r="Y237" t="s">
        <v>1101</v>
      </c>
      <c r="Z237">
        <v>29308</v>
      </c>
      <c r="AA237" t="s">
        <v>727</v>
      </c>
      <c r="AB237" t="s">
        <v>279</v>
      </c>
      <c r="AC237">
        <v>54903</v>
      </c>
      <c r="AD237" t="s">
        <v>800</v>
      </c>
    </row>
    <row r="238" spans="3:30" ht="18" customHeight="1">
      <c r="C238" s="79" t="s">
        <v>170</v>
      </c>
      <c r="E238" s="71" t="s">
        <v>280</v>
      </c>
      <c r="G238" s="79" t="s">
        <v>171</v>
      </c>
      <c r="Y238" t="s">
        <v>1102</v>
      </c>
      <c r="Z238">
        <v>6082</v>
      </c>
      <c r="AA238" t="s">
        <v>728</v>
      </c>
    </row>
    <row r="239" spans="3:30" ht="18" customHeight="1">
      <c r="C239" s="79" t="s">
        <v>173</v>
      </c>
      <c r="E239" s="71"/>
      <c r="G239" s="79" t="s">
        <v>171</v>
      </c>
      <c r="Y239" t="s">
        <v>1103</v>
      </c>
      <c r="Z239">
        <v>24142</v>
      </c>
      <c r="AA239" t="s">
        <v>729</v>
      </c>
    </row>
    <row r="240" spans="3:30" ht="18" customHeight="1">
      <c r="C240" s="79" t="s">
        <v>134</v>
      </c>
      <c r="E240" s="71" t="s">
        <v>256</v>
      </c>
      <c r="G240" s="79" t="s">
        <v>135</v>
      </c>
      <c r="AB240" t="s">
        <v>256</v>
      </c>
      <c r="AC240">
        <v>56221</v>
      </c>
      <c r="AD240" t="s">
        <v>801</v>
      </c>
    </row>
    <row r="241" spans="3:30" ht="18" customHeight="1">
      <c r="C241" s="79" t="s">
        <v>136</v>
      </c>
      <c r="E241" s="71" t="s">
        <v>254</v>
      </c>
      <c r="G241" s="79" t="s">
        <v>135</v>
      </c>
      <c r="AB241" t="s">
        <v>803</v>
      </c>
      <c r="AC241">
        <v>58279</v>
      </c>
      <c r="AD241" t="s">
        <v>802</v>
      </c>
    </row>
    <row r="242" spans="3:30" ht="18" customHeight="1">
      <c r="C242" s="79" t="s">
        <v>137</v>
      </c>
      <c r="E242" s="71" t="s">
        <v>255</v>
      </c>
      <c r="G242" s="79" t="s">
        <v>135</v>
      </c>
    </row>
    <row r="243" spans="3:30" ht="18" customHeight="1">
      <c r="C243" s="79" t="s">
        <v>104</v>
      </c>
      <c r="E243" s="71" t="s">
        <v>224</v>
      </c>
      <c r="G243" s="79" t="s">
        <v>103</v>
      </c>
      <c r="Y243" t="s">
        <v>1104</v>
      </c>
      <c r="Z243">
        <v>22984</v>
      </c>
      <c r="AA243" t="s">
        <v>730</v>
      </c>
    </row>
    <row r="244" spans="3:30" ht="18" customHeight="1">
      <c r="C244" s="79" t="s">
        <v>102</v>
      </c>
      <c r="E244" s="71" t="s">
        <v>225</v>
      </c>
      <c r="G244" s="79" t="s">
        <v>103</v>
      </c>
    </row>
    <row r="245" spans="3:30" ht="18" customHeight="1">
      <c r="C245" s="79"/>
      <c r="E245" s="80" t="s">
        <v>339</v>
      </c>
      <c r="G245" s="79" t="s">
        <v>103</v>
      </c>
      <c r="AB245" t="s">
        <v>805</v>
      </c>
      <c r="AC245">
        <v>58460</v>
      </c>
      <c r="AD245" t="s">
        <v>804</v>
      </c>
    </row>
    <row r="246" spans="3:30" ht="18" customHeight="1">
      <c r="C246" s="79" t="s">
        <v>192</v>
      </c>
      <c r="E246" s="71" t="s">
        <v>289</v>
      </c>
      <c r="G246" s="79" t="s">
        <v>183</v>
      </c>
    </row>
    <row r="247" spans="3:30" ht="18" customHeight="1">
      <c r="C247" s="79" t="s">
        <v>187</v>
      </c>
      <c r="E247" s="71" t="s">
        <v>296</v>
      </c>
      <c r="G247" s="79" t="s">
        <v>183</v>
      </c>
      <c r="AB247" t="s">
        <v>296</v>
      </c>
      <c r="AC247">
        <v>55846</v>
      </c>
      <c r="AD247" t="s">
        <v>806</v>
      </c>
    </row>
    <row r="248" spans="3:30" ht="18" customHeight="1">
      <c r="C248" s="79" t="s">
        <v>193</v>
      </c>
      <c r="E248" s="71" t="s">
        <v>298</v>
      </c>
      <c r="G248" s="79" t="s">
        <v>183</v>
      </c>
    </row>
    <row r="249" spans="3:30" ht="18" customHeight="1">
      <c r="C249" s="79" t="s">
        <v>184</v>
      </c>
      <c r="E249" s="71" t="s">
        <v>294</v>
      </c>
      <c r="G249" s="79" t="s">
        <v>183</v>
      </c>
      <c r="Y249" t="s">
        <v>1105</v>
      </c>
      <c r="Z249">
        <v>1213</v>
      </c>
      <c r="AA249" t="s">
        <v>731</v>
      </c>
    </row>
    <row r="250" spans="3:30" ht="18" customHeight="1">
      <c r="C250" s="79" t="s">
        <v>188</v>
      </c>
      <c r="E250" s="71" t="s">
        <v>295</v>
      </c>
      <c r="G250" s="79" t="s">
        <v>183</v>
      </c>
      <c r="Y250" t="s">
        <v>1106</v>
      </c>
      <c r="Z250">
        <v>23984</v>
      </c>
      <c r="AA250" t="s">
        <v>732</v>
      </c>
    </row>
    <row r="251" spans="3:30" ht="18" customHeight="1">
      <c r="C251" s="79" t="s">
        <v>185</v>
      </c>
      <c r="E251" s="71" t="s">
        <v>288</v>
      </c>
      <c r="G251" s="79" t="s">
        <v>183</v>
      </c>
      <c r="Y251" t="s">
        <v>1107</v>
      </c>
      <c r="Z251">
        <v>16854</v>
      </c>
      <c r="AA251" t="s">
        <v>733</v>
      </c>
    </row>
    <row r="252" spans="3:30" ht="18" customHeight="1">
      <c r="C252" s="79" t="s">
        <v>186</v>
      </c>
      <c r="E252" s="71" t="s">
        <v>290</v>
      </c>
      <c r="G252" s="79" t="s">
        <v>183</v>
      </c>
      <c r="Y252" t="s">
        <v>1108</v>
      </c>
      <c r="Z252">
        <v>20115</v>
      </c>
      <c r="AA252" t="s">
        <v>734</v>
      </c>
    </row>
    <row r="253" spans="3:30" ht="18" customHeight="1">
      <c r="C253" s="79" t="s">
        <v>190</v>
      </c>
      <c r="E253" s="71" t="s">
        <v>293</v>
      </c>
      <c r="G253" s="79" t="s">
        <v>183</v>
      </c>
      <c r="Y253" t="s">
        <v>1109</v>
      </c>
      <c r="Z253">
        <v>26734</v>
      </c>
      <c r="AA253" t="s">
        <v>735</v>
      </c>
      <c r="AB253" t="s">
        <v>293</v>
      </c>
      <c r="AC253">
        <v>54698</v>
      </c>
      <c r="AD253" t="s">
        <v>807</v>
      </c>
    </row>
    <row r="254" spans="3:30" ht="18" customHeight="1">
      <c r="C254" s="79" t="s">
        <v>191</v>
      </c>
      <c r="E254" s="71" t="s">
        <v>292</v>
      </c>
      <c r="G254" s="79" t="s">
        <v>183</v>
      </c>
      <c r="Y254" t="s">
        <v>1110</v>
      </c>
      <c r="Z254">
        <v>26916</v>
      </c>
      <c r="AA254" t="s">
        <v>736</v>
      </c>
      <c r="AB254" t="s">
        <v>292</v>
      </c>
      <c r="AC254">
        <v>54271</v>
      </c>
      <c r="AD254" t="s">
        <v>808</v>
      </c>
    </row>
    <row r="255" spans="3:30" ht="18" customHeight="1">
      <c r="C255" s="79" t="s">
        <v>195</v>
      </c>
      <c r="E255" s="71" t="s">
        <v>297</v>
      </c>
      <c r="G255" s="79" t="s">
        <v>183</v>
      </c>
      <c r="Y255" t="s">
        <v>1111</v>
      </c>
      <c r="Z255">
        <v>22520</v>
      </c>
      <c r="AA255" t="s">
        <v>737</v>
      </c>
    </row>
    <row r="256" spans="3:30" ht="18" customHeight="1">
      <c r="C256" s="79" t="s">
        <v>189</v>
      </c>
      <c r="E256" s="71" t="s">
        <v>299</v>
      </c>
      <c r="G256" s="79" t="s">
        <v>183</v>
      </c>
      <c r="Y256" t="s">
        <v>1112</v>
      </c>
      <c r="Z256">
        <v>25345</v>
      </c>
      <c r="AA256" t="s">
        <v>738</v>
      </c>
      <c r="AB256" t="s">
        <v>299</v>
      </c>
      <c r="AC256">
        <v>56737</v>
      </c>
      <c r="AD256" t="s">
        <v>809</v>
      </c>
    </row>
    <row r="257" spans="3:30" ht="18" customHeight="1">
      <c r="C257" s="79" t="s">
        <v>194</v>
      </c>
      <c r="E257" s="71" t="s">
        <v>291</v>
      </c>
      <c r="G257" s="79" t="s">
        <v>183</v>
      </c>
      <c r="Y257" t="s">
        <v>1113</v>
      </c>
      <c r="Z257">
        <v>28630</v>
      </c>
      <c r="AA257" t="s">
        <v>739</v>
      </c>
    </row>
    <row r="258" spans="3:30" ht="18" customHeight="1">
      <c r="C258" s="79" t="s">
        <v>182</v>
      </c>
      <c r="E258" s="71"/>
      <c r="G258" s="79" t="s">
        <v>183</v>
      </c>
      <c r="Y258" t="s">
        <v>1114</v>
      </c>
      <c r="Z258">
        <v>329</v>
      </c>
      <c r="AA258" t="s">
        <v>740</v>
      </c>
    </row>
    <row r="259" spans="3:30" ht="18" customHeight="1">
      <c r="C259" s="79" t="s">
        <v>119</v>
      </c>
      <c r="E259" s="71" t="s">
        <v>68</v>
      </c>
      <c r="G259" s="79" t="s">
        <v>340</v>
      </c>
    </row>
    <row r="260" spans="3:30" ht="18" customHeight="1">
      <c r="C260" s="79" t="s">
        <v>118</v>
      </c>
      <c r="E260" s="80" t="s">
        <v>341</v>
      </c>
      <c r="G260" s="79" t="s">
        <v>340</v>
      </c>
      <c r="Y260" t="s">
        <v>1115</v>
      </c>
      <c r="Z260">
        <v>25140</v>
      </c>
      <c r="AA260" t="s">
        <v>741</v>
      </c>
    </row>
    <row r="261" spans="3:30" ht="18" customHeight="1">
      <c r="C261" s="79" t="s">
        <v>116</v>
      </c>
      <c r="E261" s="80" t="s">
        <v>342</v>
      </c>
      <c r="G261" s="79" t="s">
        <v>340</v>
      </c>
      <c r="Y261" t="s">
        <v>1116</v>
      </c>
      <c r="Z261">
        <v>15048</v>
      </c>
      <c r="AA261" t="s">
        <v>742</v>
      </c>
    </row>
    <row r="262" spans="3:30" ht="18" customHeight="1">
      <c r="C262" s="79" t="s">
        <v>120</v>
      </c>
      <c r="E262" s="80" t="s">
        <v>343</v>
      </c>
      <c r="G262" s="79" t="s">
        <v>340</v>
      </c>
    </row>
    <row r="263" spans="3:30" ht="18" customHeight="1">
      <c r="C263" s="79" t="s">
        <v>121</v>
      </c>
      <c r="E263" s="71" t="s">
        <v>241</v>
      </c>
      <c r="G263" s="79" t="s">
        <v>340</v>
      </c>
    </row>
    <row r="264" spans="3:30" ht="18" customHeight="1">
      <c r="C264" s="79" t="s">
        <v>82</v>
      </c>
      <c r="E264" s="71" t="s">
        <v>63</v>
      </c>
      <c r="G264" s="79" t="s">
        <v>344</v>
      </c>
    </row>
    <row r="265" spans="3:30" ht="18" customHeight="1">
      <c r="C265" s="79" t="s">
        <v>81</v>
      </c>
      <c r="E265" s="71" t="s">
        <v>207</v>
      </c>
      <c r="G265" s="79" t="s">
        <v>344</v>
      </c>
      <c r="Y265" t="s">
        <v>1117</v>
      </c>
      <c r="Z265">
        <v>11802</v>
      </c>
      <c r="AA265" t="s">
        <v>743</v>
      </c>
    </row>
    <row r="266" spans="3:30" ht="18" customHeight="1">
      <c r="C266" s="79" t="s">
        <v>84</v>
      </c>
      <c r="E266" s="71" t="s">
        <v>205</v>
      </c>
      <c r="G266" s="79" t="s">
        <v>344</v>
      </c>
      <c r="AB266" t="s">
        <v>205</v>
      </c>
      <c r="AC266">
        <v>54787</v>
      </c>
      <c r="AD266" t="s">
        <v>810</v>
      </c>
    </row>
    <row r="267" spans="3:30" ht="18" customHeight="1">
      <c r="C267" s="79" t="s">
        <v>83</v>
      </c>
      <c r="E267" s="71" t="s">
        <v>206</v>
      </c>
      <c r="G267" s="79" t="s">
        <v>344</v>
      </c>
    </row>
    <row r="268" spans="3:30" ht="18" customHeight="1">
      <c r="C268" s="79" t="s">
        <v>165</v>
      </c>
      <c r="E268" s="71" t="s">
        <v>274</v>
      </c>
      <c r="G268" s="79" t="s">
        <v>160</v>
      </c>
      <c r="AB268" t="s">
        <v>274</v>
      </c>
      <c r="AC268">
        <v>56437</v>
      </c>
      <c r="AD268" t="s">
        <v>811</v>
      </c>
    </row>
    <row r="269" spans="3:30" ht="18" customHeight="1">
      <c r="C269" s="79" t="s">
        <v>163</v>
      </c>
      <c r="E269" s="71" t="s">
        <v>275</v>
      </c>
      <c r="G269" s="79" t="s">
        <v>160</v>
      </c>
      <c r="Y269" t="s">
        <v>1118</v>
      </c>
      <c r="Z269">
        <v>26454</v>
      </c>
      <c r="AA269" t="s">
        <v>744</v>
      </c>
      <c r="AB269" t="s">
        <v>275</v>
      </c>
      <c r="AC269">
        <v>56942</v>
      </c>
      <c r="AD269" t="s">
        <v>812</v>
      </c>
    </row>
    <row r="270" spans="3:30" ht="18" customHeight="1">
      <c r="C270" s="79" t="s">
        <v>164</v>
      </c>
      <c r="E270" s="71" t="s">
        <v>273</v>
      </c>
      <c r="G270" s="79" t="s">
        <v>160</v>
      </c>
    </row>
    <row r="271" spans="3:30" ht="18" customHeight="1">
      <c r="C271" s="79" t="s">
        <v>162</v>
      </c>
      <c r="E271" s="71" t="s">
        <v>272</v>
      </c>
      <c r="G271" s="79" t="s">
        <v>160</v>
      </c>
      <c r="Y271" t="s">
        <v>1119</v>
      </c>
      <c r="Z271">
        <v>21115</v>
      </c>
      <c r="AA271" t="s">
        <v>745</v>
      </c>
    </row>
    <row r="272" spans="3:30" ht="18" customHeight="1">
      <c r="C272" s="79" t="s">
        <v>161</v>
      </c>
      <c r="E272" s="71" t="s">
        <v>276</v>
      </c>
      <c r="G272" s="79" t="s">
        <v>160</v>
      </c>
      <c r="Y272" t="s">
        <v>1120</v>
      </c>
      <c r="Z272">
        <v>14681</v>
      </c>
      <c r="AA272" t="s">
        <v>746</v>
      </c>
      <c r="AB272" t="s">
        <v>276</v>
      </c>
      <c r="AC272">
        <v>56943</v>
      </c>
      <c r="AD272" t="s">
        <v>813</v>
      </c>
    </row>
    <row r="273" spans="3:30" ht="18" customHeight="1">
      <c r="C273" s="79" t="s">
        <v>159</v>
      </c>
      <c r="E273" s="71"/>
      <c r="G273" s="79" t="s">
        <v>160</v>
      </c>
      <c r="Y273" t="s">
        <v>1121</v>
      </c>
      <c r="Z273">
        <v>11745</v>
      </c>
      <c r="AA273" t="s">
        <v>747</v>
      </c>
    </row>
    <row r="274" spans="3:30" ht="18" customHeight="1">
      <c r="C274" s="79" t="s">
        <v>166</v>
      </c>
      <c r="E274" s="71"/>
      <c r="G274" s="79" t="s">
        <v>167</v>
      </c>
    </row>
    <row r="275" spans="3:30" ht="18" customHeight="1">
      <c r="C275" s="79" t="s">
        <v>168</v>
      </c>
      <c r="E275" s="71"/>
      <c r="G275" s="79" t="s">
        <v>167</v>
      </c>
    </row>
    <row r="276" spans="3:30" ht="18" customHeight="1">
      <c r="C276" s="79" t="s">
        <v>169</v>
      </c>
      <c r="E276" s="71"/>
      <c r="G276" s="79" t="s">
        <v>167</v>
      </c>
    </row>
    <row r="277" spans="3:30" ht="18" customHeight="1">
      <c r="C277" s="79" t="s">
        <v>155</v>
      </c>
      <c r="E277" s="71" t="s">
        <v>271</v>
      </c>
      <c r="G277" s="79" t="s">
        <v>345</v>
      </c>
      <c r="Y277" t="s">
        <v>1122</v>
      </c>
      <c r="Z277">
        <v>9588</v>
      </c>
      <c r="AA277" t="s">
        <v>748</v>
      </c>
      <c r="AB277" t="s">
        <v>271</v>
      </c>
      <c r="AC277">
        <v>57302</v>
      </c>
      <c r="AD277" t="s">
        <v>814</v>
      </c>
    </row>
    <row r="278" spans="3:30" ht="18" customHeight="1">
      <c r="C278" s="79" t="s">
        <v>157</v>
      </c>
      <c r="E278" s="71" t="s">
        <v>270</v>
      </c>
      <c r="G278" s="79" t="s">
        <v>345</v>
      </c>
      <c r="Y278" t="s">
        <v>1123</v>
      </c>
      <c r="Z278">
        <v>26813</v>
      </c>
      <c r="AA278" t="s">
        <v>749</v>
      </c>
    </row>
    <row r="279" spans="3:30" ht="18" customHeight="1">
      <c r="C279" s="79" t="s">
        <v>158</v>
      </c>
      <c r="E279" s="71"/>
      <c r="G279" s="79" t="s">
        <v>345</v>
      </c>
    </row>
    <row r="280" spans="3:30" ht="18" customHeight="1">
      <c r="C280" s="79" t="s">
        <v>178</v>
      </c>
      <c r="E280" s="80" t="s">
        <v>346</v>
      </c>
      <c r="G280" s="79" t="s">
        <v>347</v>
      </c>
      <c r="AB280" t="s">
        <v>816</v>
      </c>
      <c r="AC280">
        <v>54821</v>
      </c>
      <c r="AD280" t="s">
        <v>815</v>
      </c>
    </row>
    <row r="281" spans="3:30" ht="18" customHeight="1">
      <c r="C281" s="79" t="s">
        <v>180</v>
      </c>
      <c r="E281" s="71" t="s">
        <v>285</v>
      </c>
      <c r="G281" s="79" t="s">
        <v>347</v>
      </c>
      <c r="AB281" t="s">
        <v>285</v>
      </c>
      <c r="AC281">
        <v>56776</v>
      </c>
      <c r="AD281" t="s">
        <v>817</v>
      </c>
    </row>
    <row r="282" spans="3:30" ht="18" customHeight="1">
      <c r="C282" s="79" t="s">
        <v>181</v>
      </c>
      <c r="E282" s="80" t="s">
        <v>348</v>
      </c>
      <c r="G282" s="79" t="s">
        <v>347</v>
      </c>
      <c r="Y282" t="s">
        <v>1124</v>
      </c>
      <c r="Z282">
        <v>31693</v>
      </c>
      <c r="AA282" t="s">
        <v>750</v>
      </c>
    </row>
    <row r="283" spans="3:30" ht="18" customHeight="1">
      <c r="C283" s="21"/>
      <c r="E283" s="71" t="s">
        <v>283</v>
      </c>
      <c r="G283" s="79" t="s">
        <v>347</v>
      </c>
      <c r="AB283" t="s">
        <v>283</v>
      </c>
      <c r="AC283">
        <v>55681</v>
      </c>
      <c r="AD283" t="s">
        <v>818</v>
      </c>
    </row>
    <row r="284" spans="3:30" ht="18" customHeight="1">
      <c r="C284" s="21"/>
      <c r="E284" s="71" t="s">
        <v>284</v>
      </c>
      <c r="G284" s="79" t="s">
        <v>347</v>
      </c>
      <c r="AB284" t="s">
        <v>284</v>
      </c>
      <c r="AC284">
        <v>55817</v>
      </c>
      <c r="AD284" t="s">
        <v>819</v>
      </c>
    </row>
    <row r="285" spans="3:30" ht="18" customHeight="1">
      <c r="C285" s="79" t="s">
        <v>129</v>
      </c>
      <c r="E285" s="71" t="s">
        <v>252</v>
      </c>
      <c r="G285" s="79" t="s">
        <v>130</v>
      </c>
    </row>
    <row r="286" spans="3:30" ht="18" customHeight="1">
      <c r="C286" s="21"/>
      <c r="E286" s="71" t="s">
        <v>253</v>
      </c>
      <c r="G286" s="79" t="s">
        <v>130</v>
      </c>
    </row>
    <row r="287" spans="3:30" ht="18" customHeight="1">
      <c r="C287" s="79" t="s">
        <v>94</v>
      </c>
      <c r="E287" s="71" t="s">
        <v>216</v>
      </c>
      <c r="G287" s="79" t="s">
        <v>92</v>
      </c>
      <c r="Y287" t="s">
        <v>1125</v>
      </c>
      <c r="Z287">
        <v>26539</v>
      </c>
      <c r="AA287" t="s">
        <v>751</v>
      </c>
    </row>
    <row r="288" spans="3:30" ht="18" customHeight="1">
      <c r="C288" s="79" t="s">
        <v>95</v>
      </c>
      <c r="E288" s="80" t="s">
        <v>213</v>
      </c>
      <c r="G288" s="79" t="s">
        <v>92</v>
      </c>
      <c r="Y288" t="s">
        <v>1126</v>
      </c>
      <c r="Z288">
        <v>28073</v>
      </c>
      <c r="AA288" t="s">
        <v>752</v>
      </c>
    </row>
    <row r="289" spans="3:30" ht="18" customHeight="1">
      <c r="C289" s="79" t="s">
        <v>96</v>
      </c>
      <c r="E289" s="71" t="s">
        <v>215</v>
      </c>
      <c r="G289" s="79" t="s">
        <v>92</v>
      </c>
      <c r="Y289" t="s">
        <v>1127</v>
      </c>
      <c r="Z289">
        <v>29828</v>
      </c>
      <c r="AA289" t="s">
        <v>753</v>
      </c>
    </row>
    <row r="290" spans="3:30" ht="18" customHeight="1">
      <c r="C290" s="81" t="s">
        <v>97</v>
      </c>
      <c r="E290" s="71" t="s">
        <v>214</v>
      </c>
      <c r="G290" s="79" t="s">
        <v>92</v>
      </c>
    </row>
    <row r="291" spans="3:30" ht="18" customHeight="1">
      <c r="C291" s="79" t="s">
        <v>93</v>
      </c>
      <c r="E291" s="71" t="s">
        <v>217</v>
      </c>
      <c r="G291" s="79" t="s">
        <v>92</v>
      </c>
      <c r="Y291" t="s">
        <v>1128</v>
      </c>
      <c r="Z291">
        <v>25967</v>
      </c>
      <c r="AA291" t="s">
        <v>754</v>
      </c>
    </row>
    <row r="292" spans="3:30" ht="18" customHeight="1">
      <c r="C292" s="79" t="s">
        <v>91</v>
      </c>
      <c r="E292" s="71"/>
      <c r="G292" s="79" t="s">
        <v>92</v>
      </c>
      <c r="Y292" t="s">
        <v>1129</v>
      </c>
      <c r="Z292">
        <v>16678</v>
      </c>
      <c r="AA292" t="s">
        <v>755</v>
      </c>
    </row>
    <row r="293" spans="3:30" ht="18" customHeight="1">
      <c r="C293" s="79" t="s">
        <v>90</v>
      </c>
      <c r="E293" s="71" t="s">
        <v>211</v>
      </c>
      <c r="G293" s="79" t="s">
        <v>86</v>
      </c>
      <c r="Y293" t="s">
        <v>1130</v>
      </c>
      <c r="Z293">
        <v>28719</v>
      </c>
      <c r="AA293" t="s">
        <v>756</v>
      </c>
    </row>
    <row r="294" spans="3:30" ht="18" customHeight="1">
      <c r="C294" s="79" t="s">
        <v>88</v>
      </c>
      <c r="E294" s="71" t="s">
        <v>210</v>
      </c>
      <c r="G294" s="79" t="s">
        <v>86</v>
      </c>
      <c r="Y294" t="s">
        <v>1125</v>
      </c>
      <c r="Z294">
        <v>26539</v>
      </c>
      <c r="AA294" t="s">
        <v>751</v>
      </c>
    </row>
    <row r="295" spans="3:30" ht="18" customHeight="1">
      <c r="C295" s="79" t="s">
        <v>89</v>
      </c>
      <c r="E295" s="71" t="s">
        <v>209</v>
      </c>
      <c r="G295" s="79" t="s">
        <v>86</v>
      </c>
      <c r="Y295" t="s">
        <v>1131</v>
      </c>
      <c r="Z295">
        <v>28066</v>
      </c>
      <c r="AA295" t="s">
        <v>757</v>
      </c>
      <c r="AB295" t="s">
        <v>209</v>
      </c>
      <c r="AC295">
        <v>55572</v>
      </c>
      <c r="AD295" t="s">
        <v>820</v>
      </c>
    </row>
    <row r="296" spans="3:30" ht="18" customHeight="1">
      <c r="C296" s="79" t="s">
        <v>85</v>
      </c>
      <c r="E296" s="71" t="s">
        <v>212</v>
      </c>
      <c r="G296" s="79" t="s">
        <v>86</v>
      </c>
      <c r="Y296" t="s">
        <v>1132</v>
      </c>
      <c r="Z296">
        <v>10660</v>
      </c>
      <c r="AA296" t="s">
        <v>758</v>
      </c>
    </row>
    <row r="297" spans="3:30" ht="18" customHeight="1">
      <c r="C297" s="79" t="s">
        <v>87</v>
      </c>
      <c r="E297" s="71" t="s">
        <v>208</v>
      </c>
      <c r="G297" s="79" t="s">
        <v>86</v>
      </c>
      <c r="AB297" t="s">
        <v>208</v>
      </c>
      <c r="AC297">
        <v>54989</v>
      </c>
      <c r="AD297" t="s">
        <v>821</v>
      </c>
    </row>
    <row r="298" spans="3:30" ht="18" customHeight="1">
      <c r="C298" s="79" t="s">
        <v>203</v>
      </c>
      <c r="E298" s="71" t="s">
        <v>302</v>
      </c>
      <c r="G298" s="79" t="s">
        <v>72</v>
      </c>
      <c r="Y298" t="s">
        <v>1133</v>
      </c>
      <c r="Z298">
        <v>2287</v>
      </c>
      <c r="AA298" t="s">
        <v>759</v>
      </c>
    </row>
    <row r="299" spans="3:30" ht="18" customHeight="1">
      <c r="C299" s="79" t="s">
        <v>73</v>
      </c>
      <c r="E299" s="80" t="s">
        <v>303</v>
      </c>
      <c r="G299" s="79" t="s">
        <v>72</v>
      </c>
      <c r="Y299" t="s">
        <v>1134</v>
      </c>
      <c r="Z299">
        <v>5939</v>
      </c>
      <c r="AA299" t="s">
        <v>760</v>
      </c>
    </row>
    <row r="300" spans="3:30" ht="18" customHeight="1">
      <c r="C300" s="79" t="s">
        <v>74</v>
      </c>
      <c r="E300" s="71"/>
      <c r="G300" s="79" t="s">
        <v>72</v>
      </c>
      <c r="Y300" t="s">
        <v>1135</v>
      </c>
      <c r="Z300">
        <v>2306</v>
      </c>
      <c r="AA300" t="s">
        <v>761</v>
      </c>
    </row>
    <row r="301" spans="3:30" ht="18" customHeight="1">
      <c r="C301" s="79" t="s">
        <v>110</v>
      </c>
      <c r="E301" s="71" t="s">
        <v>240</v>
      </c>
      <c r="G301" s="79" t="s">
        <v>106</v>
      </c>
      <c r="Y301" t="s">
        <v>1136</v>
      </c>
      <c r="Z301">
        <v>21093</v>
      </c>
      <c r="AA301" t="s">
        <v>762</v>
      </c>
    </row>
    <row r="302" spans="3:30" ht="18" customHeight="1">
      <c r="C302" s="79" t="s">
        <v>112</v>
      </c>
      <c r="E302" s="71" t="s">
        <v>230</v>
      </c>
      <c r="G302" s="79" t="s">
        <v>106</v>
      </c>
      <c r="Y302" t="s">
        <v>1137</v>
      </c>
      <c r="Z302">
        <v>25586</v>
      </c>
      <c r="AA302" t="s">
        <v>763</v>
      </c>
      <c r="AB302" t="s">
        <v>230</v>
      </c>
      <c r="AC302">
        <v>54968</v>
      </c>
      <c r="AD302" t="s">
        <v>822</v>
      </c>
    </row>
    <row r="303" spans="3:30" ht="18" customHeight="1">
      <c r="C303" s="79" t="s">
        <v>115</v>
      </c>
      <c r="E303" s="71" t="s">
        <v>229</v>
      </c>
      <c r="G303" s="79" t="s">
        <v>106</v>
      </c>
      <c r="Y303" t="s">
        <v>1138</v>
      </c>
      <c r="Z303">
        <v>29395</v>
      </c>
      <c r="AA303" t="s">
        <v>764</v>
      </c>
      <c r="AB303" t="s">
        <v>229</v>
      </c>
      <c r="AC303">
        <v>53498</v>
      </c>
      <c r="AD303" t="s">
        <v>823</v>
      </c>
    </row>
    <row r="304" spans="3:30" ht="18" customHeight="1">
      <c r="C304" s="79" t="s">
        <v>114</v>
      </c>
      <c r="E304" s="71" t="s">
        <v>236</v>
      </c>
      <c r="G304" s="79" t="s">
        <v>106</v>
      </c>
      <c r="Y304" t="s">
        <v>1139</v>
      </c>
      <c r="Z304">
        <v>26226</v>
      </c>
      <c r="AA304" t="s">
        <v>765</v>
      </c>
      <c r="AB304" t="s">
        <v>236</v>
      </c>
      <c r="AC304">
        <v>57131</v>
      </c>
      <c r="AD304" t="s">
        <v>824</v>
      </c>
    </row>
    <row r="305" spans="3:30" ht="18" customHeight="1">
      <c r="C305" s="79" t="s">
        <v>65</v>
      </c>
      <c r="E305" s="71" t="s">
        <v>231</v>
      </c>
      <c r="G305" s="79" t="s">
        <v>106</v>
      </c>
    </row>
    <row r="306" spans="3:30" ht="18" customHeight="1">
      <c r="C306" s="79" t="s">
        <v>111</v>
      </c>
      <c r="E306" s="71" t="s">
        <v>239</v>
      </c>
      <c r="G306" s="79" t="s">
        <v>106</v>
      </c>
      <c r="Y306" t="s">
        <v>1140</v>
      </c>
      <c r="Z306">
        <v>25377</v>
      </c>
      <c r="AA306" t="s">
        <v>766</v>
      </c>
      <c r="AB306" t="s">
        <v>239</v>
      </c>
      <c r="AC306">
        <v>57460</v>
      </c>
      <c r="AD306" t="s">
        <v>825</v>
      </c>
    </row>
    <row r="307" spans="3:30" ht="18" customHeight="1">
      <c r="C307" s="79" t="s">
        <v>108</v>
      </c>
      <c r="E307" s="71" t="s">
        <v>69</v>
      </c>
      <c r="G307" s="79" t="s">
        <v>106</v>
      </c>
      <c r="Y307" t="s">
        <v>1141</v>
      </c>
      <c r="Z307">
        <v>18082</v>
      </c>
      <c r="AA307" t="s">
        <v>767</v>
      </c>
      <c r="AB307" t="s">
        <v>69</v>
      </c>
      <c r="AC307">
        <v>55362</v>
      </c>
      <c r="AD307" t="s">
        <v>826</v>
      </c>
    </row>
    <row r="308" spans="3:30" ht="18" customHeight="1">
      <c r="C308" s="79" t="s">
        <v>105</v>
      </c>
      <c r="E308" s="71" t="s">
        <v>238</v>
      </c>
      <c r="G308" s="79" t="s">
        <v>106</v>
      </c>
      <c r="Y308" t="s">
        <v>664</v>
      </c>
      <c r="Z308">
        <v>1384</v>
      </c>
      <c r="AA308" t="s">
        <v>768</v>
      </c>
    </row>
    <row r="309" spans="3:30" ht="18" customHeight="1">
      <c r="C309" s="79" t="s">
        <v>109</v>
      </c>
      <c r="E309" s="71" t="s">
        <v>234</v>
      </c>
      <c r="G309" s="79" t="s">
        <v>106</v>
      </c>
      <c r="Y309" t="s">
        <v>1142</v>
      </c>
      <c r="Z309">
        <v>18717</v>
      </c>
      <c r="AA309" t="s">
        <v>769</v>
      </c>
      <c r="AB309" t="s">
        <v>234</v>
      </c>
      <c r="AC309">
        <v>56690</v>
      </c>
      <c r="AD309" t="s">
        <v>827</v>
      </c>
    </row>
    <row r="310" spans="3:30" ht="18" customHeight="1">
      <c r="C310" s="79" t="s">
        <v>107</v>
      </c>
      <c r="E310" s="71" t="s">
        <v>228</v>
      </c>
      <c r="G310" s="79" t="s">
        <v>106</v>
      </c>
      <c r="Y310" t="s">
        <v>1143</v>
      </c>
      <c r="Z310">
        <v>13305</v>
      </c>
      <c r="AA310" t="s">
        <v>770</v>
      </c>
    </row>
    <row r="311" spans="3:30" ht="18" customHeight="1">
      <c r="C311" s="79" t="s">
        <v>113</v>
      </c>
      <c r="E311" s="71" t="s">
        <v>232</v>
      </c>
      <c r="G311" s="79" t="s">
        <v>106</v>
      </c>
      <c r="Y311" t="s">
        <v>1144</v>
      </c>
      <c r="Z311">
        <v>25871</v>
      </c>
      <c r="AA311" t="s">
        <v>771</v>
      </c>
      <c r="AB311" t="s">
        <v>232</v>
      </c>
      <c r="AC311">
        <v>56286</v>
      </c>
      <c r="AD311" t="s">
        <v>828</v>
      </c>
    </row>
    <row r="312" spans="3:30" ht="18" customHeight="1">
      <c r="C312" s="79"/>
      <c r="E312" s="71" t="s">
        <v>227</v>
      </c>
      <c r="G312" s="79" t="s">
        <v>106</v>
      </c>
      <c r="AB312" t="s">
        <v>227</v>
      </c>
      <c r="AC312">
        <v>50954</v>
      </c>
      <c r="AD312" t="s">
        <v>829</v>
      </c>
    </row>
    <row r="313" spans="3:30" ht="18" customHeight="1">
      <c r="C313" s="79"/>
      <c r="E313" s="71" t="s">
        <v>237</v>
      </c>
      <c r="G313" s="79" t="s">
        <v>106</v>
      </c>
    </row>
    <row r="314" spans="3:30" ht="18" customHeight="1">
      <c r="C314" s="79"/>
      <c r="E314" s="71" t="s">
        <v>235</v>
      </c>
      <c r="G314" s="79" t="s">
        <v>106</v>
      </c>
    </row>
    <row r="315" spans="3:30" ht="18" customHeight="1">
      <c r="C315" s="79"/>
      <c r="E315" s="71" t="s">
        <v>233</v>
      </c>
      <c r="G315" s="79" t="s">
        <v>106</v>
      </c>
    </row>
    <row r="316" spans="3:30" ht="18" customHeight="1">
      <c r="C316" s="79" t="s">
        <v>138</v>
      </c>
      <c r="E316" s="71" t="s">
        <v>258</v>
      </c>
      <c r="G316" s="79" t="s">
        <v>139</v>
      </c>
      <c r="Y316" t="s">
        <v>1145</v>
      </c>
      <c r="Z316">
        <v>965</v>
      </c>
      <c r="AA316" t="s">
        <v>772</v>
      </c>
    </row>
    <row r="317" spans="3:30" ht="18" customHeight="1">
      <c r="C317" s="21"/>
      <c r="E317" s="71" t="s">
        <v>257</v>
      </c>
      <c r="G317" s="79" t="s">
        <v>139</v>
      </c>
    </row>
    <row r="318" spans="3:30" ht="18" customHeight="1">
      <c r="C318" s="79" t="s">
        <v>101</v>
      </c>
      <c r="E318" s="71" t="s">
        <v>218</v>
      </c>
      <c r="G318" s="79" t="s">
        <v>99</v>
      </c>
      <c r="Y318" t="s">
        <v>1146</v>
      </c>
      <c r="Z318">
        <v>24357</v>
      </c>
      <c r="AA318" t="s">
        <v>773</v>
      </c>
    </row>
    <row r="319" spans="3:30" ht="18" customHeight="1">
      <c r="C319" s="79" t="s">
        <v>98</v>
      </c>
      <c r="E319" s="71" t="s">
        <v>220</v>
      </c>
      <c r="G319" s="79" t="s">
        <v>99</v>
      </c>
      <c r="Y319" t="s">
        <v>675</v>
      </c>
      <c r="Z319">
        <v>10562</v>
      </c>
      <c r="AA319" t="s">
        <v>774</v>
      </c>
      <c r="AB319" t="s">
        <v>220</v>
      </c>
      <c r="AC319">
        <v>55570</v>
      </c>
      <c r="AD319" t="s">
        <v>830</v>
      </c>
    </row>
    <row r="320" spans="3:30" ht="18" customHeight="1">
      <c r="C320" s="79" t="s">
        <v>100</v>
      </c>
      <c r="E320" s="71" t="s">
        <v>219</v>
      </c>
      <c r="G320" s="79" t="s">
        <v>99</v>
      </c>
      <c r="AB320" t="s">
        <v>219</v>
      </c>
      <c r="AC320">
        <v>55129</v>
      </c>
      <c r="AD320" t="s">
        <v>790</v>
      </c>
    </row>
    <row r="321" spans="3:30" ht="18" customHeight="1">
      <c r="C321" s="79"/>
      <c r="E321" s="71" t="s">
        <v>223</v>
      </c>
      <c r="G321" s="79" t="s">
        <v>99</v>
      </c>
    </row>
    <row r="322" spans="3:30" ht="18" customHeight="1">
      <c r="C322" s="79"/>
      <c r="E322" s="71" t="s">
        <v>221</v>
      </c>
      <c r="G322" s="79" t="s">
        <v>99</v>
      </c>
    </row>
    <row r="323" spans="3:30" ht="18" customHeight="1">
      <c r="C323" s="79"/>
      <c r="E323" s="71" t="s">
        <v>222</v>
      </c>
      <c r="G323" s="79" t="s">
        <v>99</v>
      </c>
    </row>
    <row r="324" spans="3:30" ht="18" customHeight="1">
      <c r="C324" s="81" t="s">
        <v>128</v>
      </c>
      <c r="E324" s="71" t="s">
        <v>250</v>
      </c>
      <c r="G324" s="79" t="s">
        <v>125</v>
      </c>
      <c r="Y324" t="s">
        <v>1147</v>
      </c>
      <c r="Z324">
        <v>28346</v>
      </c>
      <c r="AA324" t="s">
        <v>775</v>
      </c>
      <c r="AB324" t="s">
        <v>832</v>
      </c>
      <c r="AC324">
        <v>55733</v>
      </c>
      <c r="AD324" t="s">
        <v>831</v>
      </c>
    </row>
    <row r="325" spans="3:30" ht="18" customHeight="1">
      <c r="C325" s="79" t="s">
        <v>124</v>
      </c>
      <c r="E325" s="71" t="s">
        <v>249</v>
      </c>
      <c r="G325" s="79" t="s">
        <v>125</v>
      </c>
      <c r="Y325" t="s">
        <v>1148</v>
      </c>
      <c r="Z325">
        <v>7398</v>
      </c>
      <c r="AA325" t="s">
        <v>776</v>
      </c>
    </row>
    <row r="326" spans="3:30" ht="18" customHeight="1">
      <c r="C326" s="79" t="s">
        <v>315</v>
      </c>
      <c r="E326" s="71" t="s">
        <v>248</v>
      </c>
      <c r="G326" s="79" t="s">
        <v>125</v>
      </c>
    </row>
    <row r="327" spans="3:30" ht="18" customHeight="1">
      <c r="C327" s="79" t="s">
        <v>126</v>
      </c>
      <c r="E327" s="71" t="s">
        <v>247</v>
      </c>
      <c r="G327" s="79" t="s">
        <v>125</v>
      </c>
      <c r="Y327" t="s">
        <v>1149</v>
      </c>
      <c r="Z327">
        <v>16332</v>
      </c>
      <c r="AA327" t="s">
        <v>777</v>
      </c>
    </row>
    <row r="328" spans="3:30" ht="18" customHeight="1">
      <c r="C328" s="79" t="s">
        <v>127</v>
      </c>
      <c r="E328" s="71" t="s">
        <v>251</v>
      </c>
      <c r="G328" s="79" t="s">
        <v>125</v>
      </c>
      <c r="Y328" t="s">
        <v>1150</v>
      </c>
      <c r="Z328">
        <v>17996</v>
      </c>
      <c r="AA328" t="s">
        <v>778</v>
      </c>
    </row>
    <row r="329" spans="3:30" ht="18" customHeight="1">
      <c r="C329" s="79" t="s">
        <v>144</v>
      </c>
      <c r="E329" s="71" t="s">
        <v>260</v>
      </c>
      <c r="G329" s="79" t="s">
        <v>331</v>
      </c>
    </row>
    <row r="330" spans="3:30" ht="18" customHeight="1">
      <c r="C330" s="79" t="s">
        <v>140</v>
      </c>
      <c r="E330" s="71" t="s">
        <v>261</v>
      </c>
      <c r="G330" s="79" t="s">
        <v>331</v>
      </c>
      <c r="Y330" t="s">
        <v>1151</v>
      </c>
      <c r="Z330">
        <v>20386</v>
      </c>
      <c r="AA330" t="s">
        <v>779</v>
      </c>
    </row>
    <row r="331" spans="3:30" ht="18" customHeight="1">
      <c r="C331" s="79" t="s">
        <v>142</v>
      </c>
      <c r="E331" s="71" t="s">
        <v>259</v>
      </c>
      <c r="G331" s="79" t="s">
        <v>331</v>
      </c>
    </row>
    <row r="332" spans="3:30" ht="18" customHeight="1">
      <c r="C332" s="79" t="s">
        <v>145</v>
      </c>
      <c r="E332" s="71" t="s">
        <v>263</v>
      </c>
      <c r="G332" s="79" t="s">
        <v>331</v>
      </c>
      <c r="Y332" t="s">
        <v>1152</v>
      </c>
      <c r="Z332">
        <v>28039</v>
      </c>
      <c r="AA332" t="s">
        <v>780</v>
      </c>
    </row>
    <row r="333" spans="3:30" ht="18" customHeight="1">
      <c r="C333" s="79" t="s">
        <v>146</v>
      </c>
      <c r="E333" s="80" t="s">
        <v>332</v>
      </c>
      <c r="G333" s="79" t="s">
        <v>331</v>
      </c>
      <c r="Y333" t="s">
        <v>1153</v>
      </c>
      <c r="Z333">
        <v>30059</v>
      </c>
      <c r="AA333" t="s">
        <v>781</v>
      </c>
    </row>
    <row r="334" spans="3:30" ht="18" customHeight="1">
      <c r="C334" s="79" t="s">
        <v>143</v>
      </c>
      <c r="E334" s="71" t="s">
        <v>262</v>
      </c>
      <c r="G334" s="79" t="s">
        <v>331</v>
      </c>
      <c r="AB334" t="s">
        <v>262</v>
      </c>
      <c r="AC334">
        <v>57109</v>
      </c>
      <c r="AD334" t="s">
        <v>833</v>
      </c>
    </row>
    <row r="335" spans="3:30" ht="18" customHeight="1">
      <c r="C335" s="79" t="s">
        <v>316</v>
      </c>
      <c r="E335" s="71" t="s">
        <v>59</v>
      </c>
      <c r="G335" s="79" t="s">
        <v>333</v>
      </c>
    </row>
    <row r="336" spans="3:30" ht="18" customHeight="1">
      <c r="C336" s="79" t="s">
        <v>310</v>
      </c>
      <c r="E336" s="80" t="s">
        <v>334</v>
      </c>
      <c r="G336" s="79" t="s">
        <v>333</v>
      </c>
    </row>
    <row r="337" spans="3:30" ht="18" customHeight="1">
      <c r="C337" s="79" t="s">
        <v>307</v>
      </c>
      <c r="E337" s="71" t="s">
        <v>60</v>
      </c>
      <c r="G337" s="79" t="s">
        <v>333</v>
      </c>
      <c r="Y337" t="s">
        <v>702</v>
      </c>
      <c r="Z337">
        <v>13141</v>
      </c>
      <c r="AA337" t="s">
        <v>782</v>
      </c>
      <c r="AB337" t="s">
        <v>60</v>
      </c>
      <c r="AC337">
        <v>56296</v>
      </c>
      <c r="AD337" t="s">
        <v>834</v>
      </c>
    </row>
    <row r="338" spans="3:30" ht="18" customHeight="1">
      <c r="C338" s="79" t="s">
        <v>306</v>
      </c>
      <c r="E338" s="71" t="s">
        <v>61</v>
      </c>
      <c r="G338" s="79" t="s">
        <v>333</v>
      </c>
      <c r="Y338" t="s">
        <v>1154</v>
      </c>
      <c r="Z338">
        <v>1800</v>
      </c>
      <c r="AA338" t="s">
        <v>783</v>
      </c>
    </row>
    <row r="339" spans="3:30" ht="18" customHeight="1">
      <c r="C339" s="21"/>
      <c r="E339" s="71" t="s">
        <v>70</v>
      </c>
      <c r="G339" s="79" t="s">
        <v>333</v>
      </c>
    </row>
    <row r="340" spans="3:30" ht="18" customHeight="1">
      <c r="C340" s="21"/>
      <c r="E340" s="71" t="s">
        <v>62</v>
      </c>
      <c r="G340" s="79" t="s">
        <v>333</v>
      </c>
    </row>
    <row r="341" spans="3:30" ht="18" customHeight="1">
      <c r="C341" s="21"/>
      <c r="E341" s="71" t="s">
        <v>80</v>
      </c>
      <c r="G341" s="79" t="s">
        <v>333</v>
      </c>
      <c r="AB341" t="s">
        <v>80</v>
      </c>
      <c r="AC341">
        <v>59021</v>
      </c>
      <c r="AD341" t="s">
        <v>835</v>
      </c>
    </row>
    <row r="342" spans="3:30" ht="18" customHeight="1">
      <c r="C342" s="79" t="s">
        <v>318</v>
      </c>
      <c r="E342" s="71" t="s">
        <v>335</v>
      </c>
      <c r="G342" s="79" t="s">
        <v>66</v>
      </c>
    </row>
    <row r="343" spans="3:30" ht="18" customHeight="1">
      <c r="C343" s="79" t="s">
        <v>319</v>
      </c>
      <c r="E343" s="71" t="s">
        <v>336</v>
      </c>
      <c r="G343" s="79" t="s">
        <v>66</v>
      </c>
    </row>
    <row r="344" spans="3:30" ht="18" customHeight="1">
      <c r="C344" s="79" t="s">
        <v>320</v>
      </c>
      <c r="E344" s="71" t="s">
        <v>337</v>
      </c>
      <c r="G344" s="79" t="s">
        <v>66</v>
      </c>
      <c r="Y344" t="s">
        <v>1155</v>
      </c>
      <c r="Z344">
        <v>15756</v>
      </c>
      <c r="AA344" t="s">
        <v>784</v>
      </c>
    </row>
    <row r="345" spans="3:30" ht="18" customHeight="1">
      <c r="C345" s="21"/>
      <c r="E345" s="71" t="s">
        <v>338</v>
      </c>
      <c r="G345" s="79" t="s">
        <v>66</v>
      </c>
    </row>
    <row r="346" spans="3:30" ht="18" customHeight="1">
      <c r="C346" s="79" t="s">
        <v>308</v>
      </c>
      <c r="E346" s="71" t="s">
        <v>71</v>
      </c>
      <c r="G346" s="79" t="s">
        <v>309</v>
      </c>
      <c r="Y346" t="s">
        <v>1156</v>
      </c>
      <c r="Z346">
        <v>25962</v>
      </c>
      <c r="AA346" t="s">
        <v>785</v>
      </c>
    </row>
    <row r="347" spans="3:30" ht="18" customHeight="1">
      <c r="C347" s="79"/>
      <c r="E347" s="71"/>
      <c r="G347" s="79"/>
    </row>
    <row r="348" spans="3:30" ht="18" customHeight="1">
      <c r="C348" s="21"/>
      <c r="E348" s="71"/>
      <c r="G348" s="21"/>
    </row>
  </sheetData>
  <autoFilter ref="A13:AD13" xr:uid="{00000000-0001-0000-0C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AD32">
    <sortCondition ref="B14:B32"/>
  </sortState>
  <phoneticPr fontId="6"/>
  <conditionalFormatting sqref="V14:V73">
    <cfRule type="cellIs" dxfId="45" priority="6" stopIfTrue="1" operator="notBetween">
      <formula>"A"</formula>
      <formula>"Ｂ"</formula>
    </cfRule>
  </conditionalFormatting>
  <conditionalFormatting sqref="W14:W73">
    <cfRule type="cellIs" dxfId="44" priority="5" stopIfTrue="1" operator="between">
      <formula>"-"</formula>
      <formula>"申請中"</formula>
    </cfRule>
  </conditionalFormatting>
  <conditionalFormatting sqref="Y14:Z73">
    <cfRule type="expression" dxfId="43" priority="4">
      <formula>Y14&lt;&gt;C14</formula>
    </cfRule>
  </conditionalFormatting>
  <conditionalFormatting sqref="AB14:AC73">
    <cfRule type="expression" dxfId="42" priority="3">
      <formula>AB14&lt;&gt;E14</formula>
    </cfRule>
  </conditionalFormatting>
  <conditionalFormatting sqref="C14:C46">
    <cfRule type="duplicateValues" dxfId="41" priority="2"/>
  </conditionalFormatting>
  <conditionalFormatting sqref="E14:E46">
    <cfRule type="duplicateValues" dxfId="40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3</xdr:row>
                    <xdr:rowOff>0</xdr:rowOff>
                  </from>
                  <to>
                    <xdr:col>27</xdr:col>
                    <xdr:colOff>198120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>
    <tabColor rgb="FFFFC000"/>
  </sheetPr>
  <dimension ref="A1:AD348"/>
  <sheetViews>
    <sheetView topLeftCell="A10" zoomScaleNormal="100" workbookViewId="0">
      <selection activeCell="E25" sqref="E25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24</v>
      </c>
      <c r="D4" s="26" t="s">
        <v>7</v>
      </c>
      <c r="E4" s="27" t="s">
        <v>8</v>
      </c>
      <c r="F4" s="268" t="s">
        <v>593</v>
      </c>
      <c r="G4" s="31"/>
      <c r="H4" s="74" t="s">
        <v>591</v>
      </c>
      <c r="J4" s="27" t="s">
        <v>9</v>
      </c>
      <c r="K4" s="36" t="s">
        <v>58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 t="s">
        <v>58</v>
      </c>
      <c r="E5" s="27" t="s">
        <v>12</v>
      </c>
      <c r="F5" s="38" t="s">
        <v>58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/>
      <c r="B14" s="171">
        <v>1</v>
      </c>
      <c r="C14" s="125" t="s">
        <v>1487</v>
      </c>
      <c r="D14" s="265" t="s">
        <v>1324</v>
      </c>
      <c r="E14" s="125" t="s">
        <v>1408</v>
      </c>
      <c r="F14" s="271">
        <v>58208</v>
      </c>
      <c r="G14" s="122" t="s">
        <v>1397</v>
      </c>
      <c r="H14" s="23"/>
      <c r="I14" s="23"/>
      <c r="J14" s="64" t="str">
        <f t="shared" ref="J14:J45" si="0">IF(H14="","",H14+I14)</f>
        <v/>
      </c>
      <c r="K14" s="65"/>
      <c r="L14" s="65"/>
      <c r="M14" s="66" t="str">
        <f t="shared" ref="M14:M45" si="1">IF(L14="","",K14+L14)</f>
        <v/>
      </c>
      <c r="N14" s="23"/>
      <c r="O14" s="23"/>
      <c r="P14" s="64" t="str">
        <f t="shared" ref="P14:P45" si="2">IF(N14="","",N14+O14)</f>
        <v/>
      </c>
      <c r="Q14" s="65"/>
      <c r="R14" s="65"/>
      <c r="S14" s="66" t="str">
        <f t="shared" ref="S14:S45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 t="s">
        <v>1174</v>
      </c>
      <c r="Z14">
        <v>32667</v>
      </c>
      <c r="AA14" t="s">
        <v>863</v>
      </c>
      <c r="AB14"/>
      <c r="AC14"/>
      <c r="AD14"/>
    </row>
    <row r="15" spans="1:30" s="69" customFormat="1" ht="18" customHeight="1">
      <c r="A15" s="62"/>
      <c r="B15" s="171">
        <v>2</v>
      </c>
      <c r="C15" s="125" t="s">
        <v>1436</v>
      </c>
      <c r="D15" s="265">
        <v>28108</v>
      </c>
      <c r="E15" s="161" t="s">
        <v>1413</v>
      </c>
      <c r="F15" s="275">
        <v>61681</v>
      </c>
      <c r="G15" s="127" t="s">
        <v>1390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/>
      <c r="Z15"/>
      <c r="AA15"/>
      <c r="AB15" t="s">
        <v>693</v>
      </c>
      <c r="AC15">
        <v>57478</v>
      </c>
      <c r="AD15" t="s">
        <v>849</v>
      </c>
    </row>
    <row r="16" spans="1:30" s="69" customFormat="1" ht="18" customHeight="1">
      <c r="A16" s="62" t="s">
        <v>1437</v>
      </c>
      <c r="B16" s="171">
        <v>3</v>
      </c>
      <c r="C16" s="125" t="s">
        <v>670</v>
      </c>
      <c r="D16" s="265">
        <v>23529</v>
      </c>
      <c r="E16" s="151" t="s">
        <v>671</v>
      </c>
      <c r="F16" s="298">
        <v>60111</v>
      </c>
      <c r="G16" s="179" t="s">
        <v>1335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 t="s">
        <v>1266</v>
      </c>
      <c r="Z16">
        <v>32293</v>
      </c>
      <c r="AA16" t="s">
        <v>1074</v>
      </c>
      <c r="AB16" t="s">
        <v>653</v>
      </c>
      <c r="AC16">
        <v>59561</v>
      </c>
      <c r="AD16" t="s">
        <v>1077</v>
      </c>
    </row>
    <row r="17" spans="1:30" s="69" customFormat="1" ht="18" customHeight="1">
      <c r="A17" s="62"/>
      <c r="B17" s="171">
        <v>4</v>
      </c>
      <c r="C17" s="125" t="s">
        <v>1488</v>
      </c>
      <c r="D17" s="265">
        <v>25255</v>
      </c>
      <c r="E17" s="161" t="s">
        <v>1489</v>
      </c>
      <c r="F17" s="275" t="s">
        <v>1344</v>
      </c>
      <c r="G17" s="127" t="s">
        <v>1490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 t="s">
        <v>1082</v>
      </c>
      <c r="Z17">
        <v>28711</v>
      </c>
      <c r="AA17" t="s">
        <v>707</v>
      </c>
      <c r="AB17"/>
      <c r="AC17"/>
      <c r="AD17"/>
    </row>
    <row r="18" spans="1:30" s="69" customFormat="1" ht="18" customHeight="1">
      <c r="A18" s="62"/>
      <c r="B18" s="171">
        <v>5</v>
      </c>
      <c r="C18" s="121" t="s">
        <v>1176</v>
      </c>
      <c r="D18" s="278">
        <v>33052</v>
      </c>
      <c r="E18" s="148" t="s">
        <v>658</v>
      </c>
      <c r="F18" s="282">
        <v>59064</v>
      </c>
      <c r="G18" s="126" t="s">
        <v>1337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 t="s">
        <v>1165</v>
      </c>
      <c r="Z18">
        <v>33124</v>
      </c>
      <c r="AA18" t="s">
        <v>854</v>
      </c>
      <c r="AB18" t="s">
        <v>668</v>
      </c>
      <c r="AC18">
        <v>56840</v>
      </c>
      <c r="AD18" t="s">
        <v>870</v>
      </c>
    </row>
    <row r="19" spans="1:30" s="69" customFormat="1" ht="18" customHeight="1">
      <c r="A19" s="62"/>
      <c r="B19" s="171">
        <v>6</v>
      </c>
      <c r="C19" s="120" t="s">
        <v>1438</v>
      </c>
      <c r="D19" s="265" t="s">
        <v>1324</v>
      </c>
      <c r="E19" s="151" t="s">
        <v>1371</v>
      </c>
      <c r="F19" s="271" t="s">
        <v>1324</v>
      </c>
      <c r="G19" s="126" t="s">
        <v>1373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 t="s">
        <v>1172</v>
      </c>
      <c r="Z19">
        <v>31794</v>
      </c>
      <c r="AA19" t="s">
        <v>861</v>
      </c>
      <c r="AB19" t="s">
        <v>1296</v>
      </c>
      <c r="AC19">
        <v>59542</v>
      </c>
      <c r="AD19" t="s">
        <v>1303</v>
      </c>
    </row>
    <row r="20" spans="1:30" s="69" customFormat="1" ht="18" customHeight="1">
      <c r="A20" s="62" t="s">
        <v>1419</v>
      </c>
      <c r="B20" s="171">
        <v>7</v>
      </c>
      <c r="C20" s="125" t="s">
        <v>1142</v>
      </c>
      <c r="D20" s="265">
        <v>18717</v>
      </c>
      <c r="E20" s="125" t="s">
        <v>1343</v>
      </c>
      <c r="F20" s="271" t="s">
        <v>1344</v>
      </c>
      <c r="G20" s="122" t="s">
        <v>1342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 t="s">
        <v>1166</v>
      </c>
      <c r="Z20">
        <v>31991</v>
      </c>
      <c r="AA20" t="s">
        <v>855</v>
      </c>
      <c r="AB20" t="s">
        <v>654</v>
      </c>
      <c r="AC20">
        <v>57652</v>
      </c>
      <c r="AD20" t="s">
        <v>871</v>
      </c>
    </row>
    <row r="21" spans="1:30" s="69" customFormat="1" ht="18" customHeight="1">
      <c r="A21" s="62"/>
      <c r="B21" s="171">
        <v>8</v>
      </c>
      <c r="C21" s="125" t="s">
        <v>1414</v>
      </c>
      <c r="D21" s="265">
        <v>14007</v>
      </c>
      <c r="E21" s="125" t="s">
        <v>642</v>
      </c>
      <c r="F21" s="271">
        <v>60439</v>
      </c>
      <c r="G21" s="122" t="s">
        <v>1390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 t="s">
        <v>670</v>
      </c>
      <c r="Z21">
        <v>23529</v>
      </c>
      <c r="AA21" t="s">
        <v>708</v>
      </c>
      <c r="AB21" t="s">
        <v>671</v>
      </c>
      <c r="AC21">
        <v>60111</v>
      </c>
      <c r="AD21" t="s">
        <v>867</v>
      </c>
    </row>
    <row r="22" spans="1:30" s="69" customFormat="1" ht="18" customHeight="1">
      <c r="A22" s="62"/>
      <c r="B22" s="171">
        <v>9</v>
      </c>
      <c r="C22" s="125" t="s">
        <v>1439</v>
      </c>
      <c r="D22" s="265">
        <v>33843</v>
      </c>
      <c r="E22" s="125" t="s">
        <v>1354</v>
      </c>
      <c r="F22" s="271">
        <v>55915</v>
      </c>
      <c r="G22" s="122" t="s">
        <v>1351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 t="s">
        <v>1168</v>
      </c>
      <c r="Z22">
        <v>17971</v>
      </c>
      <c r="AA22" t="s">
        <v>857</v>
      </c>
      <c r="AB22" t="s">
        <v>657</v>
      </c>
      <c r="AC22">
        <v>58663</v>
      </c>
      <c r="AD22" t="s">
        <v>873</v>
      </c>
    </row>
    <row r="23" spans="1:30" s="69" customFormat="1" ht="18" customHeight="1">
      <c r="A23" s="62"/>
      <c r="B23" s="171">
        <v>10</v>
      </c>
      <c r="C23" s="125" t="s">
        <v>1440</v>
      </c>
      <c r="D23" s="265" t="s">
        <v>1324</v>
      </c>
      <c r="E23" s="125" t="s">
        <v>1359</v>
      </c>
      <c r="F23" s="271">
        <v>57887</v>
      </c>
      <c r="G23" s="122" t="s">
        <v>1356</v>
      </c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 t="s">
        <v>1161</v>
      </c>
      <c r="Z23">
        <v>28381</v>
      </c>
      <c r="AA23" t="s">
        <v>843</v>
      </c>
      <c r="AB23"/>
      <c r="AC23"/>
      <c r="AD23"/>
    </row>
    <row r="24" spans="1:30" s="69" customFormat="1" ht="18" customHeight="1">
      <c r="A24" s="62"/>
      <c r="B24" s="171">
        <v>11</v>
      </c>
      <c r="C24" s="120" t="s">
        <v>1170</v>
      </c>
      <c r="D24" s="278">
        <v>32215</v>
      </c>
      <c r="E24" s="148" t="s">
        <v>671</v>
      </c>
      <c r="F24" s="298">
        <v>60111</v>
      </c>
      <c r="G24" s="123" t="s">
        <v>1335</v>
      </c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 t="s">
        <v>1162</v>
      </c>
      <c r="Z24">
        <v>30373</v>
      </c>
      <c r="AA24" t="s">
        <v>844</v>
      </c>
      <c r="AB24"/>
      <c r="AC24"/>
      <c r="AD24"/>
    </row>
    <row r="25" spans="1:30" s="69" customFormat="1" ht="18" customHeight="1">
      <c r="A25" s="62"/>
      <c r="B25" s="171">
        <v>12</v>
      </c>
      <c r="C25" s="125" t="s">
        <v>1484</v>
      </c>
      <c r="D25" s="265">
        <v>34299</v>
      </c>
      <c r="E25" s="161" t="s">
        <v>1491</v>
      </c>
      <c r="F25" s="275">
        <v>59843</v>
      </c>
      <c r="G25" s="154" t="s">
        <v>1397</v>
      </c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/>
      <c r="Z25"/>
      <c r="AA25"/>
      <c r="AB25" t="s">
        <v>697</v>
      </c>
      <c r="AC25">
        <v>58108</v>
      </c>
      <c r="AD25" t="s">
        <v>872</v>
      </c>
    </row>
    <row r="26" spans="1:30" s="69" customFormat="1" ht="18" customHeight="1">
      <c r="A26" s="62" t="s">
        <v>1419</v>
      </c>
      <c r="B26" s="63">
        <v>13</v>
      </c>
      <c r="C26" s="125" t="s">
        <v>1406</v>
      </c>
      <c r="D26" s="265">
        <v>14546</v>
      </c>
      <c r="E26" s="125" t="s">
        <v>1372</v>
      </c>
      <c r="F26" s="271">
        <v>60834</v>
      </c>
      <c r="G26" s="122" t="s">
        <v>1373</v>
      </c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e">
        <f>IF($C26="","",VLOOKUP($C26,#REF!,4,FALSE))</f>
        <v>#REF!</v>
      </c>
      <c r="W26" s="72" t="e">
        <f>IF($E26="","",VLOOKUP($E26,#REF!,4,FALSE))</f>
        <v>#REF!</v>
      </c>
      <c r="Y26" t="s">
        <v>1163</v>
      </c>
      <c r="Z26">
        <v>32786</v>
      </c>
      <c r="AA26" t="s">
        <v>845</v>
      </c>
      <c r="AB26" t="s">
        <v>640</v>
      </c>
      <c r="AC26">
        <v>57349</v>
      </c>
      <c r="AD26" t="s">
        <v>851</v>
      </c>
    </row>
    <row r="27" spans="1:30" s="69" customFormat="1" ht="18" customHeight="1">
      <c r="A27" s="62"/>
      <c r="B27" s="63">
        <v>14</v>
      </c>
      <c r="C27" s="120" t="s">
        <v>1348</v>
      </c>
      <c r="D27" s="265">
        <v>33610</v>
      </c>
      <c r="E27" s="151" t="s">
        <v>1349</v>
      </c>
      <c r="F27" s="271">
        <v>61089</v>
      </c>
      <c r="G27" s="126" t="s">
        <v>1342</v>
      </c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e">
        <f>IF($C27="","",VLOOKUP($C27,#REF!,4,FALSE))</f>
        <v>#REF!</v>
      </c>
      <c r="W27" s="72" t="e">
        <f>IF($E27="","",VLOOKUP($E27,#REF!,4,FALSE))</f>
        <v>#REF!</v>
      </c>
      <c r="Y27" t="s">
        <v>1169</v>
      </c>
      <c r="Z27">
        <v>33374</v>
      </c>
      <c r="AA27" t="s">
        <v>858</v>
      </c>
      <c r="AB27" t="s">
        <v>669</v>
      </c>
      <c r="AC27">
        <v>60744</v>
      </c>
      <c r="AD27" t="s">
        <v>848</v>
      </c>
    </row>
    <row r="28" spans="1:30" s="69" customFormat="1" ht="18" customHeight="1">
      <c r="A28" s="62"/>
      <c r="B28" s="63">
        <v>15</v>
      </c>
      <c r="C28" s="203" t="s">
        <v>1441</v>
      </c>
      <c r="D28" s="265">
        <v>33538</v>
      </c>
      <c r="E28" s="204" t="s">
        <v>1391</v>
      </c>
      <c r="F28" s="271">
        <v>61781</v>
      </c>
      <c r="G28" s="122" t="s">
        <v>1390</v>
      </c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e">
        <f>IF($C28="","",VLOOKUP($C28,#REF!,4,FALSE))</f>
        <v>#REF!</v>
      </c>
      <c r="W28" s="72" t="e">
        <f>IF($E28="","",VLOOKUP($E28,#REF!,4,FALSE))</f>
        <v>#REF!</v>
      </c>
      <c r="Y28" t="s">
        <v>670</v>
      </c>
      <c r="Z28">
        <v>23529</v>
      </c>
      <c r="AA28" t="s">
        <v>708</v>
      </c>
      <c r="AB28" t="s">
        <v>672</v>
      </c>
      <c r="AC28">
        <v>60944</v>
      </c>
      <c r="AD28" t="s">
        <v>875</v>
      </c>
    </row>
    <row r="29" spans="1:30" s="69" customFormat="1" ht="18" customHeight="1">
      <c r="A29" s="62"/>
      <c r="B29" s="63">
        <v>16</v>
      </c>
      <c r="C29" s="125" t="s">
        <v>1403</v>
      </c>
      <c r="D29" s="265">
        <v>34060</v>
      </c>
      <c r="E29" s="161" t="s">
        <v>1492</v>
      </c>
      <c r="F29" s="275">
        <v>62130</v>
      </c>
      <c r="G29" s="127" t="s">
        <v>1318</v>
      </c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e">
        <f>IF($C29="","",VLOOKUP($C29,#REF!,4,FALSE))</f>
        <v>#REF!</v>
      </c>
      <c r="W29" s="72" t="e">
        <f>IF($E29="","",VLOOKUP($E29,#REF!,4,FALSE))</f>
        <v>#REF!</v>
      </c>
      <c r="Y29" t="s">
        <v>1176</v>
      </c>
      <c r="Z29">
        <v>33052</v>
      </c>
      <c r="AA29" t="s">
        <v>865</v>
      </c>
      <c r="AB29" t="s">
        <v>658</v>
      </c>
      <c r="AC29">
        <v>59064</v>
      </c>
      <c r="AD29" t="s">
        <v>878</v>
      </c>
    </row>
    <row r="30" spans="1:30" s="69" customFormat="1" ht="18" customHeight="1">
      <c r="A30" s="62" t="s">
        <v>1419</v>
      </c>
      <c r="B30" s="63">
        <v>17</v>
      </c>
      <c r="C30" s="120" t="s">
        <v>1199</v>
      </c>
      <c r="D30" s="282">
        <v>7270</v>
      </c>
      <c r="E30" s="148" t="s">
        <v>1493</v>
      </c>
      <c r="F30" s="283">
        <v>60955</v>
      </c>
      <c r="G30" s="120" t="s">
        <v>1318</v>
      </c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e">
        <f>IF($C30="","",VLOOKUP($C30,#REF!,4,FALSE))</f>
        <v>#REF!</v>
      </c>
      <c r="W30" s="72" t="e">
        <f>IF($E30="","",VLOOKUP($E30,#REF!,4,FALSE))</f>
        <v>#REF!</v>
      </c>
      <c r="Y30" t="s">
        <v>1157</v>
      </c>
      <c r="Z30">
        <v>32787</v>
      </c>
      <c r="AA30" t="s">
        <v>837</v>
      </c>
      <c r="AB30" t="s">
        <v>641</v>
      </c>
      <c r="AC30">
        <v>58347</v>
      </c>
      <c r="AD30" t="s">
        <v>841</v>
      </c>
    </row>
    <row r="31" spans="1:30" s="69" customFormat="1" ht="18" customHeight="1">
      <c r="A31" s="62"/>
      <c r="B31" s="63">
        <v>18</v>
      </c>
      <c r="C31" s="125" t="s">
        <v>1494</v>
      </c>
      <c r="D31" s="265">
        <v>15774</v>
      </c>
      <c r="E31" s="125" t="s">
        <v>1495</v>
      </c>
      <c r="F31" s="271">
        <v>59762</v>
      </c>
      <c r="G31" s="122" t="s">
        <v>1367</v>
      </c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e">
        <f>IF($C31="","",VLOOKUP($C31,#REF!,4,FALSE))</f>
        <v>#REF!</v>
      </c>
      <c r="W31" s="72" t="e">
        <f>IF($E31="","",VLOOKUP($E31,#REF!,4,FALSE))</f>
        <v>#REF!</v>
      </c>
      <c r="Y31" t="s">
        <v>1175</v>
      </c>
      <c r="Z31">
        <v>6477</v>
      </c>
      <c r="AA31" t="s">
        <v>864</v>
      </c>
      <c r="AB31" t="s">
        <v>877</v>
      </c>
      <c r="AC31">
        <v>60081</v>
      </c>
      <c r="AD31" t="s">
        <v>876</v>
      </c>
    </row>
    <row r="32" spans="1:30" s="69" customFormat="1" ht="18" customHeight="1">
      <c r="A32" s="62"/>
      <c r="B32" s="63">
        <v>19</v>
      </c>
      <c r="C32" s="127" t="s">
        <v>1415</v>
      </c>
      <c r="D32" s="277">
        <v>12188</v>
      </c>
      <c r="E32" s="160" t="s">
        <v>1524</v>
      </c>
      <c r="F32" s="283">
        <v>62119</v>
      </c>
      <c r="G32" s="154" t="s">
        <v>1417</v>
      </c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e">
        <f>IF($C32="","",VLOOKUP($C32,#REF!,4,FALSE))</f>
        <v>#REF!</v>
      </c>
      <c r="W32" s="72" t="e">
        <f>IF($E32="","",VLOOKUP($E32,#REF!,4,FALSE))</f>
        <v>#REF!</v>
      </c>
      <c r="Y32" t="s">
        <v>1177</v>
      </c>
      <c r="Z32">
        <v>13449</v>
      </c>
      <c r="AA32" t="s">
        <v>866</v>
      </c>
      <c r="AB32" t="s">
        <v>672</v>
      </c>
      <c r="AC32">
        <v>60944</v>
      </c>
      <c r="AD32" t="s">
        <v>875</v>
      </c>
    </row>
    <row r="33" spans="1:30" s="69" customFormat="1" ht="18" customHeight="1">
      <c r="A33" s="62"/>
      <c r="B33" s="63">
        <v>20</v>
      </c>
      <c r="C33" s="125"/>
      <c r="D33" s="265"/>
      <c r="E33" s="124"/>
      <c r="F33" s="299"/>
      <c r="G33" s="154"/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Y33" t="s">
        <v>1173</v>
      </c>
      <c r="Z33">
        <v>33125</v>
      </c>
      <c r="AA33" t="s">
        <v>862</v>
      </c>
      <c r="AB33" t="s">
        <v>668</v>
      </c>
      <c r="AC33">
        <v>56840</v>
      </c>
      <c r="AD33" t="s">
        <v>870</v>
      </c>
    </row>
    <row r="34" spans="1:30" s="69" customFormat="1" ht="18" customHeight="1">
      <c r="A34" s="62"/>
      <c r="B34" s="63">
        <v>21</v>
      </c>
      <c r="C34" s="125"/>
      <c r="D34" s="297"/>
      <c r="E34" s="155"/>
      <c r="F34" s="274"/>
      <c r="G34" s="154"/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Y34" t="s">
        <v>1293</v>
      </c>
      <c r="Z34">
        <v>32292</v>
      </c>
      <c r="AA34" t="s">
        <v>1299</v>
      </c>
      <c r="AB34" t="s">
        <v>1295</v>
      </c>
      <c r="AC34">
        <v>59063</v>
      </c>
      <c r="AD34" t="s">
        <v>1302</v>
      </c>
    </row>
    <row r="35" spans="1:30" s="69" customFormat="1" ht="18" customHeight="1">
      <c r="A35" s="62"/>
      <c r="B35" s="63">
        <v>22</v>
      </c>
      <c r="C35" s="125"/>
      <c r="D35" s="265"/>
      <c r="E35" s="155"/>
      <c r="F35" s="274"/>
      <c r="G35" s="157"/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Y35" t="s">
        <v>1261</v>
      </c>
      <c r="Z35">
        <v>31920</v>
      </c>
      <c r="AA35" t="s">
        <v>1059</v>
      </c>
      <c r="AB35"/>
      <c r="AC35"/>
      <c r="AD35"/>
    </row>
    <row r="36" spans="1:30" s="69" customFormat="1" ht="18" customHeight="1">
      <c r="A36" s="62"/>
      <c r="B36" s="63">
        <v>23</v>
      </c>
      <c r="C36" s="125"/>
      <c r="D36" s="265"/>
      <c r="E36" s="155"/>
      <c r="F36" s="274"/>
      <c r="G36" s="157"/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Y36"/>
      <c r="Z36"/>
      <c r="AA36"/>
      <c r="AB36" t="s">
        <v>1297</v>
      </c>
      <c r="AC36">
        <v>61196</v>
      </c>
      <c r="AD36" t="s">
        <v>1304</v>
      </c>
    </row>
    <row r="37" spans="1:30" s="69" customFormat="1" ht="18" customHeight="1">
      <c r="A37" s="62"/>
      <c r="B37" s="63">
        <v>24</v>
      </c>
      <c r="C37" s="125"/>
      <c r="D37" s="265"/>
      <c r="E37" s="155"/>
      <c r="F37" s="274"/>
      <c r="G37" s="157"/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Y37" t="s">
        <v>1294</v>
      </c>
      <c r="Z37">
        <v>33380</v>
      </c>
      <c r="AA37" t="s">
        <v>1300</v>
      </c>
      <c r="AB37" t="s">
        <v>1298</v>
      </c>
      <c r="AC37">
        <v>60951</v>
      </c>
      <c r="AD37" t="s">
        <v>1301</v>
      </c>
    </row>
    <row r="38" spans="1:30" s="69" customFormat="1" ht="18" customHeight="1">
      <c r="A38" s="62"/>
      <c r="B38" s="63">
        <v>25</v>
      </c>
      <c r="C38" s="121"/>
      <c r="D38" s="265"/>
      <c r="E38" s="170"/>
      <c r="F38" s="296"/>
      <c r="G38" s="164"/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Y38" t="s">
        <v>1170</v>
      </c>
      <c r="Z38">
        <v>32215</v>
      </c>
      <c r="AA38" t="s">
        <v>859</v>
      </c>
      <c r="AB38" t="s">
        <v>671</v>
      </c>
      <c r="AC38">
        <v>60111</v>
      </c>
      <c r="AD38" t="s">
        <v>867</v>
      </c>
    </row>
    <row r="39" spans="1:30" s="69" customFormat="1" ht="18" customHeight="1">
      <c r="A39" s="62"/>
      <c r="B39" s="63">
        <v>26</v>
      </c>
      <c r="C39" s="121"/>
      <c r="D39" s="278"/>
      <c r="E39" s="201"/>
      <c r="F39" s="296"/>
      <c r="G39" s="202"/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Y39" t="s">
        <v>1184</v>
      </c>
      <c r="Z39">
        <v>14856</v>
      </c>
      <c r="AA39" t="s">
        <v>885</v>
      </c>
      <c r="AB39" t="s">
        <v>1298</v>
      </c>
      <c r="AC39">
        <v>60951</v>
      </c>
      <c r="AD39" t="s">
        <v>1301</v>
      </c>
    </row>
    <row r="40" spans="1:30" s="69" customFormat="1" ht="18" customHeight="1">
      <c r="A40" s="62"/>
      <c r="B40" s="63">
        <v>27</v>
      </c>
      <c r="C40" s="125"/>
      <c r="D40" s="265"/>
      <c r="E40" s="155"/>
      <c r="F40" s="274"/>
      <c r="G40" s="157"/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63">
        <v>28</v>
      </c>
      <c r="C41" s="125"/>
      <c r="D41" s="264"/>
      <c r="E41" s="125"/>
      <c r="F41" s="271"/>
      <c r="G41" s="122"/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 t="s">
        <v>1082</v>
      </c>
      <c r="Z41">
        <v>28711</v>
      </c>
      <c r="AA41" t="s">
        <v>707</v>
      </c>
      <c r="AB41"/>
      <c r="AC41"/>
      <c r="AD41"/>
    </row>
    <row r="42" spans="1:30" s="69" customFormat="1" ht="18" customHeight="1">
      <c r="A42" s="62"/>
      <c r="B42" s="63">
        <v>29</v>
      </c>
      <c r="C42" s="127"/>
      <c r="D42" s="277"/>
      <c r="E42" s="160"/>
      <c r="F42" s="271"/>
      <c r="G42" s="127"/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 t="s">
        <v>1265</v>
      </c>
      <c r="Z42">
        <v>17526</v>
      </c>
      <c r="AA42" t="s">
        <v>1073</v>
      </c>
      <c r="AB42" t="s">
        <v>696</v>
      </c>
      <c r="AC42">
        <v>57458</v>
      </c>
      <c r="AD42" t="s">
        <v>1076</v>
      </c>
    </row>
    <row r="43" spans="1:30" s="69" customFormat="1" ht="18" customHeight="1">
      <c r="A43" s="62"/>
      <c r="B43" s="63">
        <v>30</v>
      </c>
      <c r="C43" s="125"/>
      <c r="D43" s="265"/>
      <c r="E43" s="125"/>
      <c r="F43" s="271"/>
      <c r="G43" s="122"/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 t="s">
        <v>1117</v>
      </c>
      <c r="Z43">
        <v>11802</v>
      </c>
      <c r="AA43" t="s">
        <v>743</v>
      </c>
      <c r="AB43" t="s">
        <v>645</v>
      </c>
      <c r="AC43">
        <v>61123</v>
      </c>
      <c r="AD43" t="s">
        <v>868</v>
      </c>
    </row>
    <row r="44" spans="1:30" s="69" customFormat="1" ht="18" customHeight="1">
      <c r="A44" s="62"/>
      <c r="B44" s="63">
        <v>31</v>
      </c>
      <c r="C44" s="125"/>
      <c r="D44" s="265"/>
      <c r="E44" s="161"/>
      <c r="F44" s="275"/>
      <c r="G44" s="127"/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 t="s">
        <v>1164</v>
      </c>
      <c r="Z44">
        <v>1541</v>
      </c>
      <c r="AA44" t="s">
        <v>853</v>
      </c>
      <c r="AB44" t="s">
        <v>636</v>
      </c>
      <c r="AC44">
        <v>53980</v>
      </c>
      <c r="AD44" t="s">
        <v>869</v>
      </c>
    </row>
    <row r="45" spans="1:30" s="69" customFormat="1" ht="18" customHeight="1">
      <c r="A45" s="62"/>
      <c r="B45" s="63">
        <v>32</v>
      </c>
      <c r="C45" s="125"/>
      <c r="D45" s="265"/>
      <c r="E45" s="125"/>
      <c r="F45" s="271"/>
      <c r="G45" s="122"/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 t="s">
        <v>1167</v>
      </c>
      <c r="Z45">
        <v>31288</v>
      </c>
      <c r="AA45" t="s">
        <v>856</v>
      </c>
      <c r="AB45"/>
      <c r="AC45"/>
      <c r="AD45"/>
    </row>
    <row r="46" spans="1:30" s="69" customFormat="1" ht="18" customHeight="1">
      <c r="A46" s="62"/>
      <c r="B46" s="63">
        <v>33</v>
      </c>
      <c r="C46" s="125"/>
      <c r="D46" s="265"/>
      <c r="E46" s="125"/>
      <c r="F46" s="271"/>
      <c r="G46" s="122"/>
      <c r="H46" s="23"/>
      <c r="I46" s="23"/>
      <c r="J46" s="64" t="str">
        <f t="shared" ref="J46:J73" si="4">IF(H46="","",H46+I46)</f>
        <v/>
      </c>
      <c r="K46" s="65"/>
      <c r="L46" s="65"/>
      <c r="M46" s="66" t="str">
        <f t="shared" ref="M46:M73" si="5">IF(L46="","",K46+L46)</f>
        <v/>
      </c>
      <c r="N46" s="23"/>
      <c r="O46" s="23"/>
      <c r="P46" s="64" t="str">
        <f t="shared" ref="P46:P73" si="6">IF(N46="","",N46+O46)</f>
        <v/>
      </c>
      <c r="Q46" s="65"/>
      <c r="R46" s="65"/>
      <c r="S46" s="66" t="str">
        <f t="shared" ref="S46:S73" si="7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 t="s">
        <v>646</v>
      </c>
      <c r="AC46">
        <v>58674</v>
      </c>
      <c r="AD46" t="s">
        <v>874</v>
      </c>
    </row>
    <row r="47" spans="1:30" s="69" customFormat="1" ht="18" customHeight="1">
      <c r="A47" s="62"/>
      <c r="B47" s="63">
        <v>34</v>
      </c>
      <c r="C47" s="120"/>
      <c r="D47" s="282"/>
      <c r="E47" s="148"/>
      <c r="F47" s="271"/>
      <c r="G47" s="120"/>
      <c r="H47" s="23"/>
      <c r="I47" s="23"/>
      <c r="J47" s="64" t="str">
        <f t="shared" si="4"/>
        <v/>
      </c>
      <c r="K47" s="65"/>
      <c r="L47" s="65"/>
      <c r="M47" s="66" t="str">
        <f t="shared" si="5"/>
        <v/>
      </c>
      <c r="N47" s="23"/>
      <c r="O47" s="23"/>
      <c r="P47" s="64" t="str">
        <f t="shared" si="6"/>
        <v/>
      </c>
      <c r="Q47" s="65"/>
      <c r="R47" s="65"/>
      <c r="S47" s="66" t="str">
        <f t="shared" si="7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 t="s">
        <v>1171</v>
      </c>
      <c r="Z47">
        <v>33397</v>
      </c>
      <c r="AA47" t="s">
        <v>860</v>
      </c>
      <c r="AB47" t="s">
        <v>645</v>
      </c>
      <c r="AC47">
        <v>61123</v>
      </c>
      <c r="AD47" t="s">
        <v>868</v>
      </c>
    </row>
    <row r="48" spans="1:30" s="69" customFormat="1" ht="18" customHeight="1">
      <c r="A48" s="62"/>
      <c r="B48" s="63">
        <v>35</v>
      </c>
      <c r="C48" s="125"/>
      <c r="D48" s="265"/>
      <c r="E48" s="125"/>
      <c r="F48" s="271"/>
      <c r="G48" s="122"/>
      <c r="H48" s="23"/>
      <c r="I48" s="23"/>
      <c r="J48" s="64" t="str">
        <f t="shared" si="4"/>
        <v/>
      </c>
      <c r="K48" s="65"/>
      <c r="L48" s="65"/>
      <c r="M48" s="66" t="str">
        <f t="shared" si="5"/>
        <v/>
      </c>
      <c r="N48" s="23"/>
      <c r="O48" s="23"/>
      <c r="P48" s="64" t="str">
        <f t="shared" si="6"/>
        <v/>
      </c>
      <c r="Q48" s="65"/>
      <c r="R48" s="65"/>
      <c r="S48" s="66" t="str">
        <f t="shared" si="7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 t="s">
        <v>1172</v>
      </c>
      <c r="Z48">
        <v>31794</v>
      </c>
      <c r="AA48" t="s">
        <v>861</v>
      </c>
      <c r="AB48" t="s">
        <v>636</v>
      </c>
      <c r="AC48">
        <v>53980</v>
      </c>
      <c r="AD48" t="s">
        <v>869</v>
      </c>
    </row>
    <row r="49" spans="1:30" s="69" customFormat="1" ht="18" customHeight="1">
      <c r="A49" s="62"/>
      <c r="B49" s="63">
        <v>36</v>
      </c>
      <c r="C49" s="125"/>
      <c r="D49" s="265"/>
      <c r="E49" s="125"/>
      <c r="F49" s="271"/>
      <c r="G49" s="122"/>
      <c r="H49" s="23"/>
      <c r="I49" s="23"/>
      <c r="J49" s="64" t="str">
        <f t="shared" si="4"/>
        <v/>
      </c>
      <c r="K49" s="65"/>
      <c r="L49" s="65"/>
      <c r="M49" s="66" t="str">
        <f t="shared" si="5"/>
        <v/>
      </c>
      <c r="N49" s="23"/>
      <c r="O49" s="23"/>
      <c r="P49" s="64" t="str">
        <f t="shared" si="6"/>
        <v/>
      </c>
      <c r="Q49" s="65"/>
      <c r="R49" s="65"/>
      <c r="S49" s="66" t="str">
        <f t="shared" si="7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>
        <v>37</v>
      </c>
      <c r="C50" s="125"/>
      <c r="D50" s="265"/>
      <c r="E50" s="125"/>
      <c r="F50" s="271"/>
      <c r="G50" s="122"/>
      <c r="H50" s="23"/>
      <c r="I50" s="23"/>
      <c r="J50" s="64" t="str">
        <f t="shared" si="4"/>
        <v/>
      </c>
      <c r="K50" s="65"/>
      <c r="L50" s="65"/>
      <c r="M50" s="66" t="str">
        <f t="shared" si="5"/>
        <v/>
      </c>
      <c r="N50" s="23"/>
      <c r="O50" s="23"/>
      <c r="P50" s="64" t="str">
        <f t="shared" si="6"/>
        <v/>
      </c>
      <c r="Q50" s="65"/>
      <c r="R50" s="65"/>
      <c r="S50" s="66" t="str">
        <f t="shared" si="7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>
        <v>38</v>
      </c>
      <c r="C51" s="125"/>
      <c r="D51" s="265"/>
      <c r="E51" s="125"/>
      <c r="F51" s="271"/>
      <c r="G51" s="122"/>
      <c r="H51" s="23"/>
      <c r="I51" s="23"/>
      <c r="J51" s="64" t="str">
        <f t="shared" si="4"/>
        <v/>
      </c>
      <c r="K51" s="65"/>
      <c r="L51" s="65"/>
      <c r="M51" s="66" t="str">
        <f t="shared" si="5"/>
        <v/>
      </c>
      <c r="N51" s="23"/>
      <c r="O51" s="23"/>
      <c r="P51" s="64" t="str">
        <f t="shared" si="6"/>
        <v/>
      </c>
      <c r="Q51" s="65"/>
      <c r="R51" s="65"/>
      <c r="S51" s="66" t="str">
        <f t="shared" si="7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>
        <v>39</v>
      </c>
      <c r="C52" s="125"/>
      <c r="D52" s="265"/>
      <c r="E52" s="125"/>
      <c r="F52" s="271"/>
      <c r="G52" s="122"/>
      <c r="H52" s="23"/>
      <c r="I52" s="23"/>
      <c r="J52" s="64" t="str">
        <f t="shared" si="4"/>
        <v/>
      </c>
      <c r="K52" s="65"/>
      <c r="L52" s="65"/>
      <c r="M52" s="66" t="str">
        <f t="shared" si="5"/>
        <v/>
      </c>
      <c r="N52" s="23"/>
      <c r="O52" s="23"/>
      <c r="P52" s="64" t="str">
        <f t="shared" si="6"/>
        <v/>
      </c>
      <c r="Q52" s="65"/>
      <c r="R52" s="65"/>
      <c r="S52" s="66" t="str">
        <f t="shared" si="7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>
        <v>40</v>
      </c>
      <c r="C53" s="125"/>
      <c r="D53" s="265"/>
      <c r="E53" s="125"/>
      <c r="F53" s="271"/>
      <c r="G53" s="122"/>
      <c r="H53" s="23"/>
      <c r="I53" s="23"/>
      <c r="J53" s="64" t="str">
        <f t="shared" si="4"/>
        <v/>
      </c>
      <c r="K53" s="65"/>
      <c r="L53" s="65"/>
      <c r="M53" s="66" t="str">
        <f t="shared" si="5"/>
        <v/>
      </c>
      <c r="N53" s="23"/>
      <c r="O53" s="23"/>
      <c r="P53" s="64" t="str">
        <f t="shared" si="6"/>
        <v/>
      </c>
      <c r="Q53" s="65"/>
      <c r="R53" s="65"/>
      <c r="S53" s="66" t="str">
        <f t="shared" si="7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>
        <v>41</v>
      </c>
      <c r="C54" s="125"/>
      <c r="D54" s="265"/>
      <c r="E54" s="125"/>
      <c r="F54" s="271"/>
      <c r="G54" s="122"/>
      <c r="H54" s="23"/>
      <c r="I54" s="23"/>
      <c r="J54" s="64" t="str">
        <f t="shared" si="4"/>
        <v/>
      </c>
      <c r="K54" s="65"/>
      <c r="L54" s="65"/>
      <c r="M54" s="66" t="str">
        <f t="shared" si="5"/>
        <v/>
      </c>
      <c r="N54" s="23"/>
      <c r="O54" s="23"/>
      <c r="P54" s="64" t="str">
        <f t="shared" si="6"/>
        <v/>
      </c>
      <c r="Q54" s="65"/>
      <c r="R54" s="65"/>
      <c r="S54" s="66" t="str">
        <f t="shared" si="7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>
        <v>42</v>
      </c>
      <c r="C55" s="125"/>
      <c r="D55" s="265"/>
      <c r="E55" s="125"/>
      <c r="F55" s="271"/>
      <c r="G55" s="122"/>
      <c r="H55" s="23"/>
      <c r="I55" s="23"/>
      <c r="J55" s="64" t="str">
        <f t="shared" si="4"/>
        <v/>
      </c>
      <c r="K55" s="65"/>
      <c r="L55" s="65"/>
      <c r="M55" s="66" t="str">
        <f t="shared" si="5"/>
        <v/>
      </c>
      <c r="N55" s="23"/>
      <c r="O55" s="23"/>
      <c r="P55" s="64" t="str">
        <f t="shared" si="6"/>
        <v/>
      </c>
      <c r="Q55" s="65"/>
      <c r="R55" s="65"/>
      <c r="S55" s="66" t="str">
        <f t="shared" si="7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>
        <v>43</v>
      </c>
      <c r="C56" s="125"/>
      <c r="D56" s="265"/>
      <c r="E56" s="125"/>
      <c r="F56" s="271"/>
      <c r="G56" s="122"/>
      <c r="H56" s="23"/>
      <c r="I56" s="23"/>
      <c r="J56" s="64" t="str">
        <f t="shared" si="4"/>
        <v/>
      </c>
      <c r="K56" s="65"/>
      <c r="L56" s="65"/>
      <c r="M56" s="66" t="str">
        <f t="shared" si="5"/>
        <v/>
      </c>
      <c r="N56" s="23"/>
      <c r="O56" s="23"/>
      <c r="P56" s="64" t="str">
        <f t="shared" si="6"/>
        <v/>
      </c>
      <c r="Q56" s="65"/>
      <c r="R56" s="65"/>
      <c r="S56" s="66" t="str">
        <f t="shared" si="7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>
        <v>44</v>
      </c>
      <c r="C57" s="125"/>
      <c r="D57" s="265"/>
      <c r="E57" s="125"/>
      <c r="F57" s="271"/>
      <c r="G57" s="122"/>
      <c r="H57" s="23"/>
      <c r="I57" s="23"/>
      <c r="J57" s="64" t="str">
        <f t="shared" si="4"/>
        <v/>
      </c>
      <c r="K57" s="65"/>
      <c r="L57" s="65"/>
      <c r="M57" s="66" t="str">
        <f t="shared" si="5"/>
        <v/>
      </c>
      <c r="N57" s="23"/>
      <c r="O57" s="23"/>
      <c r="P57" s="64" t="str">
        <f t="shared" si="6"/>
        <v/>
      </c>
      <c r="Q57" s="65"/>
      <c r="R57" s="65"/>
      <c r="S57" s="66" t="str">
        <f t="shared" si="7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>
        <v>45</v>
      </c>
      <c r="C58" s="125"/>
      <c r="D58" s="265"/>
      <c r="E58" s="125"/>
      <c r="F58" s="271"/>
      <c r="G58" s="122"/>
      <c r="H58" s="23"/>
      <c r="I58" s="23"/>
      <c r="J58" s="64" t="str">
        <f t="shared" si="4"/>
        <v/>
      </c>
      <c r="K58" s="65"/>
      <c r="L58" s="65"/>
      <c r="M58" s="66" t="str">
        <f t="shared" si="5"/>
        <v/>
      </c>
      <c r="N58" s="23"/>
      <c r="O58" s="23"/>
      <c r="P58" s="64" t="str">
        <f t="shared" si="6"/>
        <v/>
      </c>
      <c r="Q58" s="65"/>
      <c r="R58" s="65"/>
      <c r="S58" s="66" t="str">
        <f t="shared" si="7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>
        <v>46</v>
      </c>
      <c r="C59" s="125"/>
      <c r="D59" s="265"/>
      <c r="E59" s="125"/>
      <c r="F59" s="271"/>
      <c r="G59" s="122"/>
      <c r="H59" s="23"/>
      <c r="I59" s="23"/>
      <c r="J59" s="64" t="str">
        <f t="shared" si="4"/>
        <v/>
      </c>
      <c r="K59" s="65"/>
      <c r="L59" s="65"/>
      <c r="M59" s="66" t="str">
        <f t="shared" si="5"/>
        <v/>
      </c>
      <c r="N59" s="23"/>
      <c r="O59" s="23"/>
      <c r="P59" s="64" t="str">
        <f t="shared" si="6"/>
        <v/>
      </c>
      <c r="Q59" s="65"/>
      <c r="R59" s="65"/>
      <c r="S59" s="66" t="str">
        <f t="shared" si="7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>
        <v>47</v>
      </c>
      <c r="C60" s="125"/>
      <c r="D60" s="265"/>
      <c r="E60" s="125"/>
      <c r="F60" s="271"/>
      <c r="G60" s="122"/>
      <c r="H60" s="23"/>
      <c r="I60" s="23"/>
      <c r="J60" s="64" t="str">
        <f t="shared" si="4"/>
        <v/>
      </c>
      <c r="K60" s="65"/>
      <c r="L60" s="65"/>
      <c r="M60" s="66" t="str">
        <f t="shared" si="5"/>
        <v/>
      </c>
      <c r="N60" s="23"/>
      <c r="O60" s="23"/>
      <c r="P60" s="64" t="str">
        <f t="shared" si="6"/>
        <v/>
      </c>
      <c r="Q60" s="65"/>
      <c r="R60" s="65"/>
      <c r="S60" s="66" t="str">
        <f t="shared" si="7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>
        <v>48</v>
      </c>
      <c r="C61" s="125"/>
      <c r="D61" s="265"/>
      <c r="E61" s="125"/>
      <c r="F61" s="271"/>
      <c r="G61" s="122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>
        <v>49</v>
      </c>
      <c r="C62" s="125"/>
      <c r="D62" s="265"/>
      <c r="E62" s="125"/>
      <c r="F62" s="271"/>
      <c r="G62" s="122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>
        <v>50</v>
      </c>
      <c r="C63" s="125"/>
      <c r="D63" s="265"/>
      <c r="E63" s="125"/>
      <c r="F63" s="271"/>
      <c r="G63" s="122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>
        <v>51</v>
      </c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>
        <v>52</v>
      </c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>
        <v>53</v>
      </c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>
        <v>54</v>
      </c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>
        <v>55</v>
      </c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>
        <v>56</v>
      </c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>
        <v>57</v>
      </c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>
        <v>58</v>
      </c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>
        <v>59</v>
      </c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>
        <v>60</v>
      </c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/>
      <c r="G153" s="21"/>
    </row>
    <row r="154" spans="3:7" ht="18" customHeight="1">
      <c r="C154" s="21"/>
      <c r="E154" s="7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/>
      <c r="G181" s="21"/>
    </row>
    <row r="182" spans="3:7" ht="18" customHeight="1">
      <c r="C182" s="21"/>
      <c r="E182" s="84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/>
      <c r="G198" s="21"/>
    </row>
    <row r="199" spans="3:7" ht="18" customHeight="1">
      <c r="C199" s="21"/>
      <c r="E199" s="71"/>
      <c r="G199" s="21"/>
    </row>
    <row r="200" spans="3:7" ht="18" customHeight="1">
      <c r="C200" s="21"/>
      <c r="E200" s="71"/>
      <c r="G200" s="21"/>
    </row>
    <row r="201" spans="3:7" ht="18" customHeight="1">
      <c r="C201" s="21"/>
      <c r="E201" s="7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30" ht="18" customHeight="1">
      <c r="C209" s="21"/>
      <c r="E209" s="71"/>
      <c r="G209" s="79"/>
    </row>
    <row r="210" spans="3:30" ht="18" customHeight="1">
      <c r="C210" s="21"/>
      <c r="E210" s="71"/>
      <c r="G210" s="79"/>
    </row>
    <row r="211" spans="3:30" ht="18" customHeight="1">
      <c r="C211" s="21"/>
      <c r="E211" s="71"/>
      <c r="G211" s="79"/>
    </row>
    <row r="212" spans="3:30" ht="18" customHeight="1">
      <c r="C212" s="21"/>
      <c r="E212" s="71"/>
      <c r="G212" s="79"/>
    </row>
    <row r="213" spans="3:30" ht="18" customHeight="1">
      <c r="C213" s="21"/>
      <c r="E213" s="71"/>
      <c r="G213" s="79"/>
    </row>
    <row r="214" spans="3:30" ht="18" customHeight="1">
      <c r="C214" s="79" t="s">
        <v>151</v>
      </c>
      <c r="E214" s="80" t="s">
        <v>269</v>
      </c>
      <c r="G214" s="79" t="s">
        <v>148</v>
      </c>
    </row>
    <row r="215" spans="3:30" ht="18" customHeight="1">
      <c r="C215" s="79" t="s">
        <v>147</v>
      </c>
      <c r="E215" s="71" t="s">
        <v>264</v>
      </c>
      <c r="G215" s="79" t="s">
        <v>148</v>
      </c>
      <c r="Y215" t="s">
        <v>1087</v>
      </c>
      <c r="Z215">
        <v>306</v>
      </c>
      <c r="AA215" t="s">
        <v>713</v>
      </c>
      <c r="AB215" t="s">
        <v>792</v>
      </c>
      <c r="AC215">
        <v>56795</v>
      </c>
      <c r="AD215" t="s">
        <v>791</v>
      </c>
    </row>
    <row r="216" spans="3:30" ht="18" customHeight="1">
      <c r="C216" s="79" t="s">
        <v>149</v>
      </c>
      <c r="E216" s="71" t="s">
        <v>268</v>
      </c>
      <c r="G216" s="79" t="s">
        <v>148</v>
      </c>
    </row>
    <row r="217" spans="3:30" ht="18" customHeight="1">
      <c r="C217" s="79" t="s">
        <v>150</v>
      </c>
      <c r="E217" s="71" t="s">
        <v>267</v>
      </c>
      <c r="G217" s="79" t="s">
        <v>148</v>
      </c>
      <c r="Y217" t="s">
        <v>1088</v>
      </c>
      <c r="Z217">
        <v>24426</v>
      </c>
      <c r="AA217" t="s">
        <v>714</v>
      </c>
    </row>
    <row r="218" spans="3:30" ht="18" customHeight="1">
      <c r="C218" s="79" t="s">
        <v>153</v>
      </c>
      <c r="E218" s="71" t="s">
        <v>266</v>
      </c>
      <c r="G218" s="79" t="s">
        <v>148</v>
      </c>
      <c r="Y218" t="s">
        <v>1089</v>
      </c>
      <c r="Z218">
        <v>29138</v>
      </c>
      <c r="AA218" t="s">
        <v>715</v>
      </c>
      <c r="AB218" t="s">
        <v>266</v>
      </c>
      <c r="AC218">
        <v>56009</v>
      </c>
      <c r="AD218" t="s">
        <v>793</v>
      </c>
    </row>
    <row r="219" spans="3:30" ht="18" customHeight="1">
      <c r="C219" s="79" t="s">
        <v>152</v>
      </c>
      <c r="E219" s="71" t="s">
        <v>265</v>
      </c>
      <c r="G219" s="79" t="s">
        <v>148</v>
      </c>
      <c r="Y219" t="s">
        <v>1090</v>
      </c>
      <c r="Z219">
        <v>29084</v>
      </c>
      <c r="AA219" t="s">
        <v>716</v>
      </c>
      <c r="AB219" t="s">
        <v>265</v>
      </c>
      <c r="AC219">
        <v>52862</v>
      </c>
      <c r="AD219" t="s">
        <v>794</v>
      </c>
    </row>
    <row r="220" spans="3:30" ht="18" customHeight="1">
      <c r="C220" s="79" t="s">
        <v>154</v>
      </c>
      <c r="E220" s="71"/>
      <c r="G220" s="79" t="s">
        <v>148</v>
      </c>
    </row>
    <row r="221" spans="3:30" ht="18" customHeight="1">
      <c r="C221" s="79" t="s">
        <v>122</v>
      </c>
      <c r="E221" s="71" t="s">
        <v>246</v>
      </c>
      <c r="G221" s="79" t="s">
        <v>123</v>
      </c>
      <c r="Y221" t="s">
        <v>1091</v>
      </c>
      <c r="Z221">
        <v>26463</v>
      </c>
      <c r="AA221" t="s">
        <v>717</v>
      </c>
      <c r="AB221" t="s">
        <v>246</v>
      </c>
      <c r="AC221">
        <v>53913</v>
      </c>
      <c r="AD221" t="s">
        <v>795</v>
      </c>
    </row>
    <row r="222" spans="3:30" ht="18" customHeight="1">
      <c r="C222" s="79" t="s">
        <v>204</v>
      </c>
      <c r="E222" s="71" t="s">
        <v>305</v>
      </c>
      <c r="G222" s="79" t="s">
        <v>311</v>
      </c>
      <c r="Y222" t="s">
        <v>1092</v>
      </c>
      <c r="Z222">
        <v>25436</v>
      </c>
      <c r="AA222" t="s">
        <v>718</v>
      </c>
      <c r="AB222" t="s">
        <v>305</v>
      </c>
      <c r="AC222">
        <v>56703</v>
      </c>
      <c r="AD222" t="s">
        <v>796</v>
      </c>
    </row>
    <row r="223" spans="3:30" ht="18" customHeight="1">
      <c r="C223" s="79" t="s">
        <v>312</v>
      </c>
      <c r="E223" s="71" t="s">
        <v>321</v>
      </c>
      <c r="G223" s="79" t="s">
        <v>313</v>
      </c>
      <c r="Y223" t="s">
        <v>1093</v>
      </c>
      <c r="Z223">
        <v>5901</v>
      </c>
      <c r="AA223" t="s">
        <v>719</v>
      </c>
    </row>
    <row r="224" spans="3:30" ht="18" customHeight="1">
      <c r="C224" s="79" t="s">
        <v>200</v>
      </c>
      <c r="E224" s="80" t="s">
        <v>301</v>
      </c>
      <c r="G224" s="79" t="s">
        <v>197</v>
      </c>
      <c r="Y224" t="s">
        <v>1094</v>
      </c>
      <c r="Z224">
        <v>33054</v>
      </c>
      <c r="AA224" t="s">
        <v>720</v>
      </c>
    </row>
    <row r="225" spans="3:30" ht="18" customHeight="1">
      <c r="C225" s="79" t="s">
        <v>199</v>
      </c>
      <c r="E225" s="80" t="s">
        <v>329</v>
      </c>
      <c r="G225" s="79" t="s">
        <v>197</v>
      </c>
    </row>
    <row r="226" spans="3:30" ht="18" customHeight="1">
      <c r="C226" s="79" t="s">
        <v>198</v>
      </c>
      <c r="E226" s="71"/>
      <c r="G226" s="79" t="s">
        <v>197</v>
      </c>
    </row>
    <row r="227" spans="3:30" ht="18" customHeight="1">
      <c r="C227" s="79" t="s">
        <v>202</v>
      </c>
      <c r="E227" s="71"/>
      <c r="G227" s="79" t="s">
        <v>197</v>
      </c>
    </row>
    <row r="228" spans="3:30" ht="18" customHeight="1">
      <c r="C228" s="79" t="s">
        <v>201</v>
      </c>
      <c r="E228" s="71"/>
      <c r="G228" s="79" t="s">
        <v>197</v>
      </c>
    </row>
    <row r="229" spans="3:30" ht="18" customHeight="1">
      <c r="C229" s="85" t="s">
        <v>196</v>
      </c>
      <c r="E229" s="71"/>
      <c r="G229" s="79" t="s">
        <v>197</v>
      </c>
    </row>
    <row r="230" spans="3:30" ht="18" customHeight="1">
      <c r="C230" s="79" t="s">
        <v>133</v>
      </c>
      <c r="E230" s="71" t="s">
        <v>75</v>
      </c>
      <c r="G230" s="79" t="s">
        <v>330</v>
      </c>
      <c r="Y230" t="s">
        <v>1095</v>
      </c>
      <c r="Z230">
        <v>28702</v>
      </c>
      <c r="AA230" t="s">
        <v>721</v>
      </c>
      <c r="AB230" t="s">
        <v>75</v>
      </c>
      <c r="AC230">
        <v>55610</v>
      </c>
      <c r="AD230" t="s">
        <v>797</v>
      </c>
    </row>
    <row r="231" spans="3:30" ht="18" customHeight="1">
      <c r="C231" s="79" t="s">
        <v>314</v>
      </c>
      <c r="E231" s="71" t="s">
        <v>76</v>
      </c>
      <c r="G231" s="79" t="s">
        <v>330</v>
      </c>
      <c r="Y231" t="s">
        <v>1096</v>
      </c>
      <c r="Z231">
        <v>10211</v>
      </c>
      <c r="AA231" t="s">
        <v>722</v>
      </c>
    </row>
    <row r="232" spans="3:30" ht="18" customHeight="1">
      <c r="C232" s="79" t="s">
        <v>131</v>
      </c>
      <c r="E232" s="71"/>
      <c r="G232" s="79" t="s">
        <v>330</v>
      </c>
      <c r="Y232" t="s">
        <v>1097</v>
      </c>
      <c r="Z232">
        <v>27306</v>
      </c>
      <c r="AA232" t="s">
        <v>723</v>
      </c>
    </row>
    <row r="233" spans="3:30" ht="18" customHeight="1">
      <c r="C233" s="79" t="s">
        <v>174</v>
      </c>
      <c r="E233" s="71" t="s">
        <v>278</v>
      </c>
      <c r="G233" s="79" t="s">
        <v>171</v>
      </c>
    </row>
    <row r="234" spans="3:30" ht="18" customHeight="1">
      <c r="C234" s="79" t="s">
        <v>175</v>
      </c>
      <c r="E234" s="71" t="s">
        <v>282</v>
      </c>
      <c r="G234" s="79" t="s">
        <v>171</v>
      </c>
      <c r="Y234" t="s">
        <v>1098</v>
      </c>
      <c r="Z234">
        <v>28432</v>
      </c>
      <c r="AA234" t="s">
        <v>724</v>
      </c>
      <c r="AB234" t="s">
        <v>282</v>
      </c>
      <c r="AC234">
        <v>57022</v>
      </c>
      <c r="AD234" t="s">
        <v>798</v>
      </c>
    </row>
    <row r="235" spans="3:30" ht="18" customHeight="1">
      <c r="C235" s="79" t="s">
        <v>176</v>
      </c>
      <c r="E235" s="71" t="s">
        <v>281</v>
      </c>
      <c r="G235" s="79" t="s">
        <v>171</v>
      </c>
      <c r="Y235" t="s">
        <v>1099</v>
      </c>
      <c r="Z235">
        <v>28433</v>
      </c>
      <c r="AA235" t="s">
        <v>725</v>
      </c>
      <c r="AB235" t="s">
        <v>281</v>
      </c>
      <c r="AC235">
        <v>56681</v>
      </c>
      <c r="AD235" t="s">
        <v>799</v>
      </c>
    </row>
    <row r="236" spans="3:30" ht="18" customHeight="1">
      <c r="C236" s="79" t="s">
        <v>172</v>
      </c>
      <c r="E236" s="71" t="s">
        <v>277</v>
      </c>
      <c r="G236" s="79" t="s">
        <v>171</v>
      </c>
      <c r="Y236" t="s">
        <v>1100</v>
      </c>
      <c r="Z236">
        <v>16391</v>
      </c>
      <c r="AA236" t="s">
        <v>726</v>
      </c>
    </row>
    <row r="237" spans="3:30" ht="18" customHeight="1">
      <c r="C237" s="79" t="s">
        <v>177</v>
      </c>
      <c r="E237" s="71" t="s">
        <v>279</v>
      </c>
      <c r="G237" s="79" t="s">
        <v>171</v>
      </c>
      <c r="Y237" t="s">
        <v>1101</v>
      </c>
      <c r="Z237">
        <v>29308</v>
      </c>
      <c r="AA237" t="s">
        <v>727</v>
      </c>
      <c r="AB237" t="s">
        <v>279</v>
      </c>
      <c r="AC237">
        <v>54903</v>
      </c>
      <c r="AD237" t="s">
        <v>800</v>
      </c>
    </row>
    <row r="238" spans="3:30" ht="18" customHeight="1">
      <c r="C238" s="79" t="s">
        <v>170</v>
      </c>
      <c r="E238" s="71" t="s">
        <v>280</v>
      </c>
      <c r="G238" s="79" t="s">
        <v>171</v>
      </c>
      <c r="Y238" t="s">
        <v>1102</v>
      </c>
      <c r="Z238">
        <v>6082</v>
      </c>
      <c r="AA238" t="s">
        <v>728</v>
      </c>
    </row>
    <row r="239" spans="3:30" ht="18" customHeight="1">
      <c r="C239" s="79" t="s">
        <v>173</v>
      </c>
      <c r="E239" s="71"/>
      <c r="G239" s="79" t="s">
        <v>171</v>
      </c>
      <c r="Y239" t="s">
        <v>1103</v>
      </c>
      <c r="Z239">
        <v>24142</v>
      </c>
      <c r="AA239" t="s">
        <v>729</v>
      </c>
    </row>
    <row r="240" spans="3:30" ht="18" customHeight="1">
      <c r="C240" s="79" t="s">
        <v>134</v>
      </c>
      <c r="E240" s="71" t="s">
        <v>256</v>
      </c>
      <c r="G240" s="79" t="s">
        <v>135</v>
      </c>
      <c r="AB240" t="s">
        <v>256</v>
      </c>
      <c r="AC240">
        <v>56221</v>
      </c>
      <c r="AD240" t="s">
        <v>801</v>
      </c>
    </row>
    <row r="241" spans="3:30" ht="18" customHeight="1">
      <c r="C241" s="79" t="s">
        <v>136</v>
      </c>
      <c r="E241" s="71" t="s">
        <v>254</v>
      </c>
      <c r="G241" s="79" t="s">
        <v>135</v>
      </c>
      <c r="AB241" t="s">
        <v>803</v>
      </c>
      <c r="AC241">
        <v>58279</v>
      </c>
      <c r="AD241" t="s">
        <v>802</v>
      </c>
    </row>
    <row r="242" spans="3:30" ht="18" customHeight="1">
      <c r="C242" s="79" t="s">
        <v>137</v>
      </c>
      <c r="E242" s="71" t="s">
        <v>255</v>
      </c>
      <c r="G242" s="79" t="s">
        <v>135</v>
      </c>
    </row>
    <row r="243" spans="3:30" ht="18" customHeight="1">
      <c r="C243" s="79" t="s">
        <v>104</v>
      </c>
      <c r="E243" s="71" t="s">
        <v>224</v>
      </c>
      <c r="G243" s="79" t="s">
        <v>103</v>
      </c>
      <c r="Y243" t="s">
        <v>1104</v>
      </c>
      <c r="Z243">
        <v>22984</v>
      </c>
      <c r="AA243" t="s">
        <v>730</v>
      </c>
    </row>
    <row r="244" spans="3:30" ht="18" customHeight="1">
      <c r="C244" s="79" t="s">
        <v>102</v>
      </c>
      <c r="E244" s="71" t="s">
        <v>225</v>
      </c>
      <c r="G244" s="79" t="s">
        <v>103</v>
      </c>
    </row>
    <row r="245" spans="3:30" ht="18" customHeight="1">
      <c r="C245" s="79"/>
      <c r="E245" s="80" t="s">
        <v>339</v>
      </c>
      <c r="G245" s="79" t="s">
        <v>103</v>
      </c>
      <c r="AB245" t="s">
        <v>805</v>
      </c>
      <c r="AC245">
        <v>58460</v>
      </c>
      <c r="AD245" t="s">
        <v>804</v>
      </c>
    </row>
    <row r="246" spans="3:30" ht="18" customHeight="1">
      <c r="C246" s="79" t="s">
        <v>192</v>
      </c>
      <c r="E246" s="71" t="s">
        <v>289</v>
      </c>
      <c r="G246" s="79" t="s">
        <v>183</v>
      </c>
    </row>
    <row r="247" spans="3:30" ht="18" customHeight="1">
      <c r="C247" s="79" t="s">
        <v>187</v>
      </c>
      <c r="E247" s="71" t="s">
        <v>296</v>
      </c>
      <c r="G247" s="79" t="s">
        <v>183</v>
      </c>
      <c r="AB247" t="s">
        <v>296</v>
      </c>
      <c r="AC247">
        <v>55846</v>
      </c>
      <c r="AD247" t="s">
        <v>806</v>
      </c>
    </row>
    <row r="248" spans="3:30" ht="18" customHeight="1">
      <c r="C248" s="79" t="s">
        <v>193</v>
      </c>
      <c r="E248" s="71" t="s">
        <v>298</v>
      </c>
      <c r="G248" s="79" t="s">
        <v>183</v>
      </c>
    </row>
    <row r="249" spans="3:30" ht="18" customHeight="1">
      <c r="C249" s="79" t="s">
        <v>184</v>
      </c>
      <c r="E249" s="71" t="s">
        <v>294</v>
      </c>
      <c r="G249" s="79" t="s">
        <v>183</v>
      </c>
      <c r="Y249" t="s">
        <v>1105</v>
      </c>
      <c r="Z249">
        <v>1213</v>
      </c>
      <c r="AA249" t="s">
        <v>731</v>
      </c>
    </row>
    <row r="250" spans="3:30" ht="18" customHeight="1">
      <c r="C250" s="79" t="s">
        <v>188</v>
      </c>
      <c r="E250" s="71" t="s">
        <v>295</v>
      </c>
      <c r="G250" s="79" t="s">
        <v>183</v>
      </c>
      <c r="Y250" t="s">
        <v>1106</v>
      </c>
      <c r="Z250">
        <v>23984</v>
      </c>
      <c r="AA250" t="s">
        <v>732</v>
      </c>
    </row>
    <row r="251" spans="3:30" ht="18" customHeight="1">
      <c r="C251" s="79" t="s">
        <v>185</v>
      </c>
      <c r="E251" s="71" t="s">
        <v>288</v>
      </c>
      <c r="G251" s="79" t="s">
        <v>183</v>
      </c>
      <c r="Y251" t="s">
        <v>1107</v>
      </c>
      <c r="Z251">
        <v>16854</v>
      </c>
      <c r="AA251" t="s">
        <v>733</v>
      </c>
    </row>
    <row r="252" spans="3:30" ht="18" customHeight="1">
      <c r="C252" s="79" t="s">
        <v>186</v>
      </c>
      <c r="E252" s="71" t="s">
        <v>290</v>
      </c>
      <c r="G252" s="79" t="s">
        <v>183</v>
      </c>
      <c r="Y252" t="s">
        <v>1108</v>
      </c>
      <c r="Z252">
        <v>20115</v>
      </c>
      <c r="AA252" t="s">
        <v>734</v>
      </c>
    </row>
    <row r="253" spans="3:30" ht="18" customHeight="1">
      <c r="C253" s="79" t="s">
        <v>190</v>
      </c>
      <c r="E253" s="71" t="s">
        <v>293</v>
      </c>
      <c r="G253" s="79" t="s">
        <v>183</v>
      </c>
      <c r="Y253" t="s">
        <v>1109</v>
      </c>
      <c r="Z253">
        <v>26734</v>
      </c>
      <c r="AA253" t="s">
        <v>735</v>
      </c>
      <c r="AB253" t="s">
        <v>293</v>
      </c>
      <c r="AC253">
        <v>54698</v>
      </c>
      <c r="AD253" t="s">
        <v>807</v>
      </c>
    </row>
    <row r="254" spans="3:30" ht="18" customHeight="1">
      <c r="C254" s="79" t="s">
        <v>191</v>
      </c>
      <c r="E254" s="71" t="s">
        <v>292</v>
      </c>
      <c r="G254" s="79" t="s">
        <v>183</v>
      </c>
      <c r="Y254" t="s">
        <v>1110</v>
      </c>
      <c r="Z254">
        <v>26916</v>
      </c>
      <c r="AA254" t="s">
        <v>736</v>
      </c>
      <c r="AB254" t="s">
        <v>292</v>
      </c>
      <c r="AC254">
        <v>54271</v>
      </c>
      <c r="AD254" t="s">
        <v>808</v>
      </c>
    </row>
    <row r="255" spans="3:30" ht="18" customHeight="1">
      <c r="C255" s="79" t="s">
        <v>195</v>
      </c>
      <c r="E255" s="71" t="s">
        <v>297</v>
      </c>
      <c r="G255" s="79" t="s">
        <v>183</v>
      </c>
      <c r="Y255" t="s">
        <v>1111</v>
      </c>
      <c r="Z255">
        <v>22520</v>
      </c>
      <c r="AA255" t="s">
        <v>737</v>
      </c>
    </row>
    <row r="256" spans="3:30" ht="18" customHeight="1">
      <c r="C256" s="79" t="s">
        <v>189</v>
      </c>
      <c r="E256" s="71" t="s">
        <v>299</v>
      </c>
      <c r="G256" s="79" t="s">
        <v>183</v>
      </c>
      <c r="Y256" t="s">
        <v>1112</v>
      </c>
      <c r="Z256">
        <v>25345</v>
      </c>
      <c r="AA256" t="s">
        <v>738</v>
      </c>
      <c r="AB256" t="s">
        <v>299</v>
      </c>
      <c r="AC256">
        <v>56737</v>
      </c>
      <c r="AD256" t="s">
        <v>809</v>
      </c>
    </row>
    <row r="257" spans="3:30" ht="18" customHeight="1">
      <c r="C257" s="79" t="s">
        <v>194</v>
      </c>
      <c r="E257" s="71" t="s">
        <v>291</v>
      </c>
      <c r="G257" s="79" t="s">
        <v>183</v>
      </c>
      <c r="Y257" t="s">
        <v>1113</v>
      </c>
      <c r="Z257">
        <v>28630</v>
      </c>
      <c r="AA257" t="s">
        <v>739</v>
      </c>
    </row>
    <row r="258" spans="3:30" ht="18" customHeight="1">
      <c r="C258" s="79" t="s">
        <v>182</v>
      </c>
      <c r="E258" s="71"/>
      <c r="G258" s="79" t="s">
        <v>183</v>
      </c>
      <c r="Y258" t="s">
        <v>1114</v>
      </c>
      <c r="Z258">
        <v>329</v>
      </c>
      <c r="AA258" t="s">
        <v>740</v>
      </c>
    </row>
    <row r="259" spans="3:30" ht="18" customHeight="1">
      <c r="C259" s="79" t="s">
        <v>119</v>
      </c>
      <c r="E259" s="71" t="s">
        <v>68</v>
      </c>
      <c r="G259" s="79" t="s">
        <v>340</v>
      </c>
    </row>
    <row r="260" spans="3:30" ht="18" customHeight="1">
      <c r="C260" s="79" t="s">
        <v>118</v>
      </c>
      <c r="E260" s="80" t="s">
        <v>341</v>
      </c>
      <c r="G260" s="79" t="s">
        <v>340</v>
      </c>
      <c r="Y260" t="s">
        <v>1115</v>
      </c>
      <c r="Z260">
        <v>25140</v>
      </c>
      <c r="AA260" t="s">
        <v>741</v>
      </c>
    </row>
    <row r="261" spans="3:30" ht="18" customHeight="1">
      <c r="C261" s="79" t="s">
        <v>116</v>
      </c>
      <c r="E261" s="80" t="s">
        <v>342</v>
      </c>
      <c r="G261" s="79" t="s">
        <v>340</v>
      </c>
      <c r="Y261" t="s">
        <v>1116</v>
      </c>
      <c r="Z261">
        <v>15048</v>
      </c>
      <c r="AA261" t="s">
        <v>742</v>
      </c>
    </row>
    <row r="262" spans="3:30" ht="18" customHeight="1">
      <c r="C262" s="79" t="s">
        <v>120</v>
      </c>
      <c r="E262" s="80" t="s">
        <v>343</v>
      </c>
      <c r="G262" s="79" t="s">
        <v>340</v>
      </c>
    </row>
    <row r="263" spans="3:30" ht="18" customHeight="1">
      <c r="C263" s="79" t="s">
        <v>121</v>
      </c>
      <c r="E263" s="71" t="s">
        <v>241</v>
      </c>
      <c r="G263" s="79" t="s">
        <v>340</v>
      </c>
    </row>
    <row r="264" spans="3:30" ht="18" customHeight="1">
      <c r="C264" s="79" t="s">
        <v>82</v>
      </c>
      <c r="E264" s="71" t="s">
        <v>63</v>
      </c>
      <c r="G264" s="79" t="s">
        <v>344</v>
      </c>
    </row>
    <row r="265" spans="3:30" ht="18" customHeight="1">
      <c r="C265" s="79" t="s">
        <v>81</v>
      </c>
      <c r="E265" s="71" t="s">
        <v>207</v>
      </c>
      <c r="G265" s="79" t="s">
        <v>344</v>
      </c>
      <c r="Y265" t="s">
        <v>1117</v>
      </c>
      <c r="Z265">
        <v>11802</v>
      </c>
      <c r="AA265" t="s">
        <v>743</v>
      </c>
    </row>
    <row r="266" spans="3:30" ht="18" customHeight="1">
      <c r="C266" s="79" t="s">
        <v>84</v>
      </c>
      <c r="E266" s="71" t="s">
        <v>205</v>
      </c>
      <c r="G266" s="79" t="s">
        <v>344</v>
      </c>
      <c r="AB266" t="s">
        <v>205</v>
      </c>
      <c r="AC266">
        <v>54787</v>
      </c>
      <c r="AD266" t="s">
        <v>810</v>
      </c>
    </row>
    <row r="267" spans="3:30" ht="18" customHeight="1">
      <c r="C267" s="79" t="s">
        <v>83</v>
      </c>
      <c r="E267" s="71" t="s">
        <v>206</v>
      </c>
      <c r="G267" s="79" t="s">
        <v>344</v>
      </c>
    </row>
    <row r="268" spans="3:30" ht="18" customHeight="1">
      <c r="C268" s="79" t="s">
        <v>165</v>
      </c>
      <c r="E268" s="71" t="s">
        <v>274</v>
      </c>
      <c r="G268" s="79" t="s">
        <v>160</v>
      </c>
      <c r="AB268" t="s">
        <v>274</v>
      </c>
      <c r="AC268">
        <v>56437</v>
      </c>
      <c r="AD268" t="s">
        <v>811</v>
      </c>
    </row>
    <row r="269" spans="3:30" ht="18" customHeight="1">
      <c r="C269" s="79" t="s">
        <v>163</v>
      </c>
      <c r="E269" s="71" t="s">
        <v>275</v>
      </c>
      <c r="G269" s="79" t="s">
        <v>160</v>
      </c>
      <c r="Y269" t="s">
        <v>1118</v>
      </c>
      <c r="Z269">
        <v>26454</v>
      </c>
      <c r="AA269" t="s">
        <v>744</v>
      </c>
      <c r="AB269" t="s">
        <v>275</v>
      </c>
      <c r="AC269">
        <v>56942</v>
      </c>
      <c r="AD269" t="s">
        <v>812</v>
      </c>
    </row>
    <row r="270" spans="3:30" ht="18" customHeight="1">
      <c r="C270" s="79" t="s">
        <v>164</v>
      </c>
      <c r="E270" s="71" t="s">
        <v>273</v>
      </c>
      <c r="G270" s="79" t="s">
        <v>160</v>
      </c>
    </row>
    <row r="271" spans="3:30" ht="18" customHeight="1">
      <c r="C271" s="79" t="s">
        <v>162</v>
      </c>
      <c r="E271" s="71" t="s">
        <v>272</v>
      </c>
      <c r="G271" s="79" t="s">
        <v>160</v>
      </c>
      <c r="Y271" t="s">
        <v>1119</v>
      </c>
      <c r="Z271">
        <v>21115</v>
      </c>
      <c r="AA271" t="s">
        <v>745</v>
      </c>
    </row>
    <row r="272" spans="3:30" ht="18" customHeight="1">
      <c r="C272" s="79" t="s">
        <v>161</v>
      </c>
      <c r="E272" s="71" t="s">
        <v>276</v>
      </c>
      <c r="G272" s="79" t="s">
        <v>160</v>
      </c>
      <c r="Y272" t="s">
        <v>1120</v>
      </c>
      <c r="Z272">
        <v>14681</v>
      </c>
      <c r="AA272" t="s">
        <v>746</v>
      </c>
      <c r="AB272" t="s">
        <v>276</v>
      </c>
      <c r="AC272">
        <v>56943</v>
      </c>
      <c r="AD272" t="s">
        <v>813</v>
      </c>
    </row>
    <row r="273" spans="3:30" ht="18" customHeight="1">
      <c r="C273" s="79" t="s">
        <v>159</v>
      </c>
      <c r="E273" s="71"/>
      <c r="G273" s="79" t="s">
        <v>160</v>
      </c>
      <c r="Y273" t="s">
        <v>1121</v>
      </c>
      <c r="Z273">
        <v>11745</v>
      </c>
      <c r="AA273" t="s">
        <v>747</v>
      </c>
    </row>
    <row r="274" spans="3:30" ht="18" customHeight="1">
      <c r="C274" s="79" t="s">
        <v>166</v>
      </c>
      <c r="E274" s="71"/>
      <c r="G274" s="79" t="s">
        <v>167</v>
      </c>
    </row>
    <row r="275" spans="3:30" ht="18" customHeight="1">
      <c r="C275" s="79" t="s">
        <v>168</v>
      </c>
      <c r="E275" s="71"/>
      <c r="G275" s="79" t="s">
        <v>167</v>
      </c>
    </row>
    <row r="276" spans="3:30" ht="18" customHeight="1">
      <c r="C276" s="79" t="s">
        <v>169</v>
      </c>
      <c r="E276" s="71"/>
      <c r="G276" s="79" t="s">
        <v>167</v>
      </c>
    </row>
    <row r="277" spans="3:30" ht="18" customHeight="1">
      <c r="C277" s="79" t="s">
        <v>155</v>
      </c>
      <c r="E277" s="71" t="s">
        <v>271</v>
      </c>
      <c r="G277" s="79" t="s">
        <v>345</v>
      </c>
      <c r="Y277" t="s">
        <v>1122</v>
      </c>
      <c r="Z277">
        <v>9588</v>
      </c>
      <c r="AA277" t="s">
        <v>748</v>
      </c>
      <c r="AB277" t="s">
        <v>271</v>
      </c>
      <c r="AC277">
        <v>57302</v>
      </c>
      <c r="AD277" t="s">
        <v>814</v>
      </c>
    </row>
    <row r="278" spans="3:30" ht="18" customHeight="1">
      <c r="C278" s="79" t="s">
        <v>157</v>
      </c>
      <c r="E278" s="71" t="s">
        <v>270</v>
      </c>
      <c r="G278" s="79" t="s">
        <v>345</v>
      </c>
      <c r="Y278" t="s">
        <v>1123</v>
      </c>
      <c r="Z278">
        <v>26813</v>
      </c>
      <c r="AA278" t="s">
        <v>749</v>
      </c>
    </row>
    <row r="279" spans="3:30" ht="18" customHeight="1">
      <c r="C279" s="79" t="s">
        <v>158</v>
      </c>
      <c r="E279" s="71"/>
      <c r="G279" s="79" t="s">
        <v>345</v>
      </c>
    </row>
    <row r="280" spans="3:30" ht="18" customHeight="1">
      <c r="C280" s="79" t="s">
        <v>178</v>
      </c>
      <c r="E280" s="80" t="s">
        <v>346</v>
      </c>
      <c r="G280" s="79" t="s">
        <v>347</v>
      </c>
      <c r="AB280" t="s">
        <v>816</v>
      </c>
      <c r="AC280">
        <v>54821</v>
      </c>
      <c r="AD280" t="s">
        <v>815</v>
      </c>
    </row>
    <row r="281" spans="3:30" ht="18" customHeight="1">
      <c r="C281" s="79" t="s">
        <v>180</v>
      </c>
      <c r="E281" s="71" t="s">
        <v>285</v>
      </c>
      <c r="G281" s="79" t="s">
        <v>347</v>
      </c>
      <c r="AB281" t="s">
        <v>285</v>
      </c>
      <c r="AC281">
        <v>56776</v>
      </c>
      <c r="AD281" t="s">
        <v>817</v>
      </c>
    </row>
    <row r="282" spans="3:30" ht="18" customHeight="1">
      <c r="C282" s="79" t="s">
        <v>181</v>
      </c>
      <c r="E282" s="80" t="s">
        <v>348</v>
      </c>
      <c r="G282" s="79" t="s">
        <v>347</v>
      </c>
      <c r="Y282" t="s">
        <v>1124</v>
      </c>
      <c r="Z282">
        <v>31693</v>
      </c>
      <c r="AA282" t="s">
        <v>750</v>
      </c>
    </row>
    <row r="283" spans="3:30" ht="18" customHeight="1">
      <c r="C283" s="21"/>
      <c r="E283" s="71" t="s">
        <v>283</v>
      </c>
      <c r="G283" s="79" t="s">
        <v>347</v>
      </c>
      <c r="AB283" t="s">
        <v>283</v>
      </c>
      <c r="AC283">
        <v>55681</v>
      </c>
      <c r="AD283" t="s">
        <v>818</v>
      </c>
    </row>
    <row r="284" spans="3:30" ht="18" customHeight="1">
      <c r="C284" s="21"/>
      <c r="E284" s="71" t="s">
        <v>284</v>
      </c>
      <c r="G284" s="79" t="s">
        <v>347</v>
      </c>
      <c r="AB284" t="s">
        <v>284</v>
      </c>
      <c r="AC284">
        <v>55817</v>
      </c>
      <c r="AD284" t="s">
        <v>819</v>
      </c>
    </row>
    <row r="285" spans="3:30" ht="18" customHeight="1">
      <c r="C285" s="79" t="s">
        <v>129</v>
      </c>
      <c r="E285" s="71" t="s">
        <v>252</v>
      </c>
      <c r="G285" s="79" t="s">
        <v>130</v>
      </c>
    </row>
    <row r="286" spans="3:30" ht="18" customHeight="1">
      <c r="C286" s="21"/>
      <c r="E286" s="71" t="s">
        <v>253</v>
      </c>
      <c r="G286" s="79" t="s">
        <v>130</v>
      </c>
    </row>
    <row r="287" spans="3:30" ht="18" customHeight="1">
      <c r="C287" s="79" t="s">
        <v>94</v>
      </c>
      <c r="E287" s="71" t="s">
        <v>216</v>
      </c>
      <c r="G287" s="79" t="s">
        <v>92</v>
      </c>
      <c r="Y287" t="s">
        <v>1125</v>
      </c>
      <c r="Z287">
        <v>26539</v>
      </c>
      <c r="AA287" t="s">
        <v>751</v>
      </c>
    </row>
    <row r="288" spans="3:30" ht="18" customHeight="1">
      <c r="C288" s="79" t="s">
        <v>95</v>
      </c>
      <c r="E288" s="80" t="s">
        <v>213</v>
      </c>
      <c r="G288" s="79" t="s">
        <v>92</v>
      </c>
      <c r="Y288" t="s">
        <v>1126</v>
      </c>
      <c r="Z288">
        <v>28073</v>
      </c>
      <c r="AA288" t="s">
        <v>752</v>
      </c>
    </row>
    <row r="289" spans="3:30" ht="18" customHeight="1">
      <c r="C289" s="79" t="s">
        <v>96</v>
      </c>
      <c r="E289" s="71" t="s">
        <v>215</v>
      </c>
      <c r="G289" s="79" t="s">
        <v>92</v>
      </c>
      <c r="Y289" t="s">
        <v>1127</v>
      </c>
      <c r="Z289">
        <v>29828</v>
      </c>
      <c r="AA289" t="s">
        <v>753</v>
      </c>
    </row>
    <row r="290" spans="3:30" ht="18" customHeight="1">
      <c r="C290" s="81" t="s">
        <v>97</v>
      </c>
      <c r="E290" s="71" t="s">
        <v>214</v>
      </c>
      <c r="G290" s="79" t="s">
        <v>92</v>
      </c>
    </row>
    <row r="291" spans="3:30" ht="18" customHeight="1">
      <c r="C291" s="79" t="s">
        <v>93</v>
      </c>
      <c r="E291" s="71" t="s">
        <v>217</v>
      </c>
      <c r="G291" s="79" t="s">
        <v>92</v>
      </c>
      <c r="Y291" t="s">
        <v>1128</v>
      </c>
      <c r="Z291">
        <v>25967</v>
      </c>
      <c r="AA291" t="s">
        <v>754</v>
      </c>
    </row>
    <row r="292" spans="3:30" ht="18" customHeight="1">
      <c r="C292" s="79" t="s">
        <v>91</v>
      </c>
      <c r="E292" s="71"/>
      <c r="G292" s="79" t="s">
        <v>92</v>
      </c>
      <c r="Y292" t="s">
        <v>1129</v>
      </c>
      <c r="Z292">
        <v>16678</v>
      </c>
      <c r="AA292" t="s">
        <v>755</v>
      </c>
    </row>
    <row r="293" spans="3:30" ht="18" customHeight="1">
      <c r="C293" s="79" t="s">
        <v>90</v>
      </c>
      <c r="E293" s="71" t="s">
        <v>211</v>
      </c>
      <c r="G293" s="79" t="s">
        <v>86</v>
      </c>
      <c r="Y293" t="s">
        <v>1130</v>
      </c>
      <c r="Z293">
        <v>28719</v>
      </c>
      <c r="AA293" t="s">
        <v>756</v>
      </c>
    </row>
    <row r="294" spans="3:30" ht="18" customHeight="1">
      <c r="C294" s="79" t="s">
        <v>88</v>
      </c>
      <c r="E294" s="71" t="s">
        <v>210</v>
      </c>
      <c r="G294" s="79" t="s">
        <v>86</v>
      </c>
      <c r="Y294" t="s">
        <v>1125</v>
      </c>
      <c r="Z294">
        <v>26539</v>
      </c>
      <c r="AA294" t="s">
        <v>751</v>
      </c>
    </row>
    <row r="295" spans="3:30" ht="18" customHeight="1">
      <c r="C295" s="79" t="s">
        <v>89</v>
      </c>
      <c r="E295" s="71" t="s">
        <v>209</v>
      </c>
      <c r="G295" s="79" t="s">
        <v>86</v>
      </c>
      <c r="Y295" t="s">
        <v>1131</v>
      </c>
      <c r="Z295">
        <v>28066</v>
      </c>
      <c r="AA295" t="s">
        <v>757</v>
      </c>
      <c r="AB295" t="s">
        <v>209</v>
      </c>
      <c r="AC295">
        <v>55572</v>
      </c>
      <c r="AD295" t="s">
        <v>820</v>
      </c>
    </row>
    <row r="296" spans="3:30" ht="18" customHeight="1">
      <c r="C296" s="79" t="s">
        <v>85</v>
      </c>
      <c r="E296" s="71" t="s">
        <v>212</v>
      </c>
      <c r="G296" s="79" t="s">
        <v>86</v>
      </c>
      <c r="Y296" t="s">
        <v>1132</v>
      </c>
      <c r="Z296">
        <v>10660</v>
      </c>
      <c r="AA296" t="s">
        <v>758</v>
      </c>
    </row>
    <row r="297" spans="3:30" ht="18" customHeight="1">
      <c r="C297" s="79" t="s">
        <v>87</v>
      </c>
      <c r="E297" s="71" t="s">
        <v>208</v>
      </c>
      <c r="G297" s="79" t="s">
        <v>86</v>
      </c>
      <c r="AB297" t="s">
        <v>208</v>
      </c>
      <c r="AC297">
        <v>54989</v>
      </c>
      <c r="AD297" t="s">
        <v>821</v>
      </c>
    </row>
    <row r="298" spans="3:30" ht="18" customHeight="1">
      <c r="C298" s="79" t="s">
        <v>203</v>
      </c>
      <c r="E298" s="71" t="s">
        <v>302</v>
      </c>
      <c r="G298" s="79" t="s">
        <v>72</v>
      </c>
      <c r="Y298" t="s">
        <v>1133</v>
      </c>
      <c r="Z298">
        <v>2287</v>
      </c>
      <c r="AA298" t="s">
        <v>759</v>
      </c>
    </row>
    <row r="299" spans="3:30" ht="18" customHeight="1">
      <c r="C299" s="79" t="s">
        <v>73</v>
      </c>
      <c r="E299" s="80" t="s">
        <v>349</v>
      </c>
      <c r="G299" s="79" t="s">
        <v>72</v>
      </c>
      <c r="Y299" t="s">
        <v>1134</v>
      </c>
      <c r="Z299">
        <v>5939</v>
      </c>
      <c r="AA299" t="s">
        <v>760</v>
      </c>
    </row>
    <row r="300" spans="3:30" ht="18" customHeight="1">
      <c r="C300" s="79" t="s">
        <v>74</v>
      </c>
      <c r="E300" s="71"/>
      <c r="G300" s="79" t="s">
        <v>72</v>
      </c>
      <c r="Y300" t="s">
        <v>1135</v>
      </c>
      <c r="Z300">
        <v>2306</v>
      </c>
      <c r="AA300" t="s">
        <v>761</v>
      </c>
    </row>
    <row r="301" spans="3:30" ht="18" customHeight="1">
      <c r="C301" s="79" t="s">
        <v>110</v>
      </c>
      <c r="E301" s="71" t="s">
        <v>240</v>
      </c>
      <c r="G301" s="79" t="s">
        <v>106</v>
      </c>
      <c r="Y301" t="s">
        <v>1136</v>
      </c>
      <c r="Z301">
        <v>21093</v>
      </c>
      <c r="AA301" t="s">
        <v>762</v>
      </c>
    </row>
    <row r="302" spans="3:30" ht="18" customHeight="1">
      <c r="C302" s="79" t="s">
        <v>112</v>
      </c>
      <c r="E302" s="71" t="s">
        <v>230</v>
      </c>
      <c r="G302" s="79" t="s">
        <v>106</v>
      </c>
      <c r="Y302" t="s">
        <v>1137</v>
      </c>
      <c r="Z302">
        <v>25586</v>
      </c>
      <c r="AA302" t="s">
        <v>763</v>
      </c>
      <c r="AB302" t="s">
        <v>230</v>
      </c>
      <c r="AC302">
        <v>54968</v>
      </c>
      <c r="AD302" t="s">
        <v>822</v>
      </c>
    </row>
    <row r="303" spans="3:30" ht="18" customHeight="1">
      <c r="C303" s="79" t="s">
        <v>115</v>
      </c>
      <c r="E303" s="71" t="s">
        <v>229</v>
      </c>
      <c r="G303" s="79" t="s">
        <v>106</v>
      </c>
      <c r="Y303" t="s">
        <v>1138</v>
      </c>
      <c r="Z303">
        <v>29395</v>
      </c>
      <c r="AA303" t="s">
        <v>764</v>
      </c>
      <c r="AB303" t="s">
        <v>229</v>
      </c>
      <c r="AC303">
        <v>53498</v>
      </c>
      <c r="AD303" t="s">
        <v>823</v>
      </c>
    </row>
    <row r="304" spans="3:30" ht="18" customHeight="1">
      <c r="C304" s="79" t="s">
        <v>114</v>
      </c>
      <c r="E304" s="71" t="s">
        <v>236</v>
      </c>
      <c r="G304" s="79" t="s">
        <v>106</v>
      </c>
      <c r="Y304" t="s">
        <v>1139</v>
      </c>
      <c r="Z304">
        <v>26226</v>
      </c>
      <c r="AA304" t="s">
        <v>765</v>
      </c>
      <c r="AB304" t="s">
        <v>236</v>
      </c>
      <c r="AC304">
        <v>57131</v>
      </c>
      <c r="AD304" t="s">
        <v>824</v>
      </c>
    </row>
    <row r="305" spans="3:30" ht="18" customHeight="1">
      <c r="C305" s="79" t="s">
        <v>65</v>
      </c>
      <c r="E305" s="71" t="s">
        <v>231</v>
      </c>
      <c r="G305" s="79" t="s">
        <v>106</v>
      </c>
    </row>
    <row r="306" spans="3:30" ht="18" customHeight="1">
      <c r="C306" s="79" t="s">
        <v>111</v>
      </c>
      <c r="E306" s="71" t="s">
        <v>239</v>
      </c>
      <c r="G306" s="79" t="s">
        <v>106</v>
      </c>
      <c r="Y306" t="s">
        <v>1140</v>
      </c>
      <c r="Z306">
        <v>25377</v>
      </c>
      <c r="AA306" t="s">
        <v>766</v>
      </c>
      <c r="AB306" t="s">
        <v>239</v>
      </c>
      <c r="AC306">
        <v>57460</v>
      </c>
      <c r="AD306" t="s">
        <v>825</v>
      </c>
    </row>
    <row r="307" spans="3:30" ht="18" customHeight="1">
      <c r="C307" s="79" t="s">
        <v>108</v>
      </c>
      <c r="E307" s="71" t="s">
        <v>69</v>
      </c>
      <c r="G307" s="79" t="s">
        <v>106</v>
      </c>
      <c r="Y307" t="s">
        <v>1141</v>
      </c>
      <c r="Z307">
        <v>18082</v>
      </c>
      <c r="AA307" t="s">
        <v>767</v>
      </c>
      <c r="AB307" t="s">
        <v>69</v>
      </c>
      <c r="AC307">
        <v>55362</v>
      </c>
      <c r="AD307" t="s">
        <v>826</v>
      </c>
    </row>
    <row r="308" spans="3:30" ht="18" customHeight="1">
      <c r="C308" s="79" t="s">
        <v>105</v>
      </c>
      <c r="E308" s="71" t="s">
        <v>238</v>
      </c>
      <c r="G308" s="79" t="s">
        <v>106</v>
      </c>
      <c r="Y308" t="s">
        <v>664</v>
      </c>
      <c r="Z308">
        <v>1384</v>
      </c>
      <c r="AA308" t="s">
        <v>768</v>
      </c>
    </row>
    <row r="309" spans="3:30" ht="18" customHeight="1">
      <c r="C309" s="79" t="s">
        <v>109</v>
      </c>
      <c r="E309" s="71" t="s">
        <v>234</v>
      </c>
      <c r="G309" s="79" t="s">
        <v>106</v>
      </c>
      <c r="Y309" t="s">
        <v>1142</v>
      </c>
      <c r="Z309">
        <v>18717</v>
      </c>
      <c r="AA309" t="s">
        <v>769</v>
      </c>
      <c r="AB309" t="s">
        <v>234</v>
      </c>
      <c r="AC309">
        <v>56690</v>
      </c>
      <c r="AD309" t="s">
        <v>827</v>
      </c>
    </row>
    <row r="310" spans="3:30" ht="18" customHeight="1">
      <c r="C310" s="79" t="s">
        <v>107</v>
      </c>
      <c r="E310" s="71" t="s">
        <v>228</v>
      </c>
      <c r="G310" s="79" t="s">
        <v>106</v>
      </c>
      <c r="Y310" t="s">
        <v>1143</v>
      </c>
      <c r="Z310">
        <v>13305</v>
      </c>
      <c r="AA310" t="s">
        <v>770</v>
      </c>
    </row>
    <row r="311" spans="3:30" ht="18" customHeight="1">
      <c r="C311" s="79" t="s">
        <v>113</v>
      </c>
      <c r="E311" s="71" t="s">
        <v>232</v>
      </c>
      <c r="G311" s="79" t="s">
        <v>106</v>
      </c>
      <c r="Y311" t="s">
        <v>1144</v>
      </c>
      <c r="Z311">
        <v>25871</v>
      </c>
      <c r="AA311" t="s">
        <v>771</v>
      </c>
      <c r="AB311" t="s">
        <v>232</v>
      </c>
      <c r="AC311">
        <v>56286</v>
      </c>
      <c r="AD311" t="s">
        <v>828</v>
      </c>
    </row>
    <row r="312" spans="3:30" ht="18" customHeight="1">
      <c r="C312" s="79"/>
      <c r="E312" s="71" t="s">
        <v>227</v>
      </c>
      <c r="G312" s="79" t="s">
        <v>106</v>
      </c>
      <c r="AB312" t="s">
        <v>227</v>
      </c>
      <c r="AC312">
        <v>50954</v>
      </c>
      <c r="AD312" t="s">
        <v>829</v>
      </c>
    </row>
    <row r="313" spans="3:30" ht="18" customHeight="1">
      <c r="C313" s="79"/>
      <c r="E313" s="71" t="s">
        <v>237</v>
      </c>
      <c r="G313" s="79" t="s">
        <v>106</v>
      </c>
    </row>
    <row r="314" spans="3:30" ht="18" customHeight="1">
      <c r="C314" s="79"/>
      <c r="E314" s="71" t="s">
        <v>235</v>
      </c>
      <c r="G314" s="79" t="s">
        <v>106</v>
      </c>
    </row>
    <row r="315" spans="3:30" ht="18" customHeight="1">
      <c r="C315" s="79"/>
      <c r="E315" s="71" t="s">
        <v>233</v>
      </c>
      <c r="G315" s="79" t="s">
        <v>106</v>
      </c>
    </row>
    <row r="316" spans="3:30" ht="18" customHeight="1">
      <c r="C316" s="79" t="s">
        <v>138</v>
      </c>
      <c r="E316" s="71" t="s">
        <v>258</v>
      </c>
      <c r="G316" s="79" t="s">
        <v>350</v>
      </c>
      <c r="Y316" t="s">
        <v>1145</v>
      </c>
      <c r="Z316">
        <v>965</v>
      </c>
      <c r="AA316" t="s">
        <v>772</v>
      </c>
    </row>
    <row r="317" spans="3:30" ht="18" customHeight="1">
      <c r="C317" s="21"/>
      <c r="E317" s="71" t="s">
        <v>257</v>
      </c>
      <c r="G317" s="79" t="s">
        <v>350</v>
      </c>
    </row>
    <row r="318" spans="3:30" ht="18" customHeight="1">
      <c r="C318" s="79" t="s">
        <v>101</v>
      </c>
      <c r="E318" s="71" t="s">
        <v>218</v>
      </c>
      <c r="G318" s="79" t="s">
        <v>99</v>
      </c>
      <c r="Y318" t="s">
        <v>1146</v>
      </c>
      <c r="Z318">
        <v>24357</v>
      </c>
      <c r="AA318" t="s">
        <v>773</v>
      </c>
    </row>
    <row r="319" spans="3:30" ht="18" customHeight="1">
      <c r="C319" s="79" t="s">
        <v>98</v>
      </c>
      <c r="E319" s="71" t="s">
        <v>220</v>
      </c>
      <c r="G319" s="79" t="s">
        <v>99</v>
      </c>
      <c r="Y319" t="s">
        <v>675</v>
      </c>
      <c r="Z319">
        <v>10562</v>
      </c>
      <c r="AA319" t="s">
        <v>774</v>
      </c>
      <c r="AB319" t="s">
        <v>220</v>
      </c>
      <c r="AC319">
        <v>55570</v>
      </c>
      <c r="AD319" t="s">
        <v>830</v>
      </c>
    </row>
    <row r="320" spans="3:30" ht="18" customHeight="1">
      <c r="C320" s="79" t="s">
        <v>100</v>
      </c>
      <c r="E320" s="71" t="s">
        <v>219</v>
      </c>
      <c r="G320" s="79" t="s">
        <v>99</v>
      </c>
      <c r="AB320" t="s">
        <v>219</v>
      </c>
      <c r="AC320">
        <v>55129</v>
      </c>
      <c r="AD320" t="s">
        <v>790</v>
      </c>
    </row>
    <row r="321" spans="3:30" ht="18" customHeight="1">
      <c r="C321" s="79"/>
      <c r="E321" s="71" t="s">
        <v>223</v>
      </c>
      <c r="G321" s="79" t="s">
        <v>99</v>
      </c>
    </row>
    <row r="322" spans="3:30" ht="18" customHeight="1">
      <c r="C322" s="79"/>
      <c r="E322" s="71" t="s">
        <v>221</v>
      </c>
      <c r="G322" s="79" t="s">
        <v>99</v>
      </c>
    </row>
    <row r="323" spans="3:30" ht="18" customHeight="1">
      <c r="C323" s="79"/>
      <c r="E323" s="71" t="s">
        <v>222</v>
      </c>
      <c r="G323" s="79" t="s">
        <v>99</v>
      </c>
    </row>
    <row r="324" spans="3:30" ht="18" customHeight="1">
      <c r="C324" s="81" t="s">
        <v>128</v>
      </c>
      <c r="E324" s="71" t="s">
        <v>250</v>
      </c>
      <c r="G324" s="79" t="s">
        <v>125</v>
      </c>
      <c r="Y324" t="s">
        <v>1147</v>
      </c>
      <c r="Z324">
        <v>28346</v>
      </c>
      <c r="AA324" t="s">
        <v>775</v>
      </c>
      <c r="AB324" t="s">
        <v>832</v>
      </c>
      <c r="AC324">
        <v>55733</v>
      </c>
      <c r="AD324" t="s">
        <v>831</v>
      </c>
    </row>
    <row r="325" spans="3:30" ht="18" customHeight="1">
      <c r="C325" s="79" t="s">
        <v>124</v>
      </c>
      <c r="E325" s="71" t="s">
        <v>249</v>
      </c>
      <c r="G325" s="79" t="s">
        <v>125</v>
      </c>
      <c r="Y325" t="s">
        <v>1148</v>
      </c>
      <c r="Z325">
        <v>7398</v>
      </c>
      <c r="AA325" t="s">
        <v>776</v>
      </c>
    </row>
    <row r="326" spans="3:30" ht="18" customHeight="1">
      <c r="C326" s="79" t="s">
        <v>315</v>
      </c>
      <c r="E326" s="71" t="s">
        <v>248</v>
      </c>
      <c r="G326" s="79" t="s">
        <v>125</v>
      </c>
    </row>
    <row r="327" spans="3:30" ht="18" customHeight="1">
      <c r="C327" s="79" t="s">
        <v>126</v>
      </c>
      <c r="E327" s="71" t="s">
        <v>247</v>
      </c>
      <c r="G327" s="79" t="s">
        <v>125</v>
      </c>
      <c r="Y327" t="s">
        <v>1149</v>
      </c>
      <c r="Z327">
        <v>16332</v>
      </c>
      <c r="AA327" t="s">
        <v>777</v>
      </c>
    </row>
    <row r="328" spans="3:30" ht="18" customHeight="1">
      <c r="C328" s="79" t="s">
        <v>127</v>
      </c>
      <c r="E328" s="71" t="s">
        <v>251</v>
      </c>
      <c r="G328" s="79" t="s">
        <v>125</v>
      </c>
      <c r="Y328" t="s">
        <v>1150</v>
      </c>
      <c r="Z328">
        <v>17996</v>
      </c>
      <c r="AA328" t="s">
        <v>778</v>
      </c>
    </row>
    <row r="329" spans="3:30" ht="18" customHeight="1">
      <c r="C329" s="79" t="s">
        <v>144</v>
      </c>
      <c r="E329" s="71" t="s">
        <v>260</v>
      </c>
      <c r="G329" s="79" t="s">
        <v>331</v>
      </c>
    </row>
    <row r="330" spans="3:30" ht="18" customHeight="1">
      <c r="C330" s="79" t="s">
        <v>140</v>
      </c>
      <c r="E330" s="71" t="s">
        <v>261</v>
      </c>
      <c r="G330" s="79" t="s">
        <v>331</v>
      </c>
      <c r="Y330" t="s">
        <v>1151</v>
      </c>
      <c r="Z330">
        <v>20386</v>
      </c>
      <c r="AA330" t="s">
        <v>779</v>
      </c>
    </row>
    <row r="331" spans="3:30" ht="18" customHeight="1">
      <c r="C331" s="79" t="s">
        <v>142</v>
      </c>
      <c r="E331" s="71" t="s">
        <v>259</v>
      </c>
      <c r="G331" s="79" t="s">
        <v>331</v>
      </c>
    </row>
    <row r="332" spans="3:30" ht="18" customHeight="1">
      <c r="C332" s="79" t="s">
        <v>145</v>
      </c>
      <c r="E332" s="71" t="s">
        <v>263</v>
      </c>
      <c r="G332" s="79" t="s">
        <v>331</v>
      </c>
      <c r="Y332" t="s">
        <v>1152</v>
      </c>
      <c r="Z332">
        <v>28039</v>
      </c>
      <c r="AA332" t="s">
        <v>780</v>
      </c>
    </row>
    <row r="333" spans="3:30" ht="18" customHeight="1">
      <c r="C333" s="79" t="s">
        <v>146</v>
      </c>
      <c r="E333" s="80" t="s">
        <v>332</v>
      </c>
      <c r="G333" s="79" t="s">
        <v>331</v>
      </c>
      <c r="Y333" t="s">
        <v>1153</v>
      </c>
      <c r="Z333">
        <v>30059</v>
      </c>
      <c r="AA333" t="s">
        <v>781</v>
      </c>
    </row>
    <row r="334" spans="3:30" ht="18" customHeight="1">
      <c r="C334" s="79" t="s">
        <v>143</v>
      </c>
      <c r="E334" s="71" t="s">
        <v>262</v>
      </c>
      <c r="G334" s="79" t="s">
        <v>331</v>
      </c>
      <c r="AB334" t="s">
        <v>262</v>
      </c>
      <c r="AC334">
        <v>57109</v>
      </c>
      <c r="AD334" t="s">
        <v>833</v>
      </c>
    </row>
    <row r="335" spans="3:30" ht="18" customHeight="1">
      <c r="C335" s="79" t="s">
        <v>316</v>
      </c>
      <c r="E335" s="71" t="s">
        <v>59</v>
      </c>
      <c r="G335" s="79" t="s">
        <v>333</v>
      </c>
    </row>
    <row r="336" spans="3:30" ht="18" customHeight="1">
      <c r="C336" s="79" t="s">
        <v>310</v>
      </c>
      <c r="E336" s="80" t="s">
        <v>334</v>
      </c>
      <c r="G336" s="79" t="s">
        <v>333</v>
      </c>
    </row>
    <row r="337" spans="3:30" ht="18" customHeight="1">
      <c r="C337" s="79" t="s">
        <v>307</v>
      </c>
      <c r="E337" s="71" t="s">
        <v>60</v>
      </c>
      <c r="G337" s="79" t="s">
        <v>333</v>
      </c>
      <c r="Y337" t="s">
        <v>702</v>
      </c>
      <c r="Z337">
        <v>13141</v>
      </c>
      <c r="AA337" t="s">
        <v>782</v>
      </c>
      <c r="AB337" t="s">
        <v>60</v>
      </c>
      <c r="AC337">
        <v>56296</v>
      </c>
      <c r="AD337" t="s">
        <v>834</v>
      </c>
    </row>
    <row r="338" spans="3:30" ht="18" customHeight="1">
      <c r="C338" s="79" t="s">
        <v>306</v>
      </c>
      <c r="E338" s="71" t="s">
        <v>61</v>
      </c>
      <c r="G338" s="79" t="s">
        <v>333</v>
      </c>
      <c r="Y338" t="s">
        <v>1154</v>
      </c>
      <c r="Z338">
        <v>1800</v>
      </c>
      <c r="AA338" t="s">
        <v>783</v>
      </c>
    </row>
    <row r="339" spans="3:30" ht="18" customHeight="1">
      <c r="C339" s="21"/>
      <c r="E339" s="71" t="s">
        <v>70</v>
      </c>
      <c r="G339" s="79" t="s">
        <v>333</v>
      </c>
    </row>
    <row r="340" spans="3:30" ht="18" customHeight="1">
      <c r="C340" s="21"/>
      <c r="E340" s="71" t="s">
        <v>62</v>
      </c>
      <c r="G340" s="79" t="s">
        <v>333</v>
      </c>
    </row>
    <row r="341" spans="3:30" ht="18" customHeight="1">
      <c r="C341" s="21"/>
      <c r="E341" s="71" t="s">
        <v>80</v>
      </c>
      <c r="G341" s="79" t="s">
        <v>333</v>
      </c>
      <c r="AB341" t="s">
        <v>80</v>
      </c>
      <c r="AC341">
        <v>59021</v>
      </c>
      <c r="AD341" t="s">
        <v>835</v>
      </c>
    </row>
    <row r="342" spans="3:30" ht="18" customHeight="1">
      <c r="C342" s="79" t="s">
        <v>318</v>
      </c>
      <c r="E342" s="71" t="s">
        <v>335</v>
      </c>
      <c r="G342" s="79" t="s">
        <v>66</v>
      </c>
    </row>
    <row r="343" spans="3:30" ht="18" customHeight="1">
      <c r="C343" s="79" t="s">
        <v>319</v>
      </c>
      <c r="E343" s="71" t="s">
        <v>336</v>
      </c>
      <c r="G343" s="79" t="s">
        <v>66</v>
      </c>
    </row>
    <row r="344" spans="3:30" ht="18" customHeight="1">
      <c r="C344" s="79" t="s">
        <v>320</v>
      </c>
      <c r="E344" s="71" t="s">
        <v>337</v>
      </c>
      <c r="G344" s="79" t="s">
        <v>66</v>
      </c>
      <c r="Y344" t="s">
        <v>1155</v>
      </c>
      <c r="Z344">
        <v>15756</v>
      </c>
      <c r="AA344" t="s">
        <v>784</v>
      </c>
    </row>
    <row r="345" spans="3:30" ht="18" customHeight="1">
      <c r="C345" s="21"/>
      <c r="E345" s="71" t="s">
        <v>338</v>
      </c>
      <c r="G345" s="79" t="s">
        <v>66</v>
      </c>
    </row>
    <row r="346" spans="3:30" ht="18" customHeight="1">
      <c r="C346" s="79" t="s">
        <v>308</v>
      </c>
      <c r="E346" s="71" t="s">
        <v>71</v>
      </c>
      <c r="G346" s="79" t="s">
        <v>309</v>
      </c>
      <c r="Y346" t="s">
        <v>1156</v>
      </c>
      <c r="Z346">
        <v>25962</v>
      </c>
      <c r="AA346" t="s">
        <v>785</v>
      </c>
    </row>
    <row r="347" spans="3:30" ht="18" customHeight="1">
      <c r="C347" s="79"/>
      <c r="E347" s="71"/>
      <c r="G347" s="79"/>
    </row>
    <row r="348" spans="3:30" ht="18" customHeight="1">
      <c r="C348" s="21"/>
      <c r="E348" s="71"/>
      <c r="G348" s="21"/>
    </row>
  </sheetData>
  <autoFilter ref="A13:AD13" xr:uid="{00000000-0001-0000-0D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5:AD23">
    <sortCondition ref="B15:B23"/>
  </sortState>
  <phoneticPr fontId="6" type="Hiragana"/>
  <conditionalFormatting sqref="V14:V73">
    <cfRule type="cellIs" dxfId="39" priority="8" stopIfTrue="1" operator="notBetween">
      <formula>"A"</formula>
      <formula>"Ｂ"</formula>
    </cfRule>
  </conditionalFormatting>
  <conditionalFormatting sqref="W14:W73">
    <cfRule type="cellIs" dxfId="38" priority="7" stopIfTrue="1" operator="between">
      <formula>"-"</formula>
      <formula>"申請中"</formula>
    </cfRule>
  </conditionalFormatting>
  <conditionalFormatting sqref="Y14:Z73">
    <cfRule type="expression" dxfId="37" priority="6">
      <formula>Y14&lt;&gt;C14</formula>
    </cfRule>
  </conditionalFormatting>
  <conditionalFormatting sqref="AB14:AC73">
    <cfRule type="expression" dxfId="36" priority="5">
      <formula>AB14&lt;&gt;E14</formula>
    </cfRule>
  </conditionalFormatting>
  <conditionalFormatting sqref="C14:C23 C26:C73">
    <cfRule type="duplicateValues" dxfId="35" priority="4"/>
  </conditionalFormatting>
  <conditionalFormatting sqref="E14:E23 E26:E73">
    <cfRule type="duplicateValues" dxfId="34" priority="3"/>
  </conditionalFormatting>
  <conditionalFormatting sqref="C24:C25">
    <cfRule type="duplicateValues" dxfId="33" priority="2"/>
  </conditionalFormatting>
  <conditionalFormatting sqref="E24:E25">
    <cfRule type="duplicateValues" dxfId="32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3</xdr:row>
                    <xdr:rowOff>0</xdr:rowOff>
                  </from>
                  <to>
                    <xdr:col>27</xdr:col>
                    <xdr:colOff>198120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EC7E-AB70-4AA1-96D6-F0EC0C733543}">
  <sheetPr codeName="Sheet35">
    <tabColor rgb="FFFFC000"/>
  </sheetPr>
  <dimension ref="A1:AD201"/>
  <sheetViews>
    <sheetView zoomScaleNormal="100" workbookViewId="0">
      <selection activeCell="A14" sqref="A14:G1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2" width="7.6640625" style="20" customWidth="1"/>
    <col min="23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W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25</v>
      </c>
      <c r="D4" s="26" t="s">
        <v>7</v>
      </c>
      <c r="E4" s="27" t="s">
        <v>8</v>
      </c>
      <c r="F4" s="268" t="s">
        <v>1313</v>
      </c>
      <c r="G4" s="31"/>
      <c r="H4" s="86"/>
      <c r="J4" s="27" t="s">
        <v>9</v>
      </c>
      <c r="K4" s="36" t="s">
        <v>1315</v>
      </c>
      <c r="N4" s="27" t="s">
        <v>10</v>
      </c>
      <c r="O4" s="37"/>
      <c r="P4" s="87"/>
      <c r="Q4" s="88"/>
      <c r="R4" s="89"/>
      <c r="S4" s="87"/>
      <c r="T4" s="88"/>
      <c r="U4" s="90"/>
      <c r="V4" s="91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>
        <v>9</v>
      </c>
      <c r="E5" s="27" t="s">
        <v>12</v>
      </c>
      <c r="F5" s="38" t="s">
        <v>1314</v>
      </c>
      <c r="G5" s="27" t="s">
        <v>13</v>
      </c>
      <c r="H5" s="73"/>
      <c r="I5" s="38"/>
      <c r="J5" s="86"/>
      <c r="K5" s="86"/>
      <c r="L5" s="92"/>
      <c r="M5" s="93"/>
      <c r="N5" s="88"/>
      <c r="O5" s="93"/>
      <c r="P5" s="94"/>
      <c r="Q5" s="88"/>
      <c r="R5" s="95"/>
      <c r="S5" s="87"/>
      <c r="T5" s="88"/>
      <c r="U5" s="96"/>
      <c r="V5" s="87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H6" s="87"/>
      <c r="I6" s="87"/>
      <c r="J6" s="88"/>
      <c r="K6" s="88"/>
      <c r="L6" s="92"/>
      <c r="M6" s="93"/>
      <c r="N6" s="88"/>
      <c r="O6" s="93"/>
      <c r="P6" s="94"/>
      <c r="Q6" s="88"/>
      <c r="R6" s="95"/>
      <c r="S6" s="87"/>
      <c r="T6" s="88"/>
      <c r="U6" s="96"/>
      <c r="V6" s="97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H7" s="87"/>
      <c r="I7" s="88"/>
      <c r="J7" s="92"/>
      <c r="K7" s="88" t="s">
        <v>587</v>
      </c>
      <c r="L7" s="92" t="s">
        <v>14</v>
      </c>
      <c r="M7" s="98"/>
      <c r="N7" s="88" t="s">
        <v>22</v>
      </c>
      <c r="O7" s="99"/>
      <c r="P7" s="87"/>
      <c r="Q7" s="88" t="s">
        <v>16</v>
      </c>
      <c r="R7" s="100"/>
      <c r="S7" s="97"/>
      <c r="T7" s="88" t="s">
        <v>588</v>
      </c>
      <c r="U7" s="99"/>
      <c r="V7" s="87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H8" s="87"/>
      <c r="I8" s="88"/>
      <c r="J8" s="92"/>
      <c r="K8" s="91"/>
      <c r="L8" s="88"/>
      <c r="M8" s="91"/>
      <c r="N8" s="88"/>
      <c r="O8" s="97"/>
      <c r="P8" s="87"/>
      <c r="Q8" s="88"/>
      <c r="R8" s="101"/>
      <c r="S8" s="97"/>
      <c r="T8" s="97"/>
      <c r="U8" s="97"/>
      <c r="V8" s="87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H9" s="87"/>
      <c r="I9" s="88"/>
      <c r="J9" s="92"/>
      <c r="K9" s="88" t="s">
        <v>589</v>
      </c>
      <c r="L9" s="92" t="s">
        <v>14</v>
      </c>
      <c r="M9" s="98"/>
      <c r="N9" s="88" t="s">
        <v>22</v>
      </c>
      <c r="O9" s="99"/>
      <c r="P9" s="87"/>
      <c r="Q9" s="88" t="s">
        <v>16</v>
      </c>
      <c r="R9" s="100"/>
      <c r="S9" s="97"/>
      <c r="T9" s="88" t="s">
        <v>588</v>
      </c>
      <c r="U9" s="99"/>
      <c r="V9" s="87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H10" s="87"/>
      <c r="I10" s="88"/>
      <c r="J10" s="92"/>
      <c r="K10" s="91"/>
      <c r="L10" s="88"/>
      <c r="M10" s="91"/>
      <c r="N10" s="88"/>
      <c r="O10" s="97"/>
      <c r="P10" s="87"/>
      <c r="Q10" s="88"/>
      <c r="R10" s="101"/>
      <c r="S10" s="97"/>
      <c r="T10" s="97"/>
      <c r="U10" s="97"/>
      <c r="V10" s="87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X11" s="26">
        <f>COUNTA(C14:C73)</f>
        <v>1</v>
      </c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  <c r="X12" s="15" t="s">
        <v>50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  <c r="X13" s="15" t="s">
        <v>56</v>
      </c>
    </row>
    <row r="14" spans="1:30" s="69" customFormat="1" ht="18" customHeight="1">
      <c r="A14" s="62"/>
      <c r="B14" s="63">
        <v>1</v>
      </c>
      <c r="C14" s="125" t="s">
        <v>1388</v>
      </c>
      <c r="D14" s="265">
        <v>8082</v>
      </c>
      <c r="E14" s="125" t="s">
        <v>1389</v>
      </c>
      <c r="F14" s="271">
        <v>60750</v>
      </c>
      <c r="G14" s="122" t="s">
        <v>1390</v>
      </c>
      <c r="H14" s="23"/>
      <c r="I14" s="23"/>
      <c r="J14" s="64" t="str">
        <f t="shared" ref="J14:J45" si="0">IF(H14="","",H14+I14)</f>
        <v/>
      </c>
      <c r="K14" s="65"/>
      <c r="L14" s="65"/>
      <c r="M14" s="66" t="str">
        <f t="shared" ref="M14:M45" si="1">IF(L14="","",K14+L14)</f>
        <v/>
      </c>
      <c r="N14" s="23"/>
      <c r="O14" s="23"/>
      <c r="P14" s="64" t="str">
        <f t="shared" ref="P14:P45" si="2">IF(N14="","",N14+O14)</f>
        <v/>
      </c>
      <c r="Q14" s="65"/>
      <c r="R14" s="65"/>
      <c r="S14" s="66" t="str">
        <f t="shared" ref="S14:S45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X14" s="18" t="e">
        <v>#N/A</v>
      </c>
      <c r="Y14" t="s">
        <v>1188</v>
      </c>
      <c r="Z14">
        <v>22328</v>
      </c>
      <c r="AA14" t="s">
        <v>889</v>
      </c>
      <c r="AB14"/>
      <c r="AC14"/>
      <c r="AD14"/>
    </row>
    <row r="15" spans="1:30" s="69" customFormat="1" ht="18" customHeight="1">
      <c r="A15" s="62"/>
      <c r="B15" s="63">
        <v>2</v>
      </c>
      <c r="C15" s="125"/>
      <c r="D15" s="265"/>
      <c r="E15" s="125" ph="1"/>
      <c r="F15" s="274"/>
      <c r="G15" s="122"/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str">
        <f>IF($C15="","",VLOOKUP($C15,#REF!,4,FALSE))</f>
        <v/>
      </c>
      <c r="W15" s="72" t="str">
        <f>IF($E15="","",VLOOKUP($E15,#REF!,4,FALSE))</f>
        <v/>
      </c>
      <c r="X15" s="18" t="e">
        <v>#N/A</v>
      </c>
      <c r="Y15" t="s">
        <v>1184</v>
      </c>
      <c r="Z15">
        <v>14856</v>
      </c>
      <c r="AA15" t="s">
        <v>885</v>
      </c>
      <c r="AB15" t="s">
        <v>662</v>
      </c>
      <c r="AC15">
        <v>59965</v>
      </c>
      <c r="AD15" t="s">
        <v>900</v>
      </c>
    </row>
    <row r="16" spans="1:30" s="69" customFormat="1" ht="18" customHeight="1">
      <c r="A16" s="62"/>
      <c r="B16" s="63">
        <v>3</v>
      </c>
      <c r="C16" s="127"/>
      <c r="D16" s="277"/>
      <c r="E16" s="160"/>
      <c r="F16" s="283"/>
      <c r="G16" s="127"/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str">
        <f>IF($C16="","",VLOOKUP($C16,#REF!,4,FALSE))</f>
        <v/>
      </c>
      <c r="W16" s="72" t="str">
        <f>IF($E16="","",VLOOKUP($E16,#REF!,4,FALSE))</f>
        <v/>
      </c>
      <c r="X16" s="18" t="s">
        <v>704</v>
      </c>
      <c r="Y16" t="s">
        <v>1117</v>
      </c>
      <c r="Z16">
        <v>11802</v>
      </c>
      <c r="AA16" t="s">
        <v>743</v>
      </c>
      <c r="AB16" t="s">
        <v>644</v>
      </c>
      <c r="AC16">
        <v>59963</v>
      </c>
      <c r="AD16" t="s">
        <v>907</v>
      </c>
    </row>
    <row r="17" spans="1:30" s="69" customFormat="1" ht="18" customHeight="1">
      <c r="A17" s="62"/>
      <c r="B17" s="63">
        <v>4</v>
      </c>
      <c r="C17" s="125"/>
      <c r="D17" s="265"/>
      <c r="E17" s="125"/>
      <c r="F17" s="271"/>
      <c r="G17" s="122"/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str">
        <f>IF($C17="","",VLOOKUP($C17,#REF!,4,FALSE))</f>
        <v/>
      </c>
      <c r="W17" s="72" t="str">
        <f>IF($E17="","",VLOOKUP($E17,#REF!,4,FALSE))</f>
        <v/>
      </c>
      <c r="X17" s="18" t="e">
        <v>#N/A</v>
      </c>
      <c r="Y17" t="s">
        <v>1189</v>
      </c>
      <c r="Z17">
        <v>25761</v>
      </c>
      <c r="AA17" t="s">
        <v>890</v>
      </c>
      <c r="AB17" t="s">
        <v>685</v>
      </c>
      <c r="AC17">
        <v>59397</v>
      </c>
      <c r="AD17" t="s">
        <v>906</v>
      </c>
    </row>
    <row r="18" spans="1:30" s="69" customFormat="1" ht="18" customHeight="1">
      <c r="A18" s="62"/>
      <c r="B18" s="63">
        <v>5</v>
      </c>
      <c r="C18" s="121"/>
      <c r="D18" s="278"/>
      <c r="E18" s="148"/>
      <c r="F18" s="282"/>
      <c r="G18" s="167"/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str">
        <f>IF($C18="","",VLOOKUP($C18,#REF!,4,FALSE))</f>
        <v/>
      </c>
      <c r="W18" s="72" t="str">
        <f>IF($E18="","",VLOOKUP($E18,#REF!,4,FALSE))</f>
        <v/>
      </c>
      <c r="X18" s="18" t="e">
        <v>#N/A</v>
      </c>
      <c r="Y18" t="s">
        <v>1164</v>
      </c>
      <c r="Z18">
        <v>1541</v>
      </c>
      <c r="AA18" t="s">
        <v>853</v>
      </c>
      <c r="AB18" t="s">
        <v>638</v>
      </c>
      <c r="AC18">
        <v>59771</v>
      </c>
      <c r="AD18" t="s">
        <v>905</v>
      </c>
    </row>
    <row r="19" spans="1:30" s="69" customFormat="1" ht="18" customHeight="1">
      <c r="A19" s="62"/>
      <c r="B19" s="63">
        <v>6</v>
      </c>
      <c r="C19" s="121"/>
      <c r="D19" s="278"/>
      <c r="E19" s="170"/>
      <c r="F19" s="296"/>
      <c r="G19" s="158"/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str">
        <f>IF($C19="","",VLOOKUP($C19,#REF!,4,FALSE))</f>
        <v/>
      </c>
      <c r="W19" s="72" t="str">
        <f>IF($E19="","",VLOOKUP($E19,#REF!,4,FALSE))</f>
        <v/>
      </c>
      <c r="X19" s="18" t="e">
        <v>#N/A</v>
      </c>
      <c r="Y19" t="s">
        <v>1101</v>
      </c>
      <c r="Z19">
        <v>29308</v>
      </c>
      <c r="AA19" t="s">
        <v>727</v>
      </c>
      <c r="AB19" t="s">
        <v>649</v>
      </c>
      <c r="AC19">
        <v>59250</v>
      </c>
      <c r="AD19" t="s">
        <v>892</v>
      </c>
    </row>
    <row r="20" spans="1:30" s="69" customFormat="1" ht="18" customHeight="1">
      <c r="A20" s="62"/>
      <c r="B20" s="63">
        <v>7</v>
      </c>
      <c r="C20" s="125"/>
      <c r="D20" s="265"/>
      <c r="E20" s="155"/>
      <c r="F20" s="274"/>
      <c r="G20" s="157"/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str">
        <f>IF($C20="","",VLOOKUP($C20,#REF!,4,FALSE))</f>
        <v/>
      </c>
      <c r="W20" s="72" t="str">
        <f>IF($E20="","",VLOOKUP($E20,#REF!,4,FALSE))</f>
        <v/>
      </c>
      <c r="X20" s="18" t="e">
        <v>#N/A</v>
      </c>
      <c r="Y20" t="s">
        <v>1181</v>
      </c>
      <c r="Z20">
        <v>9323</v>
      </c>
      <c r="AA20" t="s">
        <v>882</v>
      </c>
      <c r="AB20" t="s">
        <v>699</v>
      </c>
      <c r="AC20">
        <v>56402</v>
      </c>
      <c r="AD20" t="s">
        <v>896</v>
      </c>
    </row>
    <row r="21" spans="1:30" s="69" customFormat="1" ht="18" customHeight="1">
      <c r="A21" s="62"/>
      <c r="B21" s="63">
        <v>8</v>
      </c>
      <c r="C21" s="127"/>
      <c r="D21" s="277"/>
      <c r="E21" s="161"/>
      <c r="F21" s="275"/>
      <c r="G21" s="169"/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str">
        <f>IF($C21="","",VLOOKUP($C21,#REF!,4,FALSE))</f>
        <v/>
      </c>
      <c r="W21" s="72" t="str">
        <f>IF($E21="","",VLOOKUP($E21,#REF!,4,FALSE))</f>
        <v/>
      </c>
      <c r="X21" s="18" t="e">
        <v>#N/A</v>
      </c>
      <c r="Y21" t="s">
        <v>1186</v>
      </c>
      <c r="Z21">
        <v>13918</v>
      </c>
      <c r="AA21" t="s">
        <v>887</v>
      </c>
      <c r="AB21" t="s">
        <v>632</v>
      </c>
      <c r="AC21">
        <v>58338</v>
      </c>
      <c r="AD21" t="s">
        <v>903</v>
      </c>
    </row>
    <row r="22" spans="1:30" s="69" customFormat="1" ht="18" customHeight="1">
      <c r="A22" s="62"/>
      <c r="B22" s="63">
        <v>9</v>
      </c>
      <c r="C22" s="125"/>
      <c r="D22" s="265"/>
      <c r="E22" s="125"/>
      <c r="F22" s="271"/>
      <c r="G22" s="122"/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str">
        <f>IF($C22="","",VLOOKUP($C22,#REF!,4,FALSE))</f>
        <v/>
      </c>
      <c r="W22" s="72" t="str">
        <f>IF($E22="","",VLOOKUP($E22,#REF!,4,FALSE))</f>
        <v/>
      </c>
      <c r="X22" s="18" t="s">
        <v>704</v>
      </c>
      <c r="Y22" t="s">
        <v>1199</v>
      </c>
      <c r="Z22">
        <v>7270</v>
      </c>
      <c r="AA22" t="s">
        <v>921</v>
      </c>
      <c r="AB22" t="s">
        <v>1307</v>
      </c>
      <c r="AC22">
        <v>60712</v>
      </c>
      <c r="AD22" t="s">
        <v>1309</v>
      </c>
    </row>
    <row r="23" spans="1:30" s="69" customFormat="1" ht="18" customHeight="1">
      <c r="A23" s="62"/>
      <c r="B23" s="63">
        <v>10</v>
      </c>
      <c r="C23" s="125"/>
      <c r="D23" s="265"/>
      <c r="E23" s="125"/>
      <c r="F23" s="271"/>
      <c r="G23" s="122"/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str">
        <f>IF($C23="","",VLOOKUP($C23,#REF!,4,FALSE))</f>
        <v/>
      </c>
      <c r="W23" s="72" t="str">
        <f>IF($E23="","",VLOOKUP($E23,#REF!,4,FALSE))</f>
        <v/>
      </c>
      <c r="X23" s="18" t="s">
        <v>705</v>
      </c>
      <c r="Y23" t="s">
        <v>659</v>
      </c>
      <c r="Z23">
        <v>12159</v>
      </c>
      <c r="AA23" t="s">
        <v>836</v>
      </c>
      <c r="AB23" t="s">
        <v>660</v>
      </c>
      <c r="AC23">
        <v>58807</v>
      </c>
      <c r="AD23" t="s">
        <v>899</v>
      </c>
    </row>
    <row r="24" spans="1:30" s="69" customFormat="1" ht="18" customHeight="1">
      <c r="A24" s="62"/>
      <c r="B24" s="63">
        <v>11</v>
      </c>
      <c r="C24" s="125"/>
      <c r="D24" s="265"/>
      <c r="E24" s="125"/>
      <c r="F24" s="271"/>
      <c r="G24" s="122"/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str">
        <f>IF($C24="","",VLOOKUP($C24,#REF!,4,FALSE))</f>
        <v/>
      </c>
      <c r="W24" s="72" t="str">
        <f>IF($E24="","",VLOOKUP($E24,#REF!,4,FALSE))</f>
        <v/>
      </c>
      <c r="X24" s="18" t="e">
        <v>#N/A</v>
      </c>
      <c r="Y24" t="s">
        <v>1180</v>
      </c>
      <c r="Z24">
        <v>21029</v>
      </c>
      <c r="AA24" t="s">
        <v>881</v>
      </c>
      <c r="AB24" t="s">
        <v>667</v>
      </c>
      <c r="AC24">
        <v>60415</v>
      </c>
      <c r="AD24" t="s">
        <v>895</v>
      </c>
    </row>
    <row r="25" spans="1:30" s="69" customFormat="1" ht="18" customHeight="1">
      <c r="A25" s="62"/>
      <c r="B25" s="63">
        <v>12</v>
      </c>
      <c r="C25" s="125"/>
      <c r="D25" s="265"/>
      <c r="E25" s="125"/>
      <c r="F25" s="271"/>
      <c r="G25" s="122"/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str">
        <f>IF($C25="","",VLOOKUP($C25,#REF!,4,FALSE))</f>
        <v/>
      </c>
      <c r="W25" s="72" t="str">
        <f>IF($E25="","",VLOOKUP($E25,#REF!,4,FALSE))</f>
        <v/>
      </c>
      <c r="X25" s="18" t="s">
        <v>704</v>
      </c>
      <c r="Y25" t="s">
        <v>1305</v>
      </c>
      <c r="Z25">
        <v>5943</v>
      </c>
      <c r="AA25" t="s">
        <v>1308</v>
      </c>
      <c r="AB25" t="s">
        <v>1306</v>
      </c>
      <c r="AC25">
        <v>59622</v>
      </c>
      <c r="AD25" t="s">
        <v>1310</v>
      </c>
    </row>
    <row r="26" spans="1:30" s="69" customFormat="1" ht="18" customHeight="1">
      <c r="A26" s="62"/>
      <c r="B26" s="63">
        <v>13</v>
      </c>
      <c r="C26" s="125"/>
      <c r="D26" s="265"/>
      <c r="E26" s="125"/>
      <c r="F26" s="271"/>
      <c r="G26" s="122"/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str">
        <f>IF($C26="","",VLOOKUP($C26,#REF!,4,FALSE))</f>
        <v/>
      </c>
      <c r="W26" s="72" t="str">
        <f>IF($E26="","",VLOOKUP($E26,#REF!,4,FALSE))</f>
        <v/>
      </c>
      <c r="X26" s="18" t="e">
        <v>#N/A</v>
      </c>
      <c r="Y26" t="s">
        <v>1182</v>
      </c>
      <c r="Z26">
        <v>23076</v>
      </c>
      <c r="AA26" t="s">
        <v>883</v>
      </c>
      <c r="AB26" t="s">
        <v>898</v>
      </c>
      <c r="AC26">
        <v>59353</v>
      </c>
      <c r="AD26" t="s">
        <v>897</v>
      </c>
    </row>
    <row r="27" spans="1:30" s="69" customFormat="1" ht="18" customHeight="1">
      <c r="A27" s="62"/>
      <c r="B27" s="63">
        <v>14</v>
      </c>
      <c r="C27" s="121"/>
      <c r="D27" s="265"/>
      <c r="E27" s="161"/>
      <c r="F27" s="283"/>
      <c r="G27" s="121"/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str">
        <f>IF($C27="","",VLOOKUP($C27,#REF!,4,FALSE))</f>
        <v/>
      </c>
      <c r="W27" s="72" t="str">
        <f>IF($E27="","",VLOOKUP($E27,#REF!,4,FALSE))</f>
        <v/>
      </c>
      <c r="X27" s="18" t="s">
        <v>705</v>
      </c>
      <c r="Y27" t="s">
        <v>1185</v>
      </c>
      <c r="Z27">
        <v>8082</v>
      </c>
      <c r="AA27" t="s">
        <v>886</v>
      </c>
      <c r="AB27" t="s">
        <v>902</v>
      </c>
      <c r="AC27">
        <v>60750</v>
      </c>
      <c r="AD27" t="s">
        <v>901</v>
      </c>
    </row>
    <row r="28" spans="1:30" s="69" customFormat="1" ht="18" customHeight="1">
      <c r="A28" s="62"/>
      <c r="B28" s="63">
        <v>15</v>
      </c>
      <c r="C28" s="125"/>
      <c r="D28" s="265"/>
      <c r="E28" s="125"/>
      <c r="F28" s="271"/>
      <c r="G28" s="122"/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str">
        <f>IF($C28="","",VLOOKUP($C28,#REF!,4,FALSE))</f>
        <v/>
      </c>
      <c r="W28" s="72" t="str">
        <f>IF($E28="","",VLOOKUP($E28,#REF!,4,FALSE))</f>
        <v/>
      </c>
      <c r="X28" s="18" t="e">
        <v>#N/A</v>
      </c>
      <c r="Y28" t="s">
        <v>1187</v>
      </c>
      <c r="Z28">
        <v>24931</v>
      </c>
      <c r="AA28" t="s">
        <v>888</v>
      </c>
      <c r="AB28" t="s">
        <v>689</v>
      </c>
      <c r="AC28">
        <v>61007</v>
      </c>
      <c r="AD28" t="s">
        <v>904</v>
      </c>
    </row>
    <row r="29" spans="1:30" s="69" customFormat="1" ht="18" customHeight="1">
      <c r="A29" s="62"/>
      <c r="B29" s="63">
        <v>16</v>
      </c>
      <c r="C29" s="125"/>
      <c r="D29" s="265"/>
      <c r="E29" s="125"/>
      <c r="F29" s="271"/>
      <c r="G29" s="122"/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str">
        <f>IF($C29="","",VLOOKUP($C29,#REF!,4,FALSE))</f>
        <v/>
      </c>
      <c r="W29" s="72" t="str">
        <f>IF($E29="","",VLOOKUP($E29,#REF!,4,FALSE))</f>
        <v/>
      </c>
      <c r="X29" s="18" t="e">
        <v>#N/A</v>
      </c>
      <c r="Y29" t="s">
        <v>1178</v>
      </c>
      <c r="Z29">
        <v>27696</v>
      </c>
      <c r="AA29" t="s">
        <v>879</v>
      </c>
      <c r="AB29" t="s">
        <v>678</v>
      </c>
      <c r="AC29">
        <v>60255</v>
      </c>
      <c r="AD29" t="s">
        <v>893</v>
      </c>
    </row>
    <row r="30" spans="1:30" s="69" customFormat="1" ht="18" customHeight="1">
      <c r="A30" s="62"/>
      <c r="B30" s="63">
        <v>17</v>
      </c>
      <c r="C30" s="120"/>
      <c r="D30" s="282"/>
      <c r="E30" s="160"/>
      <c r="F30" s="274"/>
      <c r="G30" s="169"/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str">
        <f>IF($C30="","",VLOOKUP($C30,#REF!,4,FALSE))</f>
        <v/>
      </c>
      <c r="W30" s="72" t="str">
        <f>IF($E30="","",VLOOKUP($E30,#REF!,4,FALSE))</f>
        <v/>
      </c>
      <c r="X30" s="18" t="s">
        <v>705</v>
      </c>
      <c r="Y30" t="s">
        <v>634</v>
      </c>
      <c r="Z30">
        <v>18834</v>
      </c>
      <c r="AA30" t="s">
        <v>891</v>
      </c>
      <c r="AB30"/>
      <c r="AC30"/>
      <c r="AD30"/>
    </row>
    <row r="31" spans="1:30" s="69" customFormat="1" ht="18" customHeight="1">
      <c r="A31" s="62"/>
      <c r="B31" s="63">
        <v>18</v>
      </c>
      <c r="C31" s="127"/>
      <c r="D31" s="277"/>
      <c r="E31" s="160"/>
      <c r="F31" s="283"/>
      <c r="G31" s="127"/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str">
        <f>IF($C31="","",VLOOKUP($C31,#REF!,4,FALSE))</f>
        <v/>
      </c>
      <c r="W31" s="72" t="str">
        <f>IF($E31="","",VLOOKUP($E31,#REF!,4,FALSE))</f>
        <v/>
      </c>
      <c r="X31" s="18" t="s">
        <v>704</v>
      </c>
      <c r="Y31" t="s">
        <v>1101</v>
      </c>
      <c r="Z31">
        <v>29308</v>
      </c>
      <c r="AA31" t="s">
        <v>727</v>
      </c>
      <c r="AB31" t="s">
        <v>650</v>
      </c>
      <c r="AC31">
        <v>59711</v>
      </c>
      <c r="AD31" t="s">
        <v>908</v>
      </c>
    </row>
    <row r="32" spans="1:30" s="69" customFormat="1" ht="18" customHeight="1">
      <c r="A32" s="62"/>
      <c r="B32" s="63">
        <v>19</v>
      </c>
      <c r="C32" s="125"/>
      <c r="D32" s="265"/>
      <c r="E32" s="125"/>
      <c r="F32" s="271"/>
      <c r="G32" s="122"/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str">
        <f>IF($C32="","",VLOOKUP($C32,#REF!,4,FALSE))</f>
        <v/>
      </c>
      <c r="W32" s="72" t="str">
        <f>IF($E32="","",VLOOKUP($E32,#REF!,4,FALSE))</f>
        <v/>
      </c>
      <c r="X32" s="18" t="s">
        <v>704</v>
      </c>
      <c r="Y32" t="s">
        <v>1178</v>
      </c>
      <c r="Z32">
        <v>27696</v>
      </c>
      <c r="AA32" t="s">
        <v>879</v>
      </c>
      <c r="AB32" t="s">
        <v>679</v>
      </c>
      <c r="AC32">
        <v>60923</v>
      </c>
      <c r="AD32" t="s">
        <v>909</v>
      </c>
    </row>
    <row r="33" spans="1:30" s="69" customFormat="1" ht="18" customHeight="1">
      <c r="A33" s="62"/>
      <c r="B33" s="63">
        <v>20</v>
      </c>
      <c r="C33" s="125"/>
      <c r="D33" s="265"/>
      <c r="E33" s="125"/>
      <c r="F33" s="271"/>
      <c r="G33" s="122"/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X33" s="18" t="e">
        <v>#N/A</v>
      </c>
      <c r="Y33" t="s">
        <v>1179</v>
      </c>
      <c r="Z33">
        <v>29499</v>
      </c>
      <c r="AA33" t="s">
        <v>880</v>
      </c>
      <c r="AB33" t="s">
        <v>690</v>
      </c>
      <c r="AC33">
        <v>60223</v>
      </c>
      <c r="AD33" t="s">
        <v>910</v>
      </c>
    </row>
    <row r="34" spans="1:30" s="69" customFormat="1" ht="18" customHeight="1">
      <c r="A34" s="62"/>
      <c r="B34" s="63">
        <v>21</v>
      </c>
      <c r="C34" s="125"/>
      <c r="D34" s="265"/>
      <c r="E34" s="125"/>
      <c r="F34" s="271"/>
      <c r="G34" s="122"/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X34" s="18" t="s">
        <v>408</v>
      </c>
      <c r="Y34" t="s">
        <v>1179</v>
      </c>
      <c r="Z34">
        <v>29499</v>
      </c>
      <c r="AA34" t="s">
        <v>880</v>
      </c>
      <c r="AB34" t="s">
        <v>688</v>
      </c>
      <c r="AC34">
        <v>61008</v>
      </c>
      <c r="AD34" t="s">
        <v>894</v>
      </c>
    </row>
    <row r="35" spans="1:30" s="69" customFormat="1" ht="18" customHeight="1">
      <c r="A35" s="62"/>
      <c r="B35" s="63">
        <v>22</v>
      </c>
      <c r="C35" s="125"/>
      <c r="D35" s="265"/>
      <c r="E35" s="125"/>
      <c r="F35" s="271"/>
      <c r="G35" s="122"/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X35" s="18" t="s">
        <v>408</v>
      </c>
      <c r="Y35" t="s">
        <v>1183</v>
      </c>
      <c r="Z35">
        <v>18386</v>
      </c>
      <c r="AA35" t="s">
        <v>884</v>
      </c>
      <c r="AB35"/>
      <c r="AC35"/>
      <c r="AD35"/>
    </row>
    <row r="36" spans="1:30" s="69" customFormat="1" ht="18" customHeight="1">
      <c r="A36" s="62"/>
      <c r="B36" s="63">
        <v>23</v>
      </c>
      <c r="C36" s="125"/>
      <c r="D36" s="265"/>
      <c r="E36" s="125"/>
      <c r="F36" s="271"/>
      <c r="G36" s="122"/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X36" s="18" t="s">
        <v>408</v>
      </c>
      <c r="Y36"/>
      <c r="Z36"/>
      <c r="AA36"/>
      <c r="AB36"/>
      <c r="AC36"/>
      <c r="AD36"/>
    </row>
    <row r="37" spans="1:30" s="69" customFormat="1" ht="18" customHeight="1">
      <c r="A37" s="62"/>
      <c r="B37" s="63">
        <v>24</v>
      </c>
      <c r="C37" s="125"/>
      <c r="D37" s="265"/>
      <c r="E37" s="125"/>
      <c r="F37" s="271"/>
      <c r="G37" s="122"/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X37" s="18" t="s">
        <v>408</v>
      </c>
      <c r="Y37"/>
      <c r="Z37"/>
      <c r="AA37"/>
      <c r="AB37"/>
      <c r="AC37"/>
      <c r="AD37"/>
    </row>
    <row r="38" spans="1:30" s="69" customFormat="1" ht="18" customHeight="1">
      <c r="A38" s="62"/>
      <c r="B38" s="63">
        <v>25</v>
      </c>
      <c r="C38" s="125"/>
      <c r="D38" s="265"/>
      <c r="E38" s="125"/>
      <c r="F38" s="271"/>
      <c r="G38" s="122"/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X38" s="18" t="s">
        <v>408</v>
      </c>
      <c r="Y38"/>
      <c r="Z38"/>
      <c r="AA38"/>
      <c r="AB38"/>
      <c r="AC38"/>
      <c r="AD38"/>
    </row>
    <row r="39" spans="1:30" s="69" customFormat="1" ht="18" customHeight="1">
      <c r="A39" s="62"/>
      <c r="B39" s="63">
        <v>26</v>
      </c>
      <c r="C39" s="125"/>
      <c r="D39" s="265"/>
      <c r="E39" s="125"/>
      <c r="F39" s="271"/>
      <c r="G39" s="122"/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X39" s="18" t="s">
        <v>408</v>
      </c>
      <c r="Y39"/>
      <c r="Z39"/>
      <c r="AA39"/>
      <c r="AB39"/>
      <c r="AC39"/>
      <c r="AD39"/>
    </row>
    <row r="40" spans="1:30" s="69" customFormat="1" ht="18" customHeight="1">
      <c r="A40" s="62"/>
      <c r="B40" s="63">
        <v>27</v>
      </c>
      <c r="C40" s="125"/>
      <c r="D40" s="265"/>
      <c r="E40" s="125"/>
      <c r="F40" s="271"/>
      <c r="G40" s="122"/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X40" s="18" t="s">
        <v>408</v>
      </c>
      <c r="Y40"/>
      <c r="Z40"/>
      <c r="AA40"/>
      <c r="AB40"/>
      <c r="AC40"/>
      <c r="AD40"/>
    </row>
    <row r="41" spans="1:30" s="69" customFormat="1" ht="18" customHeight="1">
      <c r="A41" s="62"/>
      <c r="B41" s="63">
        <v>28</v>
      </c>
      <c r="C41" s="125"/>
      <c r="D41" s="265"/>
      <c r="E41" s="125"/>
      <c r="F41" s="271"/>
      <c r="G41" s="122"/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X41" s="18" t="s">
        <v>408</v>
      </c>
      <c r="Y41"/>
      <c r="Z41"/>
      <c r="AA41"/>
      <c r="AB41"/>
      <c r="AC41"/>
      <c r="AD41"/>
    </row>
    <row r="42" spans="1:30" s="69" customFormat="1" ht="18" customHeight="1">
      <c r="A42" s="62"/>
      <c r="B42" s="63">
        <v>29</v>
      </c>
      <c r="C42" s="125"/>
      <c r="D42" s="265"/>
      <c r="E42" s="125"/>
      <c r="F42" s="271"/>
      <c r="G42" s="122"/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X42" s="18" t="s">
        <v>408</v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125"/>
      <c r="D43" s="265"/>
      <c r="E43" s="125"/>
      <c r="F43" s="271"/>
      <c r="G43" s="122"/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X43" s="18" t="s">
        <v>408</v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125"/>
      <c r="D44" s="265"/>
      <c r="E44" s="125"/>
      <c r="F44" s="271"/>
      <c r="G44" s="122"/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X44" s="18" t="s">
        <v>408</v>
      </c>
      <c r="Y44"/>
      <c r="Z44"/>
      <c r="AA44"/>
      <c r="AB44"/>
      <c r="AC44"/>
      <c r="AD44"/>
    </row>
    <row r="45" spans="1:30" s="69" customFormat="1" ht="18" customHeight="1">
      <c r="A45" s="62"/>
      <c r="B45" s="63">
        <v>32</v>
      </c>
      <c r="C45" s="125"/>
      <c r="D45" s="265"/>
      <c r="E45" s="125"/>
      <c r="F45" s="271"/>
      <c r="G45" s="122"/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X45" s="18" t="s">
        <v>408</v>
      </c>
      <c r="Y45"/>
      <c r="Z45"/>
      <c r="AA45"/>
      <c r="AB45"/>
      <c r="AC45"/>
      <c r="AD45"/>
    </row>
    <row r="46" spans="1:30" s="69" customFormat="1" ht="18" customHeight="1">
      <c r="A46" s="62"/>
      <c r="B46" s="63">
        <v>33</v>
      </c>
      <c r="C46" s="22"/>
      <c r="D46" s="266" t="s">
        <v>408</v>
      </c>
      <c r="E46" s="22"/>
      <c r="F46" s="276" t="s">
        <v>408</v>
      </c>
      <c r="G46" s="24"/>
      <c r="H46" s="23"/>
      <c r="I46" s="23"/>
      <c r="J46" s="64" t="str">
        <f t="shared" ref="J46:J73" si="4">IF(H46="","",H46+I46)</f>
        <v/>
      </c>
      <c r="K46" s="65"/>
      <c r="L46" s="65"/>
      <c r="M46" s="66" t="str">
        <f t="shared" ref="M46:M73" si="5">IF(L46="","",K46+L46)</f>
        <v/>
      </c>
      <c r="N46" s="23"/>
      <c r="O46" s="23"/>
      <c r="P46" s="64" t="str">
        <f t="shared" ref="P46:P73" si="6">IF(N46="","",N46+O46)</f>
        <v/>
      </c>
      <c r="Q46" s="65"/>
      <c r="R46" s="65"/>
      <c r="S46" s="66" t="str">
        <f t="shared" ref="S46:S73" si="7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X46" s="18" t="s">
        <v>408</v>
      </c>
      <c r="Y46"/>
      <c r="Z46"/>
      <c r="AA46"/>
      <c r="AB46"/>
      <c r="AC46"/>
      <c r="AD46"/>
    </row>
    <row r="47" spans="1:30" s="69" customFormat="1" ht="18" customHeight="1">
      <c r="A47" s="62"/>
      <c r="B47" s="63">
        <v>34</v>
      </c>
      <c r="C47" s="22"/>
      <c r="D47" s="266" t="s">
        <v>408</v>
      </c>
      <c r="E47" s="22"/>
      <c r="F47" s="276" t="s">
        <v>408</v>
      </c>
      <c r="G47" s="24"/>
      <c r="H47" s="23"/>
      <c r="I47" s="23"/>
      <c r="J47" s="64" t="str">
        <f t="shared" si="4"/>
        <v/>
      </c>
      <c r="K47" s="65"/>
      <c r="L47" s="65"/>
      <c r="M47" s="66" t="str">
        <f t="shared" si="5"/>
        <v/>
      </c>
      <c r="N47" s="23"/>
      <c r="O47" s="23"/>
      <c r="P47" s="64" t="str">
        <f t="shared" si="6"/>
        <v/>
      </c>
      <c r="Q47" s="65"/>
      <c r="R47" s="65"/>
      <c r="S47" s="66" t="str">
        <f t="shared" si="7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X47" s="18" t="s">
        <v>408</v>
      </c>
      <c r="Y47"/>
      <c r="Z47"/>
      <c r="AA47"/>
      <c r="AB47"/>
      <c r="AC47"/>
      <c r="AD47"/>
    </row>
    <row r="48" spans="1:30" s="69" customFormat="1" ht="18" customHeight="1">
      <c r="A48" s="62"/>
      <c r="B48" s="63">
        <v>35</v>
      </c>
      <c r="C48" s="22"/>
      <c r="D48" s="266" t="s">
        <v>408</v>
      </c>
      <c r="E48" s="22"/>
      <c r="F48" s="276" t="s">
        <v>408</v>
      </c>
      <c r="G48" s="24"/>
      <c r="H48" s="23"/>
      <c r="I48" s="23"/>
      <c r="J48" s="64" t="str">
        <f t="shared" si="4"/>
        <v/>
      </c>
      <c r="K48" s="65"/>
      <c r="L48" s="65"/>
      <c r="M48" s="66" t="str">
        <f t="shared" si="5"/>
        <v/>
      </c>
      <c r="N48" s="23"/>
      <c r="O48" s="23"/>
      <c r="P48" s="64" t="str">
        <f t="shared" si="6"/>
        <v/>
      </c>
      <c r="Q48" s="65"/>
      <c r="R48" s="65"/>
      <c r="S48" s="66" t="str">
        <f t="shared" si="7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X48" s="18" t="s">
        <v>408</v>
      </c>
      <c r="Y48"/>
      <c r="Z48"/>
      <c r="AA48"/>
      <c r="AB48"/>
      <c r="AC48"/>
      <c r="AD48"/>
    </row>
    <row r="49" spans="1:30" s="69" customFormat="1" ht="18" customHeight="1">
      <c r="A49" s="62"/>
      <c r="B49" s="63">
        <v>36</v>
      </c>
      <c r="C49" s="22"/>
      <c r="D49" s="266" t="s">
        <v>408</v>
      </c>
      <c r="E49" s="22"/>
      <c r="F49" s="276" t="s">
        <v>408</v>
      </c>
      <c r="G49" s="24"/>
      <c r="H49" s="23"/>
      <c r="I49" s="23"/>
      <c r="J49" s="64" t="str">
        <f t="shared" si="4"/>
        <v/>
      </c>
      <c r="K49" s="65"/>
      <c r="L49" s="65"/>
      <c r="M49" s="66" t="str">
        <f t="shared" si="5"/>
        <v/>
      </c>
      <c r="N49" s="23"/>
      <c r="O49" s="23"/>
      <c r="P49" s="64" t="str">
        <f t="shared" si="6"/>
        <v/>
      </c>
      <c r="Q49" s="65"/>
      <c r="R49" s="65"/>
      <c r="S49" s="66" t="str">
        <f t="shared" si="7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X49" s="18" t="s">
        <v>408</v>
      </c>
      <c r="Y49"/>
      <c r="Z49"/>
      <c r="AA49"/>
      <c r="AB49"/>
      <c r="AC49"/>
      <c r="AD49"/>
    </row>
    <row r="50" spans="1:30" s="69" customFormat="1" ht="18" customHeight="1">
      <c r="A50" s="62"/>
      <c r="B50" s="63">
        <v>37</v>
      </c>
      <c r="C50" s="22"/>
      <c r="D50" s="266" t="s">
        <v>408</v>
      </c>
      <c r="E50" s="22"/>
      <c r="F50" s="276" t="s">
        <v>408</v>
      </c>
      <c r="G50" s="24"/>
      <c r="H50" s="23"/>
      <c r="I50" s="23"/>
      <c r="J50" s="64" t="str">
        <f t="shared" si="4"/>
        <v/>
      </c>
      <c r="K50" s="65"/>
      <c r="L50" s="65"/>
      <c r="M50" s="66" t="str">
        <f t="shared" si="5"/>
        <v/>
      </c>
      <c r="N50" s="23"/>
      <c r="O50" s="23"/>
      <c r="P50" s="64" t="str">
        <f t="shared" si="6"/>
        <v/>
      </c>
      <c r="Q50" s="65"/>
      <c r="R50" s="65"/>
      <c r="S50" s="66" t="str">
        <f t="shared" si="7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X50" s="18" t="s">
        <v>408</v>
      </c>
      <c r="Y50"/>
      <c r="Z50"/>
      <c r="AA50"/>
      <c r="AB50"/>
      <c r="AC50"/>
      <c r="AD50"/>
    </row>
    <row r="51" spans="1:30" s="69" customFormat="1" ht="18" customHeight="1">
      <c r="A51" s="62"/>
      <c r="B51" s="63">
        <v>38</v>
      </c>
      <c r="C51" s="22"/>
      <c r="D51" s="266" t="s">
        <v>408</v>
      </c>
      <c r="E51" s="22"/>
      <c r="F51" s="276" t="s">
        <v>408</v>
      </c>
      <c r="G51" s="24"/>
      <c r="H51" s="23"/>
      <c r="I51" s="23"/>
      <c r="J51" s="64" t="str">
        <f t="shared" si="4"/>
        <v/>
      </c>
      <c r="K51" s="65"/>
      <c r="L51" s="65"/>
      <c r="M51" s="66" t="str">
        <f t="shared" si="5"/>
        <v/>
      </c>
      <c r="N51" s="23"/>
      <c r="O51" s="23"/>
      <c r="P51" s="64" t="str">
        <f t="shared" si="6"/>
        <v/>
      </c>
      <c r="Q51" s="65"/>
      <c r="R51" s="65"/>
      <c r="S51" s="66" t="str">
        <f t="shared" si="7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X51" s="18" t="s">
        <v>408</v>
      </c>
      <c r="Y51"/>
      <c r="Z51"/>
      <c r="AA51"/>
      <c r="AB51"/>
      <c r="AC51"/>
      <c r="AD51"/>
    </row>
    <row r="52" spans="1:30" s="69" customFormat="1" ht="18" customHeight="1">
      <c r="A52" s="62"/>
      <c r="B52" s="63">
        <v>39</v>
      </c>
      <c r="C52" s="22"/>
      <c r="D52" s="266" t="s">
        <v>408</v>
      </c>
      <c r="E52" s="22"/>
      <c r="F52" s="276" t="s">
        <v>408</v>
      </c>
      <c r="G52" s="24"/>
      <c r="H52" s="23"/>
      <c r="I52" s="23"/>
      <c r="J52" s="64" t="str">
        <f t="shared" si="4"/>
        <v/>
      </c>
      <c r="K52" s="65"/>
      <c r="L52" s="65"/>
      <c r="M52" s="66" t="str">
        <f t="shared" si="5"/>
        <v/>
      </c>
      <c r="N52" s="23"/>
      <c r="O52" s="23"/>
      <c r="P52" s="64" t="str">
        <f t="shared" si="6"/>
        <v/>
      </c>
      <c r="Q52" s="65"/>
      <c r="R52" s="65"/>
      <c r="S52" s="66" t="str">
        <f t="shared" si="7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X52" s="18" t="s">
        <v>408</v>
      </c>
      <c r="Y52"/>
      <c r="Z52"/>
      <c r="AA52"/>
      <c r="AB52"/>
      <c r="AC52"/>
      <c r="AD52"/>
    </row>
    <row r="53" spans="1:30" s="69" customFormat="1" ht="18" customHeight="1">
      <c r="A53" s="62"/>
      <c r="B53" s="63">
        <v>40</v>
      </c>
      <c r="C53" s="22"/>
      <c r="D53" s="266" t="s">
        <v>408</v>
      </c>
      <c r="E53" s="22"/>
      <c r="F53" s="276" t="s">
        <v>408</v>
      </c>
      <c r="G53" s="24"/>
      <c r="H53" s="23"/>
      <c r="I53" s="23"/>
      <c r="J53" s="64" t="str">
        <f t="shared" si="4"/>
        <v/>
      </c>
      <c r="K53" s="65"/>
      <c r="L53" s="65"/>
      <c r="M53" s="66" t="str">
        <f t="shared" si="5"/>
        <v/>
      </c>
      <c r="N53" s="23"/>
      <c r="O53" s="23"/>
      <c r="P53" s="64" t="str">
        <f t="shared" si="6"/>
        <v/>
      </c>
      <c r="Q53" s="65"/>
      <c r="R53" s="65"/>
      <c r="S53" s="66" t="str">
        <f t="shared" si="7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X53" s="18" t="s">
        <v>408</v>
      </c>
      <c r="Y53"/>
      <c r="Z53"/>
      <c r="AA53"/>
      <c r="AB53"/>
      <c r="AC53"/>
      <c r="AD53"/>
    </row>
    <row r="54" spans="1:30" s="69" customFormat="1" ht="18" customHeight="1">
      <c r="A54" s="62"/>
      <c r="B54" s="63">
        <v>41</v>
      </c>
      <c r="C54" s="22"/>
      <c r="D54" s="266" t="s">
        <v>408</v>
      </c>
      <c r="E54" s="22"/>
      <c r="F54" s="276" t="s">
        <v>408</v>
      </c>
      <c r="G54" s="24"/>
      <c r="H54" s="23"/>
      <c r="I54" s="23"/>
      <c r="J54" s="64" t="str">
        <f t="shared" si="4"/>
        <v/>
      </c>
      <c r="K54" s="65"/>
      <c r="L54" s="65"/>
      <c r="M54" s="66" t="str">
        <f t="shared" si="5"/>
        <v/>
      </c>
      <c r="N54" s="23"/>
      <c r="O54" s="23"/>
      <c r="P54" s="64" t="str">
        <f t="shared" si="6"/>
        <v/>
      </c>
      <c r="Q54" s="65"/>
      <c r="R54" s="65"/>
      <c r="S54" s="66" t="str">
        <f t="shared" si="7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X54" s="18" t="s">
        <v>408</v>
      </c>
      <c r="Y54"/>
      <c r="Z54"/>
      <c r="AA54"/>
      <c r="AB54"/>
      <c r="AC54"/>
      <c r="AD54"/>
    </row>
    <row r="55" spans="1:30" s="69" customFormat="1" ht="18" customHeight="1">
      <c r="A55" s="62"/>
      <c r="B55" s="63">
        <v>42</v>
      </c>
      <c r="C55" s="22"/>
      <c r="D55" s="266" t="s">
        <v>408</v>
      </c>
      <c r="E55" s="22"/>
      <c r="F55" s="276" t="s">
        <v>408</v>
      </c>
      <c r="G55" s="24"/>
      <c r="H55" s="23"/>
      <c r="I55" s="23"/>
      <c r="J55" s="64" t="str">
        <f t="shared" si="4"/>
        <v/>
      </c>
      <c r="K55" s="65"/>
      <c r="L55" s="65"/>
      <c r="M55" s="66" t="str">
        <f t="shared" si="5"/>
        <v/>
      </c>
      <c r="N55" s="23"/>
      <c r="O55" s="23"/>
      <c r="P55" s="64" t="str">
        <f t="shared" si="6"/>
        <v/>
      </c>
      <c r="Q55" s="65"/>
      <c r="R55" s="65"/>
      <c r="S55" s="66" t="str">
        <f t="shared" si="7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X55" s="18" t="s">
        <v>408</v>
      </c>
      <c r="Y55"/>
      <c r="Z55"/>
      <c r="AA55"/>
      <c r="AB55"/>
      <c r="AC55"/>
      <c r="AD55"/>
    </row>
    <row r="56" spans="1:30" s="69" customFormat="1" ht="18" customHeight="1">
      <c r="A56" s="62"/>
      <c r="B56" s="63">
        <v>43</v>
      </c>
      <c r="C56" s="22"/>
      <c r="D56" s="266" t="s">
        <v>408</v>
      </c>
      <c r="E56" s="22"/>
      <c r="F56" s="276" t="s">
        <v>408</v>
      </c>
      <c r="G56" s="24"/>
      <c r="H56" s="23"/>
      <c r="I56" s="23"/>
      <c r="J56" s="64" t="str">
        <f t="shared" si="4"/>
        <v/>
      </c>
      <c r="K56" s="65"/>
      <c r="L56" s="65"/>
      <c r="M56" s="66" t="str">
        <f t="shared" si="5"/>
        <v/>
      </c>
      <c r="N56" s="23"/>
      <c r="O56" s="23"/>
      <c r="P56" s="64" t="str">
        <f t="shared" si="6"/>
        <v/>
      </c>
      <c r="Q56" s="65"/>
      <c r="R56" s="65"/>
      <c r="S56" s="66" t="str">
        <f t="shared" si="7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X56" s="18" t="s">
        <v>408</v>
      </c>
      <c r="Y56"/>
      <c r="Z56"/>
      <c r="AA56"/>
      <c r="AB56"/>
      <c r="AC56"/>
      <c r="AD56"/>
    </row>
    <row r="57" spans="1:30" s="69" customFormat="1" ht="18" customHeight="1">
      <c r="A57" s="62"/>
      <c r="B57" s="63">
        <v>44</v>
      </c>
      <c r="C57" s="22"/>
      <c r="D57" s="266" t="s">
        <v>408</v>
      </c>
      <c r="E57" s="22"/>
      <c r="F57" s="276" t="s">
        <v>408</v>
      </c>
      <c r="G57" s="24"/>
      <c r="H57" s="23"/>
      <c r="I57" s="23"/>
      <c r="J57" s="64" t="str">
        <f t="shared" si="4"/>
        <v/>
      </c>
      <c r="K57" s="65"/>
      <c r="L57" s="65"/>
      <c r="M57" s="66" t="str">
        <f t="shared" si="5"/>
        <v/>
      </c>
      <c r="N57" s="23"/>
      <c r="O57" s="23"/>
      <c r="P57" s="64" t="str">
        <f t="shared" si="6"/>
        <v/>
      </c>
      <c r="Q57" s="65"/>
      <c r="R57" s="65"/>
      <c r="S57" s="66" t="str">
        <f t="shared" si="7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X57" s="18" t="s">
        <v>408</v>
      </c>
      <c r="Y57"/>
      <c r="Z57"/>
      <c r="AA57"/>
      <c r="AB57"/>
      <c r="AC57"/>
      <c r="AD57"/>
    </row>
    <row r="58" spans="1:30" s="69" customFormat="1" ht="18" customHeight="1">
      <c r="A58" s="62"/>
      <c r="B58" s="63">
        <v>45</v>
      </c>
      <c r="C58" s="22"/>
      <c r="D58" s="266" t="s">
        <v>408</v>
      </c>
      <c r="E58" s="22"/>
      <c r="F58" s="276" t="s">
        <v>408</v>
      </c>
      <c r="G58" s="24"/>
      <c r="H58" s="23"/>
      <c r="I58" s="23"/>
      <c r="J58" s="64" t="str">
        <f t="shared" si="4"/>
        <v/>
      </c>
      <c r="K58" s="65"/>
      <c r="L58" s="65"/>
      <c r="M58" s="66" t="str">
        <f t="shared" si="5"/>
        <v/>
      </c>
      <c r="N58" s="23"/>
      <c r="O58" s="23"/>
      <c r="P58" s="64" t="str">
        <f t="shared" si="6"/>
        <v/>
      </c>
      <c r="Q58" s="65"/>
      <c r="R58" s="65"/>
      <c r="S58" s="66" t="str">
        <f t="shared" si="7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X58" s="18" t="s">
        <v>408</v>
      </c>
      <c r="Y58"/>
      <c r="Z58"/>
      <c r="AA58"/>
      <c r="AB58"/>
      <c r="AC58"/>
      <c r="AD58"/>
    </row>
    <row r="59" spans="1:30" s="69" customFormat="1" ht="18" customHeight="1">
      <c r="A59" s="62"/>
      <c r="B59" s="63">
        <v>46</v>
      </c>
      <c r="C59" s="22"/>
      <c r="D59" s="266" t="s">
        <v>408</v>
      </c>
      <c r="E59" s="22"/>
      <c r="F59" s="276" t="s">
        <v>408</v>
      </c>
      <c r="G59" s="24"/>
      <c r="H59" s="23"/>
      <c r="I59" s="23"/>
      <c r="J59" s="64" t="str">
        <f t="shared" si="4"/>
        <v/>
      </c>
      <c r="K59" s="65"/>
      <c r="L59" s="65"/>
      <c r="M59" s="66" t="str">
        <f t="shared" si="5"/>
        <v/>
      </c>
      <c r="N59" s="23"/>
      <c r="O59" s="23"/>
      <c r="P59" s="64" t="str">
        <f t="shared" si="6"/>
        <v/>
      </c>
      <c r="Q59" s="65"/>
      <c r="R59" s="65"/>
      <c r="S59" s="66" t="str">
        <f t="shared" si="7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X59" s="18" t="s">
        <v>408</v>
      </c>
      <c r="Y59"/>
      <c r="Z59"/>
      <c r="AA59"/>
      <c r="AB59"/>
      <c r="AC59"/>
      <c r="AD59"/>
    </row>
    <row r="60" spans="1:30" s="69" customFormat="1" ht="18" customHeight="1">
      <c r="A60" s="62"/>
      <c r="B60" s="63">
        <v>47</v>
      </c>
      <c r="C60" s="22"/>
      <c r="D60" s="266" t="s">
        <v>408</v>
      </c>
      <c r="E60" s="22"/>
      <c r="F60" s="276" t="s">
        <v>408</v>
      </c>
      <c r="G60" s="24"/>
      <c r="H60" s="23"/>
      <c r="I60" s="23"/>
      <c r="J60" s="64" t="str">
        <f t="shared" si="4"/>
        <v/>
      </c>
      <c r="K60" s="65"/>
      <c r="L60" s="65"/>
      <c r="M60" s="66" t="str">
        <f t="shared" si="5"/>
        <v/>
      </c>
      <c r="N60" s="23"/>
      <c r="O60" s="23"/>
      <c r="P60" s="64" t="str">
        <f t="shared" si="6"/>
        <v/>
      </c>
      <c r="Q60" s="65"/>
      <c r="R60" s="65"/>
      <c r="S60" s="66" t="str">
        <f t="shared" si="7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X60" s="18" t="s">
        <v>408</v>
      </c>
      <c r="Y60"/>
      <c r="Z60"/>
      <c r="AA60"/>
      <c r="AB60"/>
      <c r="AC60"/>
      <c r="AD60"/>
    </row>
    <row r="61" spans="1:30" s="69" customFormat="1" ht="18" customHeight="1">
      <c r="A61" s="62"/>
      <c r="B61" s="63">
        <v>48</v>
      </c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X61" s="18" t="s">
        <v>408</v>
      </c>
      <c r="Y61"/>
      <c r="Z61"/>
      <c r="AA61"/>
      <c r="AB61"/>
      <c r="AC61"/>
      <c r="AD61"/>
    </row>
    <row r="62" spans="1:30" s="69" customFormat="1" ht="18" customHeight="1">
      <c r="A62" s="62"/>
      <c r="B62" s="63">
        <v>49</v>
      </c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X62" s="18" t="s">
        <v>408</v>
      </c>
      <c r="Y62"/>
      <c r="Z62"/>
      <c r="AA62"/>
      <c r="AB62"/>
      <c r="AC62"/>
      <c r="AD62"/>
    </row>
    <row r="63" spans="1:30" s="69" customFormat="1" ht="18" customHeight="1">
      <c r="A63" s="62"/>
      <c r="B63" s="63">
        <v>50</v>
      </c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X63" s="18" t="s">
        <v>408</v>
      </c>
      <c r="Y63"/>
      <c r="Z63"/>
      <c r="AA63"/>
      <c r="AB63"/>
      <c r="AC63"/>
      <c r="AD63"/>
    </row>
    <row r="64" spans="1:30" s="69" customFormat="1" ht="18" customHeight="1">
      <c r="A64" s="62"/>
      <c r="B64" s="63">
        <v>51</v>
      </c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X64" s="18" t="s">
        <v>408</v>
      </c>
      <c r="Y64"/>
      <c r="Z64"/>
      <c r="AA64"/>
      <c r="AB64"/>
      <c r="AC64"/>
      <c r="AD64"/>
    </row>
    <row r="65" spans="1:30" s="69" customFormat="1" ht="18" customHeight="1">
      <c r="A65" s="62"/>
      <c r="B65" s="63">
        <v>52</v>
      </c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X65" s="18" t="s">
        <v>408</v>
      </c>
      <c r="Y65"/>
      <c r="Z65"/>
      <c r="AA65"/>
      <c r="AB65"/>
      <c r="AC65"/>
      <c r="AD65"/>
    </row>
    <row r="66" spans="1:30" s="69" customFormat="1" ht="18" customHeight="1">
      <c r="A66" s="62"/>
      <c r="B66" s="63">
        <v>53</v>
      </c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X66" s="18" t="s">
        <v>408</v>
      </c>
      <c r="Y66"/>
      <c r="Z66"/>
      <c r="AA66"/>
      <c r="AB66"/>
      <c r="AC66"/>
      <c r="AD66"/>
    </row>
    <row r="67" spans="1:30" s="69" customFormat="1" ht="18" customHeight="1">
      <c r="A67" s="62"/>
      <c r="B67" s="63">
        <v>54</v>
      </c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X67" s="18" t="s">
        <v>408</v>
      </c>
      <c r="Y67"/>
      <c r="Z67"/>
      <c r="AA67"/>
      <c r="AB67"/>
      <c r="AC67"/>
      <c r="AD67"/>
    </row>
    <row r="68" spans="1:30" s="69" customFormat="1" ht="18" customHeight="1">
      <c r="A68" s="62"/>
      <c r="B68" s="63">
        <v>55</v>
      </c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X68" s="18" t="s">
        <v>408</v>
      </c>
      <c r="Y68"/>
      <c r="Z68"/>
      <c r="AA68"/>
      <c r="AB68"/>
      <c r="AC68"/>
      <c r="AD68"/>
    </row>
    <row r="69" spans="1:30" s="69" customFormat="1" ht="18" customHeight="1">
      <c r="A69" s="62"/>
      <c r="B69" s="63">
        <v>56</v>
      </c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X69" s="18" t="s">
        <v>408</v>
      </c>
      <c r="Y69"/>
      <c r="Z69"/>
      <c r="AA69"/>
      <c r="AB69"/>
      <c r="AC69"/>
      <c r="AD69"/>
    </row>
    <row r="70" spans="1:30" s="69" customFormat="1" ht="18" customHeight="1">
      <c r="A70" s="62"/>
      <c r="B70" s="63">
        <v>57</v>
      </c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X70" s="18" t="s">
        <v>408</v>
      </c>
      <c r="Y70"/>
      <c r="Z70"/>
      <c r="AA70"/>
      <c r="AB70"/>
      <c r="AC70"/>
      <c r="AD70"/>
    </row>
    <row r="71" spans="1:30" s="69" customFormat="1" ht="18" customHeight="1">
      <c r="A71" s="62"/>
      <c r="B71" s="63">
        <v>58</v>
      </c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X71" s="18" t="s">
        <v>408</v>
      </c>
      <c r="Y71"/>
      <c r="Z71"/>
      <c r="AA71"/>
      <c r="AB71"/>
      <c r="AC71"/>
      <c r="AD71"/>
    </row>
    <row r="72" spans="1:30" s="69" customFormat="1" ht="18" customHeight="1">
      <c r="A72" s="62"/>
      <c r="B72" s="63">
        <v>59</v>
      </c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X72" s="18" t="s">
        <v>408</v>
      </c>
      <c r="Y72"/>
      <c r="Z72"/>
      <c r="AA72"/>
      <c r="AB72"/>
      <c r="AC72"/>
      <c r="AD72"/>
    </row>
    <row r="73" spans="1:30" s="69" customFormat="1" ht="18" customHeight="1">
      <c r="A73" s="62"/>
      <c r="B73" s="63">
        <v>60</v>
      </c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X73" s="18" t="s">
        <v>408</v>
      </c>
      <c r="Y73"/>
      <c r="Z73"/>
      <c r="AA73"/>
      <c r="AB73"/>
      <c r="AC73"/>
      <c r="AD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D13" xr:uid="{2165EC7E-AB70-4AA1-96D6-F0EC0C733543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AD25">
    <sortCondition ref="B14:B25"/>
  </sortState>
  <phoneticPr fontId="6"/>
  <conditionalFormatting sqref="V14:V73">
    <cfRule type="cellIs" dxfId="31" priority="7" stopIfTrue="1" operator="notBetween">
      <formula>"A"</formula>
      <formula>"Ｂ"</formula>
    </cfRule>
  </conditionalFormatting>
  <conditionalFormatting sqref="W14:W73">
    <cfRule type="cellIs" dxfId="30" priority="6" stopIfTrue="1" operator="between">
      <formula>"-"</formula>
      <formula>"申請中"</formula>
    </cfRule>
  </conditionalFormatting>
  <conditionalFormatting sqref="X14:X73">
    <cfRule type="cellIs" dxfId="29" priority="9" stopIfTrue="1" operator="notBetween">
      <formula>"A"</formula>
      <formula>"Ｂ"</formula>
    </cfRule>
  </conditionalFormatting>
  <conditionalFormatting sqref="Y14:Z73">
    <cfRule type="expression" dxfId="28" priority="5">
      <formula>Y14&lt;&gt;C14</formula>
    </cfRule>
  </conditionalFormatting>
  <conditionalFormatting sqref="AB14:AC73">
    <cfRule type="expression" dxfId="27" priority="4">
      <formula>AB14&lt;&gt;E14</formula>
    </cfRule>
  </conditionalFormatting>
  <conditionalFormatting sqref="E14:E29">
    <cfRule type="duplicateValues" dxfId="26" priority="3"/>
  </conditionalFormatting>
  <conditionalFormatting sqref="E14:E73">
    <cfRule type="duplicateValues" dxfId="25" priority="2"/>
  </conditionalFormatting>
  <conditionalFormatting sqref="C14:C73">
    <cfRule type="duplicateValues" dxfId="24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JEFInfo">
                <anchor moveWithCells="1" sizeWithCells="1">
                  <from>
                    <xdr:col>26</xdr:col>
                    <xdr:colOff>297180</xdr:colOff>
                    <xdr:row>4</xdr:row>
                    <xdr:rowOff>0</xdr:rowOff>
                  </from>
                  <to>
                    <xdr:col>29</xdr:col>
                    <xdr:colOff>480060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6">
    <tabColor rgb="FFFFC000"/>
  </sheetPr>
  <dimension ref="A1:AD223"/>
  <sheetViews>
    <sheetView zoomScale="98" zoomScaleNormal="98" workbookViewId="0">
      <selection activeCell="E25" sqref="E25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26</v>
      </c>
      <c r="D4" s="26" t="s">
        <v>7</v>
      </c>
      <c r="E4" s="27" t="s">
        <v>8</v>
      </c>
      <c r="F4" s="268" t="s">
        <v>598</v>
      </c>
      <c r="G4" s="31"/>
      <c r="H4" s="74"/>
      <c r="J4" s="27" t="s">
        <v>9</v>
      </c>
      <c r="K4" s="36" t="s">
        <v>602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>
        <v>10</v>
      </c>
      <c r="E5" s="27" t="s">
        <v>12</v>
      </c>
      <c r="F5" s="30" t="s">
        <v>1316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V11" s="26">
        <f>COUNTA(C15:C73)</f>
        <v>8</v>
      </c>
      <c r="W11" s="26">
        <f>COUNTA(E15:E73)</f>
        <v>8</v>
      </c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128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/>
      <c r="B14" s="63">
        <v>1</v>
      </c>
      <c r="C14" s="125" t="s">
        <v>1365</v>
      </c>
      <c r="D14" s="265">
        <v>14718</v>
      </c>
      <c r="E14" s="125" t="s">
        <v>1368</v>
      </c>
      <c r="F14" s="271">
        <v>60418</v>
      </c>
      <c r="G14" s="122" t="s">
        <v>1367</v>
      </c>
      <c r="H14" s="23"/>
      <c r="I14" s="23"/>
      <c r="J14" s="64" t="str">
        <f t="shared" ref="J14:J45" si="0">IF(H14="","",H14+I14)</f>
        <v/>
      </c>
      <c r="K14" s="65"/>
      <c r="L14" s="65"/>
      <c r="M14" s="66" t="str">
        <f t="shared" ref="M14:M45" si="1">IF(L14="","",K14+L14)</f>
        <v/>
      </c>
      <c r="N14" s="23"/>
      <c r="O14" s="23"/>
      <c r="P14" s="64" t="str">
        <f t="shared" ref="P14:P45" si="2">IF(N14="","",N14+O14)</f>
        <v/>
      </c>
      <c r="Q14" s="65"/>
      <c r="R14" s="65"/>
      <c r="S14" s="66" t="str">
        <f t="shared" ref="S14:S45" si="3">IF(R14="","",Q14+R14)</f>
        <v/>
      </c>
      <c r="T14" s="67"/>
      <c r="U14" s="68"/>
      <c r="V14" s="18" t="e">
        <f>IF($C15="","",VLOOKUP($C15,#REF!,4,FALSE))</f>
        <v>#REF!</v>
      </c>
      <c r="W14" s="72" t="e">
        <f>IF($E15="","",VLOOKUP($E15,#REF!,4,FALSE))</f>
        <v>#REF!</v>
      </c>
      <c r="Y14" t="s">
        <v>1192</v>
      </c>
      <c r="Z14">
        <v>28000</v>
      </c>
      <c r="AA14" t="s">
        <v>913</v>
      </c>
      <c r="AB14" t="s">
        <v>683</v>
      </c>
      <c r="AC14">
        <v>59567</v>
      </c>
      <c r="AD14" t="s">
        <v>999</v>
      </c>
    </row>
    <row r="15" spans="1:30" s="69" customFormat="1" ht="18" customHeight="1">
      <c r="A15" s="62"/>
      <c r="B15" s="63">
        <v>2</v>
      </c>
      <c r="C15" s="125" t="s">
        <v>1475</v>
      </c>
      <c r="D15" s="265">
        <v>31292</v>
      </c>
      <c r="E15" s="125" t="s">
        <v>1496</v>
      </c>
      <c r="F15" s="271">
        <v>60391</v>
      </c>
      <c r="G15" s="122" t="s">
        <v>1477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IF($C16="","",VLOOKUP($C16,#REF!,4,FALSE))</f>
        <v>#REF!</v>
      </c>
      <c r="W15" s="72" t="e">
        <f>IF($E16="","",VLOOKUP($E16,#REF!,4,FALSE))</f>
        <v>#REF!</v>
      </c>
      <c r="Y15" t="s">
        <v>1269</v>
      </c>
      <c r="Z15">
        <v>24357</v>
      </c>
      <c r="AA15" t="s">
        <v>773</v>
      </c>
      <c r="AB15" t="s">
        <v>680</v>
      </c>
      <c r="AC15">
        <v>59568</v>
      </c>
      <c r="AD15" t="s">
        <v>1000</v>
      </c>
    </row>
    <row r="16" spans="1:30" s="69" customFormat="1" ht="18" customHeight="1">
      <c r="A16" s="62"/>
      <c r="B16" s="63">
        <v>3</v>
      </c>
      <c r="C16" s="207" t="s">
        <v>1497</v>
      </c>
      <c r="D16" s="207">
        <v>30301</v>
      </c>
      <c r="E16" s="207" t="s">
        <v>1319</v>
      </c>
      <c r="F16" s="207">
        <v>61511</v>
      </c>
      <c r="G16" s="207" t="s">
        <v>1318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IF($C17="","",VLOOKUP($C17,#REF!,4,FALSE))</f>
        <v>#REF!</v>
      </c>
      <c r="W16" s="72" t="e">
        <f>IF($E17="","",VLOOKUP($E17,#REF!,4,FALSE))</f>
        <v>#REF!</v>
      </c>
      <c r="Y16" t="s">
        <v>1183</v>
      </c>
      <c r="Z16">
        <v>18386</v>
      </c>
      <c r="AA16" t="s">
        <v>884</v>
      </c>
      <c r="AB16" t="s">
        <v>1270</v>
      </c>
      <c r="AC16">
        <v>60264</v>
      </c>
      <c r="AD16"/>
    </row>
    <row r="17" spans="1:30" s="69" customFormat="1" ht="18" customHeight="1">
      <c r="A17" s="62"/>
      <c r="B17" s="63">
        <v>4</v>
      </c>
      <c r="C17" s="125" t="s">
        <v>1415</v>
      </c>
      <c r="D17" s="265">
        <v>12188</v>
      </c>
      <c r="E17" s="125" t="s">
        <v>1416</v>
      </c>
      <c r="F17" s="271">
        <v>60248</v>
      </c>
      <c r="G17" s="122" t="s">
        <v>1417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IF($C18="","",VLOOKUP($C18,#REF!,4,FALSE))</f>
        <v>#REF!</v>
      </c>
      <c r="W17" s="72" t="e">
        <f>IF($E18="","",VLOOKUP($E18,#REF!,4,FALSE))</f>
        <v>#REF!</v>
      </c>
      <c r="Y17" t="s">
        <v>1102</v>
      </c>
      <c r="Z17">
        <v>6082</v>
      </c>
      <c r="AA17" t="s">
        <v>728</v>
      </c>
      <c r="AB17" t="s">
        <v>651</v>
      </c>
      <c r="AC17">
        <v>59898</v>
      </c>
      <c r="AD17" t="s">
        <v>994</v>
      </c>
    </row>
    <row r="18" spans="1:30" s="69" customFormat="1" ht="18" customHeight="1">
      <c r="A18" s="62"/>
      <c r="B18" s="63">
        <v>5</v>
      </c>
      <c r="C18" s="125" t="s">
        <v>1183</v>
      </c>
      <c r="D18" s="265">
        <v>18386</v>
      </c>
      <c r="E18" s="125" t="s">
        <v>1383</v>
      </c>
      <c r="F18" s="271">
        <v>60264</v>
      </c>
      <c r="G18" s="122" t="s">
        <v>1384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IF($C19="","",VLOOKUP($C19,#REF!,4,FALSE))</f>
        <v>#REF!</v>
      </c>
      <c r="W18" s="72" t="e">
        <f>IF($E19="","",VLOOKUP($E19,#REF!,4,FALSE))</f>
        <v>#REF!</v>
      </c>
      <c r="Y18"/>
      <c r="Z18"/>
      <c r="AA18"/>
      <c r="AB18"/>
      <c r="AC18"/>
      <c r="AD18"/>
    </row>
    <row r="19" spans="1:30" s="69" customFormat="1" ht="18" customHeight="1">
      <c r="A19" s="62"/>
      <c r="B19" s="63">
        <v>6</v>
      </c>
      <c r="C19" s="120" t="s">
        <v>1199</v>
      </c>
      <c r="D19" s="278">
        <v>7270</v>
      </c>
      <c r="E19" s="148" t="s">
        <v>1398</v>
      </c>
      <c r="F19" s="282">
        <v>62036</v>
      </c>
      <c r="G19" s="120" t="s">
        <v>1498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IF($C20="","",VLOOKUP($C20,#REF!,4,FALSE))</f>
        <v>#REF!</v>
      </c>
      <c r="W19" s="72" t="e">
        <f>IF($E20="","",VLOOKUP($E20,#REF!,4,FALSE))</f>
        <v>#REF!</v>
      </c>
      <c r="Y19"/>
      <c r="Z19"/>
      <c r="AA19"/>
      <c r="AB19"/>
      <c r="AC19"/>
      <c r="AD19"/>
    </row>
    <row r="20" spans="1:30" s="69" customFormat="1" ht="18" customHeight="1">
      <c r="A20" s="62"/>
      <c r="B20" s="63">
        <v>7</v>
      </c>
      <c r="C20" s="120" t="s">
        <v>664</v>
      </c>
      <c r="D20" s="278">
        <v>1384</v>
      </c>
      <c r="E20" s="148" t="s">
        <v>1341</v>
      </c>
      <c r="F20" s="282">
        <v>61343</v>
      </c>
      <c r="G20" s="120" t="s">
        <v>1342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IF($C21="","",VLOOKUP($C21,#REF!,4,FALSE))</f>
        <v>#REF!</v>
      </c>
      <c r="W20" s="72" t="e">
        <f>IF($E21="","",VLOOKUP($E21,#REF!,4,FALSE))</f>
        <v>#REF!</v>
      </c>
      <c r="Y20" t="s">
        <v>1201</v>
      </c>
      <c r="Z20">
        <v>30587</v>
      </c>
      <c r="AA20" t="s">
        <v>923</v>
      </c>
      <c r="AB20" t="s">
        <v>681</v>
      </c>
      <c r="AC20">
        <v>58649</v>
      </c>
      <c r="AD20" t="s">
        <v>1001</v>
      </c>
    </row>
    <row r="21" spans="1:30" s="69" customFormat="1" ht="18" customHeight="1">
      <c r="A21" s="62"/>
      <c r="B21" s="63">
        <v>8</v>
      </c>
      <c r="C21" s="120" t="s">
        <v>1131</v>
      </c>
      <c r="D21" s="278">
        <v>28066</v>
      </c>
      <c r="E21" s="148" t="s">
        <v>1345</v>
      </c>
      <c r="F21" s="282">
        <v>59979</v>
      </c>
      <c r="G21" s="120" t="s">
        <v>1342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IF($C22="","",VLOOKUP($C22,#REF!,4,FALSE))</f>
        <v>#REF!</v>
      </c>
      <c r="W21" s="72" t="e">
        <f>IF($E22="","",VLOOKUP($E22,#REF!,4,FALSE))</f>
        <v>#REF!</v>
      </c>
      <c r="Y21" t="s">
        <v>1188</v>
      </c>
      <c r="Z21">
        <v>22328</v>
      </c>
      <c r="AA21" t="s">
        <v>889</v>
      </c>
      <c r="AB21" t="s">
        <v>687</v>
      </c>
      <c r="AC21">
        <v>59502</v>
      </c>
      <c r="AD21" t="s">
        <v>985</v>
      </c>
    </row>
    <row r="22" spans="1:30" s="69" customFormat="1" ht="18" customHeight="1">
      <c r="A22" s="62"/>
      <c r="B22" s="63">
        <v>9</v>
      </c>
      <c r="C22" s="125" t="s">
        <v>1365</v>
      </c>
      <c r="D22" s="265">
        <v>14718</v>
      </c>
      <c r="E22" s="125" t="s">
        <v>1366</v>
      </c>
      <c r="F22" s="271">
        <v>60096</v>
      </c>
      <c r="G22" s="122" t="s">
        <v>1367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str">
        <f>IF($C23="","",VLOOKUP($C23,#REF!,4,FALSE))</f>
        <v/>
      </c>
      <c r="W22" s="72" t="str">
        <f>IF($E23="","",VLOOKUP($E23,#REF!,4,FALSE))</f>
        <v/>
      </c>
      <c r="Y22" t="s">
        <v>1197</v>
      </c>
      <c r="Z22">
        <v>26776</v>
      </c>
      <c r="AA22" t="s">
        <v>919</v>
      </c>
      <c r="AB22" t="s">
        <v>1273</v>
      </c>
      <c r="AC22">
        <v>60222</v>
      </c>
      <c r="AD22"/>
    </row>
    <row r="23" spans="1:30" s="69" customFormat="1" ht="18" customHeight="1">
      <c r="A23" s="62"/>
      <c r="B23" s="63">
        <v>10</v>
      </c>
      <c r="C23" s="120"/>
      <c r="D23" s="278"/>
      <c r="E23" s="148"/>
      <c r="F23" s="271"/>
      <c r="G23" s="120"/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str">
        <f>IF($C24="","",VLOOKUP($C24,#REF!,4,FALSE))</f>
        <v/>
      </c>
      <c r="W23" s="72" t="str">
        <f>IF($E24="","",VLOOKUP($E24,#REF!,4,FALSE))</f>
        <v/>
      </c>
      <c r="Y23" t="s">
        <v>1191</v>
      </c>
      <c r="Z23">
        <v>22560</v>
      </c>
      <c r="AA23" t="s">
        <v>912</v>
      </c>
      <c r="AB23" t="s">
        <v>692</v>
      </c>
      <c r="AC23">
        <v>59757</v>
      </c>
      <c r="AD23" t="s">
        <v>983</v>
      </c>
    </row>
    <row r="24" spans="1:30" s="69" customFormat="1" ht="18" customHeight="1">
      <c r="A24" s="62"/>
      <c r="B24" s="63">
        <v>11</v>
      </c>
      <c r="C24" s="125"/>
      <c r="D24" s="265"/>
      <c r="E24" s="125"/>
      <c r="F24" s="271"/>
      <c r="G24" s="122"/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str">
        <f>IF($C25="","",VLOOKUP($C25,#REF!,4,FALSE))</f>
        <v/>
      </c>
      <c r="W24" s="72" t="str">
        <f>IF($E25="","",VLOOKUP($E25,#REF!,4,FALSE))</f>
        <v/>
      </c>
      <c r="Y24" t="s">
        <v>1200</v>
      </c>
      <c r="Z24">
        <v>10571</v>
      </c>
      <c r="AA24" t="s">
        <v>922</v>
      </c>
      <c r="AB24" t="s">
        <v>643</v>
      </c>
      <c r="AC24">
        <v>57819</v>
      </c>
      <c r="AD24" t="s">
        <v>996</v>
      </c>
    </row>
    <row r="25" spans="1:30" s="69" customFormat="1" ht="18" customHeight="1">
      <c r="A25" s="62"/>
      <c r="B25" s="63">
        <v>12</v>
      </c>
      <c r="C25" s="125"/>
      <c r="D25" s="265"/>
      <c r="E25" s="125"/>
      <c r="F25" s="271"/>
      <c r="G25" s="122"/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str">
        <f>IF($C26="","",VLOOKUP($C26,#REF!,4,FALSE))</f>
        <v/>
      </c>
      <c r="W25" s="72" t="str">
        <f>IF($E26="","",VLOOKUP($E26,#REF!,4,FALSE))</f>
        <v/>
      </c>
      <c r="Y25" t="s">
        <v>675</v>
      </c>
      <c r="Z25">
        <v>10562</v>
      </c>
      <c r="AA25" t="s">
        <v>774</v>
      </c>
      <c r="AB25" t="s">
        <v>674</v>
      </c>
      <c r="AC25">
        <v>60501</v>
      </c>
      <c r="AD25" t="s">
        <v>988</v>
      </c>
    </row>
    <row r="26" spans="1:30" s="69" customFormat="1" ht="18" customHeight="1">
      <c r="A26" s="62"/>
      <c r="B26" s="63">
        <v>13</v>
      </c>
      <c r="C26" s="125"/>
      <c r="D26" s="265"/>
      <c r="E26" s="125"/>
      <c r="F26" s="271"/>
      <c r="G26" s="122"/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str">
        <f>IF($C27="","",VLOOKUP($C27,#REF!,4,FALSE))</f>
        <v/>
      </c>
      <c r="W26" s="72" t="str">
        <f>IF($E27="","",VLOOKUP($E27,#REF!,4,FALSE))</f>
        <v/>
      </c>
      <c r="Y26" t="s">
        <v>665</v>
      </c>
      <c r="Z26">
        <v>26056</v>
      </c>
      <c r="AA26" t="s">
        <v>916</v>
      </c>
      <c r="AB26" t="s">
        <v>666</v>
      </c>
      <c r="AC26">
        <v>56454</v>
      </c>
      <c r="AD26" t="s">
        <v>989</v>
      </c>
    </row>
    <row r="27" spans="1:30" s="69" customFormat="1" ht="18" customHeight="1">
      <c r="A27" s="62"/>
      <c r="B27" s="63">
        <v>14</v>
      </c>
      <c r="C27" s="120"/>
      <c r="D27" s="278"/>
      <c r="E27" s="148"/>
      <c r="F27" s="282"/>
      <c r="G27" s="120"/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str">
        <f>IF($C28="","",VLOOKUP($C28,#REF!,4,FALSE))</f>
        <v/>
      </c>
      <c r="W27" s="72" t="str">
        <f>IF($E28="","",VLOOKUP($E28,#REF!,4,FALSE))</f>
        <v/>
      </c>
      <c r="Y27" t="s">
        <v>1195</v>
      </c>
      <c r="Z27">
        <v>23892</v>
      </c>
      <c r="AA27" t="s">
        <v>917</v>
      </c>
      <c r="AB27" t="s">
        <v>639</v>
      </c>
      <c r="AC27">
        <v>60299</v>
      </c>
      <c r="AD27" t="s">
        <v>990</v>
      </c>
    </row>
    <row r="28" spans="1:30" s="69" customFormat="1" ht="18" customHeight="1">
      <c r="A28" s="62"/>
      <c r="B28" s="63">
        <v>15</v>
      </c>
      <c r="C28" s="120"/>
      <c r="D28" s="278"/>
      <c r="E28" s="148"/>
      <c r="F28" s="282"/>
      <c r="G28" s="120"/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str">
        <f>IF($C29="","",VLOOKUP($C29,#REF!,4,FALSE))</f>
        <v/>
      </c>
      <c r="W28" s="72" t="str">
        <f>IF($E29="","",VLOOKUP($E29,#REF!,4,FALSE))</f>
        <v/>
      </c>
      <c r="Y28" t="s">
        <v>1192</v>
      </c>
      <c r="Z28">
        <v>28000</v>
      </c>
      <c r="AA28" t="s">
        <v>913</v>
      </c>
      <c r="AB28" t="s">
        <v>684</v>
      </c>
      <c r="AC28">
        <v>60925</v>
      </c>
      <c r="AD28" t="s">
        <v>984</v>
      </c>
    </row>
    <row r="29" spans="1:30" s="69" customFormat="1" ht="18" customHeight="1">
      <c r="A29" s="62"/>
      <c r="B29" s="63">
        <v>16</v>
      </c>
      <c r="C29" s="125"/>
      <c r="D29" s="265"/>
      <c r="E29" s="161"/>
      <c r="F29" s="275"/>
      <c r="G29" s="127"/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str">
        <f>IF($C30="","",VLOOKUP($C30,#REF!,4,FALSE))</f>
        <v/>
      </c>
      <c r="W29" s="72" t="str">
        <f>IF($E30="","",VLOOKUP($E30,#REF!,4,FALSE))</f>
        <v/>
      </c>
      <c r="Y29" t="s">
        <v>1184</v>
      </c>
      <c r="Z29">
        <v>14856</v>
      </c>
      <c r="AA29" t="s">
        <v>885</v>
      </c>
      <c r="AB29" t="s">
        <v>663</v>
      </c>
      <c r="AC29">
        <v>60949</v>
      </c>
      <c r="AD29" t="s">
        <v>981</v>
      </c>
    </row>
    <row r="30" spans="1:30" s="69" customFormat="1" ht="18" customHeight="1">
      <c r="A30" s="62"/>
      <c r="B30" s="63">
        <v>17</v>
      </c>
      <c r="C30" s="125"/>
      <c r="D30" s="265"/>
      <c r="E30" s="125"/>
      <c r="F30" s="271"/>
      <c r="G30" s="122"/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str">
        <f>IF($C31="","",VLOOKUP($C31,#REF!,4,FALSE))</f>
        <v/>
      </c>
      <c r="W30" s="72" t="str">
        <f>IF($E31="","",VLOOKUP($E31,#REF!,4,FALSE))</f>
        <v/>
      </c>
      <c r="Y30" t="s">
        <v>1190</v>
      </c>
      <c r="Z30">
        <v>27610</v>
      </c>
      <c r="AA30" t="s">
        <v>911</v>
      </c>
      <c r="AB30" t="s">
        <v>673</v>
      </c>
      <c r="AC30">
        <v>60068</v>
      </c>
      <c r="AD30" t="s">
        <v>982</v>
      </c>
    </row>
    <row r="31" spans="1:30" s="69" customFormat="1" ht="18" customHeight="1">
      <c r="A31" s="62"/>
      <c r="B31" s="63">
        <v>18</v>
      </c>
      <c r="C31" s="125"/>
      <c r="D31" s="265"/>
      <c r="E31" s="125"/>
      <c r="F31" s="271"/>
      <c r="G31" s="122"/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str">
        <f>IF($C32="","",VLOOKUP($C32,#REF!,4,FALSE))</f>
        <v/>
      </c>
      <c r="W31" s="72" t="str">
        <f>IF($E32="","",VLOOKUP($E32,#REF!,4,FALSE))</f>
        <v/>
      </c>
      <c r="Y31" t="s">
        <v>664</v>
      </c>
      <c r="Z31">
        <v>1384</v>
      </c>
      <c r="AA31" t="s">
        <v>768</v>
      </c>
      <c r="AB31" s="177" t="s">
        <v>1271</v>
      </c>
      <c r="AC31">
        <v>58826</v>
      </c>
      <c r="AD31"/>
    </row>
    <row r="32" spans="1:30" s="69" customFormat="1" ht="18" customHeight="1">
      <c r="A32" s="62"/>
      <c r="B32" s="63">
        <v>19</v>
      </c>
      <c r="C32" s="120"/>
      <c r="D32" s="278"/>
      <c r="E32" s="148"/>
      <c r="F32" s="282"/>
      <c r="G32" s="120"/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str">
        <f>IF($C33="","",VLOOKUP($C33,#REF!,4,FALSE))</f>
        <v/>
      </c>
      <c r="W32" s="72" t="str">
        <f>IF($E33="","",VLOOKUP($E33,#REF!,4,FALSE))</f>
        <v/>
      </c>
      <c r="Y32" t="s">
        <v>1196</v>
      </c>
      <c r="Z32">
        <v>21152</v>
      </c>
      <c r="AA32" t="s">
        <v>918</v>
      </c>
      <c r="AB32" t="s">
        <v>633</v>
      </c>
      <c r="AC32">
        <v>59548</v>
      </c>
      <c r="AD32" t="s">
        <v>991</v>
      </c>
    </row>
    <row r="33" spans="1:30" s="69" customFormat="1" ht="18" customHeight="1">
      <c r="A33" s="62"/>
      <c r="B33" s="63">
        <v>20</v>
      </c>
      <c r="C33" s="120"/>
      <c r="D33" s="278"/>
      <c r="E33" s="148"/>
      <c r="F33" s="282"/>
      <c r="G33" s="120"/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str">
        <f>IF($C34="","",VLOOKUP($C34,#REF!,4,FALSE))</f>
        <v/>
      </c>
      <c r="W33" s="72" t="str">
        <f>IF($E34="","",VLOOKUP($E34,#REF!,4,FALSE))</f>
        <v/>
      </c>
      <c r="Y33" t="s">
        <v>1198</v>
      </c>
      <c r="Z33">
        <v>5830</v>
      </c>
      <c r="AA33" t="s">
        <v>920</v>
      </c>
      <c r="AB33" t="s">
        <v>677</v>
      </c>
      <c r="AC33">
        <v>58426</v>
      </c>
      <c r="AD33" t="s">
        <v>993</v>
      </c>
    </row>
    <row r="34" spans="1:30" s="69" customFormat="1" ht="18" customHeight="1">
      <c r="A34" s="62"/>
      <c r="B34" s="63">
        <v>21</v>
      </c>
      <c r="C34" s="125"/>
      <c r="D34" s="265"/>
      <c r="E34" s="125"/>
      <c r="F34" s="271"/>
      <c r="G34" s="122"/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str">
        <f>IF($C35="","",VLOOKUP($C35,#REF!,4,FALSE))</f>
        <v/>
      </c>
      <c r="W34" s="72" t="str">
        <f>IF($E35="","",VLOOKUP($E35,#REF!,4,FALSE))</f>
        <v/>
      </c>
      <c r="Y34" t="s">
        <v>1194</v>
      </c>
      <c r="Z34">
        <v>20507</v>
      </c>
      <c r="AA34" t="s">
        <v>915</v>
      </c>
      <c r="AB34" t="s">
        <v>682</v>
      </c>
      <c r="AC34">
        <v>58648</v>
      </c>
      <c r="AD34" t="s">
        <v>986</v>
      </c>
    </row>
    <row r="35" spans="1:30" s="69" customFormat="1" ht="18" customHeight="1">
      <c r="A35" s="62"/>
      <c r="B35" s="63">
        <v>22</v>
      </c>
      <c r="C35" s="120"/>
      <c r="D35" s="278"/>
      <c r="E35" s="148"/>
      <c r="F35" s="282"/>
      <c r="G35" s="120"/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str">
        <f>IF($C36="","",VLOOKUP($C36,#REF!,4,FALSE))</f>
        <v/>
      </c>
      <c r="W35" s="72" t="str">
        <f>IF($E36="","",VLOOKUP($E36,#REF!,4,FALSE))</f>
        <v/>
      </c>
      <c r="Y35" t="s">
        <v>1185</v>
      </c>
      <c r="Z35">
        <v>8082</v>
      </c>
      <c r="AA35" t="s">
        <v>886</v>
      </c>
      <c r="AB35" t="s">
        <v>642</v>
      </c>
      <c r="AC35">
        <v>60439</v>
      </c>
      <c r="AD35" t="s">
        <v>987</v>
      </c>
    </row>
    <row r="36" spans="1:30" s="69" customFormat="1" ht="18" customHeight="1">
      <c r="A36" s="62"/>
      <c r="B36" s="63">
        <v>23</v>
      </c>
      <c r="C36" s="125"/>
      <c r="D36" s="265"/>
      <c r="E36" s="125"/>
      <c r="F36" s="271"/>
      <c r="G36" s="122"/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str">
        <f>IF($C37="","",VLOOKUP($C37,#REF!,4,FALSE))</f>
        <v/>
      </c>
      <c r="W36" s="72" t="str">
        <f>IF($E37="","",VLOOKUP($E37,#REF!,4,FALSE))</f>
        <v/>
      </c>
      <c r="Y36" t="s">
        <v>1189</v>
      </c>
      <c r="Z36">
        <v>25761</v>
      </c>
      <c r="AA36" t="s">
        <v>890</v>
      </c>
      <c r="AB36" t="s">
        <v>686</v>
      </c>
      <c r="AC36">
        <v>58584</v>
      </c>
      <c r="AD36" t="s">
        <v>992</v>
      </c>
    </row>
    <row r="37" spans="1:30" s="69" customFormat="1" ht="18" customHeight="1">
      <c r="A37" s="62"/>
      <c r="B37" s="63">
        <v>24</v>
      </c>
      <c r="C37" s="120"/>
      <c r="D37" s="278"/>
      <c r="E37" s="148"/>
      <c r="F37" s="282"/>
      <c r="G37" s="120"/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str">
        <f>IF($C38="","",VLOOKUP($C38,#REF!,4,FALSE))</f>
        <v/>
      </c>
      <c r="W37" s="72" t="str">
        <f>IF($E38="","",VLOOKUP($E38,#REF!,4,FALSE))</f>
        <v/>
      </c>
      <c r="Y37" t="s">
        <v>1199</v>
      </c>
      <c r="Z37">
        <v>7270</v>
      </c>
      <c r="AA37" t="s">
        <v>921</v>
      </c>
      <c r="AB37" t="s">
        <v>661</v>
      </c>
      <c r="AC37">
        <v>59342</v>
      </c>
      <c r="AD37" t="s">
        <v>995</v>
      </c>
    </row>
    <row r="38" spans="1:30" s="69" customFormat="1" ht="18" customHeight="1">
      <c r="A38" s="62"/>
      <c r="B38" s="63">
        <v>25</v>
      </c>
      <c r="C38" s="125"/>
      <c r="D38" s="265"/>
      <c r="E38" s="125"/>
      <c r="F38" s="271"/>
      <c r="G38" s="122"/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str">
        <f>IF($C39="","",VLOOKUP($C39,#REF!,4,FALSE))</f>
        <v/>
      </c>
      <c r="W38" s="72" t="str">
        <f>IF($E39="","",VLOOKUP($E39,#REF!,4,FALSE))</f>
        <v/>
      </c>
      <c r="Y38" t="s">
        <v>1181</v>
      </c>
      <c r="Z38">
        <v>9323</v>
      </c>
      <c r="AA38" t="s">
        <v>882</v>
      </c>
      <c r="AB38" t="s">
        <v>698</v>
      </c>
      <c r="AC38">
        <v>60262</v>
      </c>
      <c r="AD38" t="s">
        <v>998</v>
      </c>
    </row>
    <row r="39" spans="1:30" s="69" customFormat="1" ht="18" customHeight="1">
      <c r="A39" s="62"/>
      <c r="B39" s="63">
        <v>26</v>
      </c>
      <c r="C39" s="120"/>
      <c r="D39" s="278"/>
      <c r="E39" s="148"/>
      <c r="F39" s="282"/>
      <c r="G39" s="120"/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str">
        <f>IF($C40="","",VLOOKUP($C40,#REF!,4,FALSE))</f>
        <v/>
      </c>
      <c r="W39" s="72" t="str">
        <f>IF($E40="","",VLOOKUP($E40,#REF!,4,FALSE))</f>
        <v/>
      </c>
      <c r="Y39" t="s">
        <v>1193</v>
      </c>
      <c r="Z39">
        <v>27113</v>
      </c>
      <c r="AA39" t="s">
        <v>914</v>
      </c>
      <c r="AB39" t="s">
        <v>1272</v>
      </c>
      <c r="AC39">
        <v>59422</v>
      </c>
      <c r="AD39"/>
    </row>
    <row r="40" spans="1:30" s="69" customFormat="1" ht="18" customHeight="1">
      <c r="A40" s="62"/>
      <c r="B40" s="63">
        <v>27</v>
      </c>
      <c r="C40" s="120"/>
      <c r="D40" s="278"/>
      <c r="E40" s="148"/>
      <c r="F40" s="282"/>
      <c r="G40" s="120"/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str">
        <f>IF($C41="","",VLOOKUP($C41,#REF!,4,FALSE))</f>
        <v/>
      </c>
      <c r="W40" s="72" t="str">
        <f>IF($E41="","",VLOOKUP($E41,#REF!,4,FALSE))</f>
        <v/>
      </c>
      <c r="Y40" t="s">
        <v>664</v>
      </c>
      <c r="Z40">
        <v>1384</v>
      </c>
      <c r="AA40" t="s">
        <v>768</v>
      </c>
      <c r="AB40" t="s">
        <v>1274</v>
      </c>
      <c r="AC40">
        <v>59365</v>
      </c>
      <c r="AD40"/>
    </row>
    <row r="41" spans="1:30" s="69" customFormat="1" ht="18" customHeight="1">
      <c r="A41" s="62"/>
      <c r="B41" s="63">
        <v>28</v>
      </c>
      <c r="C41" s="120"/>
      <c r="D41" s="278"/>
      <c r="E41" s="170"/>
      <c r="F41" s="296"/>
      <c r="G41" s="123"/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str">
        <f>IF($C42="","",VLOOKUP($C42,#REF!,4,FALSE))</f>
        <v/>
      </c>
      <c r="W41" s="72" t="str">
        <f>IF($E42="","",VLOOKUP($E42,#REF!,4,FALSE))</f>
        <v/>
      </c>
      <c r="Y41" t="s">
        <v>1187</v>
      </c>
      <c r="Z41">
        <v>24931</v>
      </c>
      <c r="AA41" t="s">
        <v>888</v>
      </c>
      <c r="AB41" t="s">
        <v>691</v>
      </c>
      <c r="AC41">
        <v>60368</v>
      </c>
      <c r="AD41" t="s">
        <v>997</v>
      </c>
    </row>
    <row r="42" spans="1:30" s="69" customFormat="1" ht="18" customHeight="1">
      <c r="A42" s="62"/>
      <c r="B42" s="63">
        <v>29</v>
      </c>
      <c r="C42" s="125"/>
      <c r="D42" s="265"/>
      <c r="E42" s="125"/>
      <c r="F42" s="271"/>
      <c r="G42" s="122"/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e">
        <f>IF(#REF!="","",VLOOKUP(#REF!,#REF!,4,FALSE))</f>
        <v>#REF!</v>
      </c>
      <c r="W42" s="72" t="e">
        <f>IF(#REF!="","",VLOOKUP(#REF!,#REF!,4,FALSE))</f>
        <v>#REF!</v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125"/>
      <c r="D43" s="265"/>
      <c r="E43" s="125"/>
      <c r="F43" s="271"/>
      <c r="G43" s="122"/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125"/>
      <c r="D44" s="265"/>
      <c r="E44" s="125"/>
      <c r="F44" s="271"/>
      <c r="G44" s="122"/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63">
        <v>32</v>
      </c>
      <c r="C45" s="125"/>
      <c r="D45" s="265"/>
      <c r="E45" s="125"/>
      <c r="F45" s="271"/>
      <c r="G45" s="122"/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63">
        <v>33</v>
      </c>
      <c r="C46" s="125"/>
      <c r="D46" s="265"/>
      <c r="E46" s="125"/>
      <c r="F46" s="271"/>
      <c r="G46" s="122"/>
      <c r="H46" s="23"/>
      <c r="I46" s="23"/>
      <c r="J46" s="64" t="str">
        <f t="shared" ref="J46:J73" si="4">IF(H46="","",H46+I46)</f>
        <v/>
      </c>
      <c r="K46" s="65"/>
      <c r="L46" s="65"/>
      <c r="M46" s="66" t="str">
        <f t="shared" ref="M46:M73" si="5">IF(L46="","",K46+L46)</f>
        <v/>
      </c>
      <c r="N46" s="23"/>
      <c r="O46" s="23"/>
      <c r="P46" s="64" t="str">
        <f t="shared" ref="P46:P73" si="6">IF(N46="","",N46+O46)</f>
        <v/>
      </c>
      <c r="Q46" s="65"/>
      <c r="R46" s="65"/>
      <c r="S46" s="66" t="str">
        <f t="shared" ref="S46:S73" si="7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</row>
    <row r="47" spans="1:30" s="69" customFormat="1" ht="18" customHeight="1">
      <c r="A47" s="62"/>
      <c r="B47" s="63">
        <v>34</v>
      </c>
      <c r="C47" s="125"/>
      <c r="D47" s="265"/>
      <c r="E47" s="125"/>
      <c r="F47" s="271"/>
      <c r="G47" s="122"/>
      <c r="H47" s="23"/>
      <c r="I47" s="23"/>
      <c r="J47" s="64" t="str">
        <f t="shared" si="4"/>
        <v/>
      </c>
      <c r="K47" s="65"/>
      <c r="L47" s="65"/>
      <c r="M47" s="66" t="str">
        <f t="shared" si="5"/>
        <v/>
      </c>
      <c r="N47" s="23"/>
      <c r="O47" s="23"/>
      <c r="P47" s="64" t="str">
        <f t="shared" si="6"/>
        <v/>
      </c>
      <c r="Q47" s="65"/>
      <c r="R47" s="65"/>
      <c r="S47" s="66" t="str">
        <f t="shared" si="7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63">
        <v>35</v>
      </c>
      <c r="C48" s="125"/>
      <c r="D48" s="265"/>
      <c r="E48" s="125"/>
      <c r="F48" s="271"/>
      <c r="G48" s="122"/>
      <c r="H48" s="23"/>
      <c r="I48" s="23"/>
      <c r="J48" s="64" t="str">
        <f t="shared" si="4"/>
        <v/>
      </c>
      <c r="K48" s="65"/>
      <c r="L48" s="65"/>
      <c r="M48" s="66" t="str">
        <f t="shared" si="5"/>
        <v/>
      </c>
      <c r="N48" s="23"/>
      <c r="O48" s="23"/>
      <c r="P48" s="64" t="str">
        <f t="shared" si="6"/>
        <v/>
      </c>
      <c r="Q48" s="65"/>
      <c r="R48" s="65"/>
      <c r="S48" s="66" t="str">
        <f t="shared" si="7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63">
        <v>36</v>
      </c>
      <c r="C49" s="125"/>
      <c r="D49" s="265"/>
      <c r="E49" s="125"/>
      <c r="F49" s="271"/>
      <c r="G49" s="122"/>
      <c r="H49" s="23"/>
      <c r="I49" s="23"/>
      <c r="J49" s="64" t="str">
        <f t="shared" si="4"/>
        <v/>
      </c>
      <c r="K49" s="65"/>
      <c r="L49" s="65"/>
      <c r="M49" s="66" t="str">
        <f t="shared" si="5"/>
        <v/>
      </c>
      <c r="N49" s="23"/>
      <c r="O49" s="23"/>
      <c r="P49" s="64" t="str">
        <f t="shared" si="6"/>
        <v/>
      </c>
      <c r="Q49" s="65"/>
      <c r="R49" s="65"/>
      <c r="S49" s="66" t="str">
        <f t="shared" si="7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>
        <v>37</v>
      </c>
      <c r="C50" s="125"/>
      <c r="D50" s="265"/>
      <c r="E50" s="125"/>
      <c r="F50" s="271"/>
      <c r="G50" s="122"/>
      <c r="H50" s="23"/>
      <c r="I50" s="23"/>
      <c r="J50" s="64" t="str">
        <f t="shared" si="4"/>
        <v/>
      </c>
      <c r="K50" s="65"/>
      <c r="L50" s="65"/>
      <c r="M50" s="66" t="str">
        <f t="shared" si="5"/>
        <v/>
      </c>
      <c r="N50" s="23"/>
      <c r="O50" s="23"/>
      <c r="P50" s="64" t="str">
        <f t="shared" si="6"/>
        <v/>
      </c>
      <c r="Q50" s="65"/>
      <c r="R50" s="65"/>
      <c r="S50" s="66" t="str">
        <f t="shared" si="7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>
        <v>38</v>
      </c>
      <c r="C51" s="125"/>
      <c r="D51" s="265"/>
      <c r="E51" s="125"/>
      <c r="F51" s="271"/>
      <c r="G51" s="122"/>
      <c r="H51" s="23"/>
      <c r="I51" s="23"/>
      <c r="J51" s="64" t="str">
        <f t="shared" si="4"/>
        <v/>
      </c>
      <c r="K51" s="65"/>
      <c r="L51" s="65"/>
      <c r="M51" s="66" t="str">
        <f t="shared" si="5"/>
        <v/>
      </c>
      <c r="N51" s="23"/>
      <c r="O51" s="23"/>
      <c r="P51" s="64" t="str">
        <f t="shared" si="6"/>
        <v/>
      </c>
      <c r="Q51" s="65"/>
      <c r="R51" s="65"/>
      <c r="S51" s="66" t="str">
        <f t="shared" si="7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>
        <v>39</v>
      </c>
      <c r="C52" s="22"/>
      <c r="D52" s="266" t="s">
        <v>408</v>
      </c>
      <c r="E52" s="22"/>
      <c r="F52" s="276" t="s">
        <v>408</v>
      </c>
      <c r="G52" s="24"/>
      <c r="H52" s="23"/>
      <c r="I52" s="23"/>
      <c r="J52" s="64" t="str">
        <f t="shared" si="4"/>
        <v/>
      </c>
      <c r="K52" s="65"/>
      <c r="L52" s="65"/>
      <c r="M52" s="66" t="str">
        <f t="shared" si="5"/>
        <v/>
      </c>
      <c r="N52" s="23"/>
      <c r="O52" s="23"/>
      <c r="P52" s="64" t="str">
        <f t="shared" si="6"/>
        <v/>
      </c>
      <c r="Q52" s="65"/>
      <c r="R52" s="65"/>
      <c r="S52" s="66" t="str">
        <f t="shared" si="7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>
        <v>40</v>
      </c>
      <c r="C53" s="22"/>
      <c r="D53" s="266" t="s">
        <v>408</v>
      </c>
      <c r="E53" s="22"/>
      <c r="F53" s="276" t="s">
        <v>408</v>
      </c>
      <c r="G53" s="24"/>
      <c r="H53" s="23"/>
      <c r="I53" s="23"/>
      <c r="J53" s="64" t="str">
        <f t="shared" si="4"/>
        <v/>
      </c>
      <c r="K53" s="65"/>
      <c r="L53" s="65"/>
      <c r="M53" s="66" t="str">
        <f t="shared" si="5"/>
        <v/>
      </c>
      <c r="N53" s="23"/>
      <c r="O53" s="23"/>
      <c r="P53" s="64" t="str">
        <f t="shared" si="6"/>
        <v/>
      </c>
      <c r="Q53" s="65"/>
      <c r="R53" s="65"/>
      <c r="S53" s="66" t="str">
        <f t="shared" si="7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>
        <v>41</v>
      </c>
      <c r="C54" s="22"/>
      <c r="D54" s="266" t="s">
        <v>408</v>
      </c>
      <c r="E54" s="22"/>
      <c r="F54" s="276" t="s">
        <v>408</v>
      </c>
      <c r="G54" s="24"/>
      <c r="H54" s="23"/>
      <c r="I54" s="23"/>
      <c r="J54" s="64" t="str">
        <f t="shared" si="4"/>
        <v/>
      </c>
      <c r="K54" s="65"/>
      <c r="L54" s="65"/>
      <c r="M54" s="66" t="str">
        <f t="shared" si="5"/>
        <v/>
      </c>
      <c r="N54" s="23"/>
      <c r="O54" s="23"/>
      <c r="P54" s="64" t="str">
        <f t="shared" si="6"/>
        <v/>
      </c>
      <c r="Q54" s="65"/>
      <c r="R54" s="65"/>
      <c r="S54" s="66" t="str">
        <f t="shared" si="7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>
        <v>42</v>
      </c>
      <c r="C55" s="22"/>
      <c r="D55" s="266" t="s">
        <v>408</v>
      </c>
      <c r="E55" s="22"/>
      <c r="F55" s="276" t="s">
        <v>408</v>
      </c>
      <c r="G55" s="24"/>
      <c r="H55" s="23"/>
      <c r="I55" s="23"/>
      <c r="J55" s="64" t="str">
        <f t="shared" si="4"/>
        <v/>
      </c>
      <c r="K55" s="65"/>
      <c r="L55" s="65"/>
      <c r="M55" s="66" t="str">
        <f t="shared" si="5"/>
        <v/>
      </c>
      <c r="N55" s="23"/>
      <c r="O55" s="23"/>
      <c r="P55" s="64" t="str">
        <f t="shared" si="6"/>
        <v/>
      </c>
      <c r="Q55" s="65"/>
      <c r="R55" s="65"/>
      <c r="S55" s="66" t="str">
        <f t="shared" si="7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>
        <v>43</v>
      </c>
      <c r="C56" s="22"/>
      <c r="D56" s="266" t="s">
        <v>408</v>
      </c>
      <c r="E56" s="22"/>
      <c r="F56" s="276" t="s">
        <v>408</v>
      </c>
      <c r="G56" s="24"/>
      <c r="H56" s="23"/>
      <c r="I56" s="23"/>
      <c r="J56" s="64" t="str">
        <f t="shared" si="4"/>
        <v/>
      </c>
      <c r="K56" s="65"/>
      <c r="L56" s="65"/>
      <c r="M56" s="66" t="str">
        <f t="shared" si="5"/>
        <v/>
      </c>
      <c r="N56" s="23"/>
      <c r="O56" s="23"/>
      <c r="P56" s="64" t="str">
        <f t="shared" si="6"/>
        <v/>
      </c>
      <c r="Q56" s="65"/>
      <c r="R56" s="65"/>
      <c r="S56" s="66" t="str">
        <f t="shared" si="7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>
        <v>44</v>
      </c>
      <c r="C57" s="22"/>
      <c r="D57" s="266" t="s">
        <v>408</v>
      </c>
      <c r="E57" s="22"/>
      <c r="F57" s="276" t="s">
        <v>408</v>
      </c>
      <c r="G57" s="24"/>
      <c r="H57" s="23"/>
      <c r="I57" s="23"/>
      <c r="J57" s="64" t="str">
        <f t="shared" si="4"/>
        <v/>
      </c>
      <c r="K57" s="65"/>
      <c r="L57" s="65"/>
      <c r="M57" s="66" t="str">
        <f t="shared" si="5"/>
        <v/>
      </c>
      <c r="N57" s="23"/>
      <c r="O57" s="23"/>
      <c r="P57" s="64" t="str">
        <f t="shared" si="6"/>
        <v/>
      </c>
      <c r="Q57" s="65"/>
      <c r="R57" s="65"/>
      <c r="S57" s="66" t="str">
        <f t="shared" si="7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>
        <v>45</v>
      </c>
      <c r="C58" s="22"/>
      <c r="D58" s="266" t="s">
        <v>408</v>
      </c>
      <c r="E58" s="22"/>
      <c r="F58" s="276" t="s">
        <v>408</v>
      </c>
      <c r="G58" s="24"/>
      <c r="H58" s="23"/>
      <c r="I58" s="23"/>
      <c r="J58" s="64" t="str">
        <f t="shared" si="4"/>
        <v/>
      </c>
      <c r="K58" s="65"/>
      <c r="L58" s="65"/>
      <c r="M58" s="66" t="str">
        <f t="shared" si="5"/>
        <v/>
      </c>
      <c r="N58" s="23"/>
      <c r="O58" s="23"/>
      <c r="P58" s="64" t="str">
        <f t="shared" si="6"/>
        <v/>
      </c>
      <c r="Q58" s="65"/>
      <c r="R58" s="65"/>
      <c r="S58" s="66" t="str">
        <f t="shared" si="7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>
        <v>46</v>
      </c>
      <c r="C59" s="22"/>
      <c r="D59" s="266" t="s">
        <v>408</v>
      </c>
      <c r="E59" s="22"/>
      <c r="F59" s="276" t="s">
        <v>408</v>
      </c>
      <c r="G59" s="24"/>
      <c r="H59" s="23"/>
      <c r="I59" s="23"/>
      <c r="J59" s="64" t="str">
        <f t="shared" si="4"/>
        <v/>
      </c>
      <c r="K59" s="65"/>
      <c r="L59" s="65"/>
      <c r="M59" s="66" t="str">
        <f t="shared" si="5"/>
        <v/>
      </c>
      <c r="N59" s="23"/>
      <c r="O59" s="23"/>
      <c r="P59" s="64" t="str">
        <f t="shared" si="6"/>
        <v/>
      </c>
      <c r="Q59" s="65"/>
      <c r="R59" s="65"/>
      <c r="S59" s="66" t="str">
        <f t="shared" si="7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>
        <v>47</v>
      </c>
      <c r="C60" s="22"/>
      <c r="D60" s="266" t="s">
        <v>408</v>
      </c>
      <c r="E60" s="22"/>
      <c r="F60" s="276" t="s">
        <v>408</v>
      </c>
      <c r="G60" s="24"/>
      <c r="H60" s="23"/>
      <c r="I60" s="23"/>
      <c r="J60" s="64" t="str">
        <f t="shared" si="4"/>
        <v/>
      </c>
      <c r="K60" s="65"/>
      <c r="L60" s="65"/>
      <c r="M60" s="66" t="str">
        <f t="shared" si="5"/>
        <v/>
      </c>
      <c r="N60" s="23"/>
      <c r="O60" s="23"/>
      <c r="P60" s="64" t="str">
        <f t="shared" si="6"/>
        <v/>
      </c>
      <c r="Q60" s="65"/>
      <c r="R60" s="65"/>
      <c r="S60" s="66" t="str">
        <f t="shared" si="7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>
        <v>48</v>
      </c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>
        <v>49</v>
      </c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>
        <v>50</v>
      </c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>
        <v>51</v>
      </c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>
        <v>52</v>
      </c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>
        <v>53</v>
      </c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>
        <v>54</v>
      </c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>
        <v>55</v>
      </c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>
        <v>56</v>
      </c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>
        <v>57</v>
      </c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>
        <v>58</v>
      </c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>
        <v>59</v>
      </c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>
        <v>60</v>
      </c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 t="s">
        <v>404</v>
      </c>
      <c r="E74" s="71" t="s">
        <v>525</v>
      </c>
      <c r="G74" s="21" t="s">
        <v>405</v>
      </c>
      <c r="Y74" t="s">
        <v>1202</v>
      </c>
      <c r="Z74">
        <v>21955</v>
      </c>
      <c r="AA74" t="s">
        <v>924</v>
      </c>
      <c r="AB74" t="s">
        <v>525</v>
      </c>
      <c r="AC74">
        <v>56165</v>
      </c>
      <c r="AD74" t="s">
        <v>1002</v>
      </c>
    </row>
    <row r="75" spans="1:30" ht="18" customHeight="1">
      <c r="C75" s="21" t="s">
        <v>406</v>
      </c>
      <c r="E75" s="71" t="s">
        <v>526</v>
      </c>
      <c r="G75" s="21" t="s">
        <v>405</v>
      </c>
      <c r="Y75" t="s">
        <v>1203</v>
      </c>
      <c r="Z75">
        <v>25553</v>
      </c>
      <c r="AA75" t="s">
        <v>925</v>
      </c>
      <c r="AB75" t="s">
        <v>526</v>
      </c>
      <c r="AC75">
        <v>57119</v>
      </c>
      <c r="AD75" t="s">
        <v>1003</v>
      </c>
    </row>
    <row r="76" spans="1:30" ht="18" customHeight="1">
      <c r="C76" s="21" t="s">
        <v>465</v>
      </c>
      <c r="E76" s="71" t="s">
        <v>527</v>
      </c>
      <c r="G76" s="21" t="s">
        <v>405</v>
      </c>
    </row>
    <row r="77" spans="1:30" ht="18" customHeight="1">
      <c r="C77" s="21" t="s">
        <v>466</v>
      </c>
      <c r="E77" s="71" t="s">
        <v>577</v>
      </c>
      <c r="G77" s="21" t="s">
        <v>405</v>
      </c>
      <c r="Y77" t="s">
        <v>1204</v>
      </c>
      <c r="Z77">
        <v>25491</v>
      </c>
      <c r="AA77" t="s">
        <v>926</v>
      </c>
    </row>
    <row r="78" spans="1:30" ht="18" customHeight="1">
      <c r="C78" s="21" t="s">
        <v>467</v>
      </c>
      <c r="E78" s="71" t="s">
        <v>528</v>
      </c>
      <c r="G78" s="21" t="s">
        <v>405</v>
      </c>
      <c r="Y78" t="s">
        <v>1205</v>
      </c>
      <c r="Z78">
        <v>21755</v>
      </c>
      <c r="AA78" t="s">
        <v>927</v>
      </c>
    </row>
    <row r="79" spans="1:30" ht="18" customHeight="1">
      <c r="C79" s="21" t="s">
        <v>468</v>
      </c>
      <c r="E79" s="71" t="s">
        <v>529</v>
      </c>
      <c r="G79" s="21" t="s">
        <v>405</v>
      </c>
      <c r="Y79" t="s">
        <v>1206</v>
      </c>
      <c r="Z79">
        <v>26579</v>
      </c>
      <c r="AA79" t="s">
        <v>928</v>
      </c>
      <c r="AB79" t="s">
        <v>529</v>
      </c>
      <c r="AC79">
        <v>58332</v>
      </c>
      <c r="AD79" t="s">
        <v>1004</v>
      </c>
    </row>
    <row r="80" spans="1:30" ht="18" customHeight="1">
      <c r="C80" s="21" t="s">
        <v>469</v>
      </c>
      <c r="E80" s="71" t="s">
        <v>424</v>
      </c>
      <c r="G80" s="21" t="s">
        <v>405</v>
      </c>
      <c r="Y80" t="s">
        <v>1207</v>
      </c>
      <c r="Z80">
        <v>30226</v>
      </c>
      <c r="AA80" t="s">
        <v>929</v>
      </c>
      <c r="AB80" t="s">
        <v>424</v>
      </c>
      <c r="AC80">
        <v>55370</v>
      </c>
      <c r="AD80" t="s">
        <v>1005</v>
      </c>
    </row>
    <row r="81" spans="3:30" ht="18" customHeight="1">
      <c r="C81" s="21" t="s">
        <v>407</v>
      </c>
      <c r="E81" s="71" t="s">
        <v>530</v>
      </c>
      <c r="G81" s="21" t="s">
        <v>405</v>
      </c>
      <c r="Y81" t="s">
        <v>1208</v>
      </c>
      <c r="Z81">
        <v>14325</v>
      </c>
      <c r="AA81" t="s">
        <v>930</v>
      </c>
    </row>
    <row r="82" spans="3:30" ht="18" customHeight="1">
      <c r="C82" s="21" t="s">
        <v>470</v>
      </c>
      <c r="E82" s="71" t="s">
        <v>531</v>
      </c>
      <c r="G82" s="21" t="s">
        <v>405</v>
      </c>
      <c r="Y82" t="s">
        <v>1209</v>
      </c>
      <c r="Z82">
        <v>30227</v>
      </c>
      <c r="AA82" t="s">
        <v>931</v>
      </c>
    </row>
    <row r="83" spans="3:30" ht="18" customHeight="1">
      <c r="C83" s="21"/>
      <c r="E83" s="71" t="s">
        <v>532</v>
      </c>
      <c r="G83" s="21" t="s">
        <v>405</v>
      </c>
    </row>
    <row r="84" spans="3:30" ht="18" customHeight="1">
      <c r="C84" s="21"/>
      <c r="E84" s="71" t="s">
        <v>533</v>
      </c>
      <c r="G84" s="21" t="s">
        <v>405</v>
      </c>
    </row>
    <row r="85" spans="3:30" ht="18" customHeight="1">
      <c r="C85" s="21"/>
      <c r="E85" s="71" t="s">
        <v>425</v>
      </c>
      <c r="G85" s="21" t="s">
        <v>405</v>
      </c>
    </row>
    <row r="86" spans="3:30" ht="18" customHeight="1">
      <c r="C86" s="21"/>
      <c r="E86" s="71" t="s">
        <v>534</v>
      </c>
      <c r="G86" s="21" t="s">
        <v>405</v>
      </c>
    </row>
    <row r="87" spans="3:30" ht="18" customHeight="1">
      <c r="C87" s="21"/>
      <c r="E87" s="71" t="s">
        <v>535</v>
      </c>
      <c r="G87" s="21" t="s">
        <v>405</v>
      </c>
      <c r="AB87" t="s">
        <v>535</v>
      </c>
      <c r="AC87">
        <v>57624</v>
      </c>
      <c r="AD87" t="s">
        <v>1006</v>
      </c>
    </row>
    <row r="88" spans="3:30" ht="18" customHeight="1">
      <c r="C88" s="21"/>
      <c r="E88" s="71" t="s">
        <v>536</v>
      </c>
      <c r="G88" s="21" t="s">
        <v>405</v>
      </c>
    </row>
    <row r="89" spans="3:30" ht="18" customHeight="1">
      <c r="C89" s="21"/>
      <c r="E89" s="71" t="s">
        <v>537</v>
      </c>
      <c r="G89" s="21" t="s">
        <v>405</v>
      </c>
      <c r="AB89" t="s">
        <v>537</v>
      </c>
      <c r="AC89">
        <v>57811</v>
      </c>
      <c r="AD89" t="s">
        <v>1007</v>
      </c>
    </row>
    <row r="90" spans="3:30" ht="18" customHeight="1">
      <c r="C90" s="21" t="s">
        <v>471</v>
      </c>
      <c r="E90" s="71" t="s">
        <v>538</v>
      </c>
      <c r="G90" s="21" t="s">
        <v>472</v>
      </c>
      <c r="Y90" t="s">
        <v>1210</v>
      </c>
      <c r="Z90">
        <v>30471</v>
      </c>
      <c r="AA90" t="s">
        <v>932</v>
      </c>
      <c r="AB90" t="s">
        <v>538</v>
      </c>
      <c r="AC90">
        <v>57525</v>
      </c>
      <c r="AD90" t="s">
        <v>1008</v>
      </c>
    </row>
    <row r="91" spans="3:30" ht="18" customHeight="1">
      <c r="C91" s="21" t="s">
        <v>395</v>
      </c>
      <c r="E91" s="71" t="s">
        <v>460</v>
      </c>
      <c r="G91" s="21" t="s">
        <v>472</v>
      </c>
      <c r="Y91" t="s">
        <v>1211</v>
      </c>
      <c r="Z91">
        <v>29861</v>
      </c>
      <c r="AA91" t="s">
        <v>933</v>
      </c>
      <c r="AB91" t="s">
        <v>460</v>
      </c>
      <c r="AC91">
        <v>58331</v>
      </c>
      <c r="AD91" t="s">
        <v>1009</v>
      </c>
    </row>
    <row r="92" spans="3:30" ht="18" customHeight="1">
      <c r="C92" s="21" t="s">
        <v>473</v>
      </c>
      <c r="E92" s="71" t="s">
        <v>539</v>
      </c>
      <c r="G92" s="21" t="s">
        <v>472</v>
      </c>
    </row>
    <row r="93" spans="3:30" ht="18" customHeight="1">
      <c r="C93" s="21" t="s">
        <v>474</v>
      </c>
      <c r="E93" s="71" t="s">
        <v>362</v>
      </c>
      <c r="G93" s="21" t="s">
        <v>472</v>
      </c>
      <c r="Y93" t="s">
        <v>1212</v>
      </c>
      <c r="Z93">
        <v>223</v>
      </c>
      <c r="AA93" t="s">
        <v>934</v>
      </c>
    </row>
    <row r="94" spans="3:30" ht="18" customHeight="1">
      <c r="C94" s="21" t="s">
        <v>475</v>
      </c>
      <c r="E94" s="71" t="s">
        <v>459</v>
      </c>
      <c r="G94" s="21" t="s">
        <v>472</v>
      </c>
      <c r="Y94" t="s">
        <v>1213</v>
      </c>
      <c r="Z94">
        <v>27949</v>
      </c>
      <c r="AA94" t="s">
        <v>935</v>
      </c>
    </row>
    <row r="95" spans="3:30" ht="18" customHeight="1">
      <c r="C95" s="21" t="s">
        <v>458</v>
      </c>
      <c r="E95" s="71"/>
      <c r="G95" s="21" t="s">
        <v>472</v>
      </c>
    </row>
    <row r="96" spans="3:30" ht="18" customHeight="1">
      <c r="C96" s="21" t="s">
        <v>440</v>
      </c>
      <c r="E96" s="71" t="s">
        <v>540</v>
      </c>
      <c r="G96" s="21" t="s">
        <v>476</v>
      </c>
      <c r="Y96" t="s">
        <v>1214</v>
      </c>
      <c r="Z96">
        <v>28128</v>
      </c>
      <c r="AA96" t="s">
        <v>936</v>
      </c>
    </row>
    <row r="97" spans="3:30" ht="18" customHeight="1">
      <c r="C97" s="21" t="s">
        <v>477</v>
      </c>
      <c r="E97" s="71" t="s">
        <v>575</v>
      </c>
      <c r="G97" s="21" t="s">
        <v>476</v>
      </c>
      <c r="Y97" t="s">
        <v>1215</v>
      </c>
      <c r="Z97">
        <v>30086</v>
      </c>
      <c r="AA97" t="s">
        <v>937</v>
      </c>
      <c r="AB97" t="s">
        <v>1011</v>
      </c>
      <c r="AC97">
        <v>59401</v>
      </c>
      <c r="AD97" t="s">
        <v>1010</v>
      </c>
    </row>
    <row r="98" spans="3:30" ht="18" customHeight="1">
      <c r="C98" s="21" t="s">
        <v>385</v>
      </c>
      <c r="E98" s="71" t="s">
        <v>351</v>
      </c>
      <c r="G98" s="21" t="s">
        <v>478</v>
      </c>
      <c r="Y98" t="s">
        <v>1216</v>
      </c>
      <c r="Z98">
        <v>29284</v>
      </c>
      <c r="AA98" t="s">
        <v>938</v>
      </c>
    </row>
    <row r="99" spans="3:30" ht="18" customHeight="1">
      <c r="C99" s="21" t="s">
        <v>445</v>
      </c>
      <c r="E99" s="71" t="s">
        <v>363</v>
      </c>
      <c r="G99" s="21" t="s">
        <v>478</v>
      </c>
      <c r="Y99" t="s">
        <v>1217</v>
      </c>
      <c r="Z99">
        <v>27497</v>
      </c>
      <c r="AA99" t="s">
        <v>939</v>
      </c>
    </row>
    <row r="100" spans="3:30" ht="18" customHeight="1">
      <c r="C100" s="21" t="s">
        <v>479</v>
      </c>
      <c r="E100" s="71" t="s">
        <v>352</v>
      </c>
      <c r="G100" s="21" t="s">
        <v>478</v>
      </c>
      <c r="Y100" t="s">
        <v>1218</v>
      </c>
      <c r="Z100">
        <v>5154</v>
      </c>
      <c r="AA100" t="s">
        <v>940</v>
      </c>
    </row>
    <row r="101" spans="3:30" ht="18" customHeight="1">
      <c r="C101" s="21" t="s">
        <v>409</v>
      </c>
      <c r="E101" s="71" t="s">
        <v>446</v>
      </c>
      <c r="G101" s="21" t="s">
        <v>478</v>
      </c>
      <c r="Y101" t="s">
        <v>1219</v>
      </c>
      <c r="Z101">
        <v>22504</v>
      </c>
      <c r="AA101" t="s">
        <v>941</v>
      </c>
    </row>
    <row r="102" spans="3:30" ht="18" customHeight="1">
      <c r="C102" s="21" t="s">
        <v>410</v>
      </c>
      <c r="E102" s="71" t="s">
        <v>364</v>
      </c>
      <c r="G102" s="21" t="s">
        <v>478</v>
      </c>
      <c r="AB102" t="s">
        <v>364</v>
      </c>
      <c r="AC102">
        <v>56349</v>
      </c>
      <c r="AD102" t="s">
        <v>1012</v>
      </c>
    </row>
    <row r="103" spans="3:30" ht="18" customHeight="1">
      <c r="C103" s="21" t="s">
        <v>411</v>
      </c>
      <c r="E103" s="71" t="s">
        <v>365</v>
      </c>
      <c r="G103" s="21" t="s">
        <v>478</v>
      </c>
      <c r="Y103" t="s">
        <v>1220</v>
      </c>
      <c r="Z103">
        <v>25299</v>
      </c>
      <c r="AA103" t="s">
        <v>942</v>
      </c>
      <c r="AB103" t="s">
        <v>365</v>
      </c>
      <c r="AC103">
        <v>56199</v>
      </c>
      <c r="AD103" t="s">
        <v>1013</v>
      </c>
    </row>
    <row r="104" spans="3:30" ht="18" customHeight="1">
      <c r="C104" s="21" t="s">
        <v>480</v>
      </c>
      <c r="E104" s="71" t="s">
        <v>541</v>
      </c>
      <c r="G104" s="21" t="s">
        <v>481</v>
      </c>
      <c r="Y104" t="s">
        <v>1221</v>
      </c>
      <c r="Z104">
        <v>25647</v>
      </c>
      <c r="AA104" t="s">
        <v>943</v>
      </c>
    </row>
    <row r="105" spans="3:30" ht="18" customHeight="1">
      <c r="C105" s="21" t="s">
        <v>482</v>
      </c>
      <c r="E105" s="71" t="s">
        <v>542</v>
      </c>
      <c r="G105" s="21" t="s">
        <v>483</v>
      </c>
    </row>
    <row r="106" spans="3:30" ht="18" customHeight="1">
      <c r="C106" s="21" t="s">
        <v>484</v>
      </c>
      <c r="E106" s="71" t="s">
        <v>426</v>
      </c>
      <c r="G106" s="21" t="s">
        <v>483</v>
      </c>
      <c r="Y106" t="s">
        <v>1222</v>
      </c>
      <c r="Z106">
        <v>12093</v>
      </c>
      <c r="AA106" t="s">
        <v>944</v>
      </c>
    </row>
    <row r="107" spans="3:30" ht="18" customHeight="1">
      <c r="C107" s="21"/>
      <c r="E107" s="71" t="s">
        <v>543</v>
      </c>
      <c r="G107" s="21" t="s">
        <v>483</v>
      </c>
      <c r="AB107" t="s">
        <v>543</v>
      </c>
      <c r="AC107">
        <v>55966</v>
      </c>
      <c r="AD107" t="s">
        <v>1014</v>
      </c>
    </row>
    <row r="108" spans="3:30" ht="18" customHeight="1">
      <c r="C108" s="21"/>
      <c r="E108" s="71" t="s">
        <v>544</v>
      </c>
      <c r="G108" s="21" t="s">
        <v>483</v>
      </c>
    </row>
    <row r="109" spans="3:30" ht="18" customHeight="1">
      <c r="C109" s="21" t="s">
        <v>412</v>
      </c>
      <c r="E109" s="71" t="s">
        <v>64</v>
      </c>
      <c r="G109" s="21" t="s">
        <v>413</v>
      </c>
      <c r="Y109" t="s">
        <v>656</v>
      </c>
      <c r="Z109">
        <v>19572</v>
      </c>
      <c r="AA109" t="s">
        <v>945</v>
      </c>
    </row>
    <row r="110" spans="3:30" ht="18" customHeight="1">
      <c r="C110" s="21" t="s">
        <v>485</v>
      </c>
      <c r="E110" s="71" t="s">
        <v>545</v>
      </c>
      <c r="G110" s="21" t="s">
        <v>413</v>
      </c>
    </row>
    <row r="111" spans="3:30" ht="18" customHeight="1">
      <c r="C111" s="21" t="s">
        <v>486</v>
      </c>
      <c r="E111" s="71" t="s">
        <v>546</v>
      </c>
      <c r="G111" s="21" t="s">
        <v>413</v>
      </c>
      <c r="Y111" t="s">
        <v>1223</v>
      </c>
      <c r="Z111">
        <v>30153</v>
      </c>
      <c r="AA111" t="s">
        <v>946</v>
      </c>
    </row>
    <row r="112" spans="3:30" ht="18" customHeight="1">
      <c r="C112" s="21" t="s">
        <v>487</v>
      </c>
      <c r="E112" s="71"/>
      <c r="G112" s="21" t="s">
        <v>413</v>
      </c>
      <c r="Y112" t="s">
        <v>1224</v>
      </c>
      <c r="Z112">
        <v>18817</v>
      </c>
      <c r="AA112" t="s">
        <v>947</v>
      </c>
    </row>
    <row r="113" spans="3:30" ht="18" customHeight="1">
      <c r="C113" s="21"/>
      <c r="E113" s="71">
        <v>1</v>
      </c>
      <c r="G113" s="21" t="s">
        <v>397</v>
      </c>
    </row>
    <row r="114" spans="3:30" ht="18" customHeight="1">
      <c r="C114" s="21"/>
      <c r="E114" s="71">
        <v>2</v>
      </c>
      <c r="G114" s="21" t="s">
        <v>488</v>
      </c>
    </row>
    <row r="115" spans="3:30" ht="18" customHeight="1">
      <c r="C115" s="21"/>
      <c r="E115" s="71">
        <v>3</v>
      </c>
      <c r="G115" s="21" t="s">
        <v>397</v>
      </c>
    </row>
    <row r="116" spans="3:30" ht="18" customHeight="1">
      <c r="C116" s="21" t="s">
        <v>452</v>
      </c>
      <c r="E116" s="71" t="s">
        <v>578</v>
      </c>
      <c r="G116" s="21" t="s">
        <v>396</v>
      </c>
      <c r="Y116" t="s">
        <v>1225</v>
      </c>
      <c r="Z116">
        <v>28444</v>
      </c>
      <c r="AA116" t="s">
        <v>948</v>
      </c>
    </row>
    <row r="117" spans="3:30" ht="18" customHeight="1">
      <c r="C117" s="21" t="s">
        <v>414</v>
      </c>
      <c r="E117" s="71" t="s">
        <v>451</v>
      </c>
      <c r="G117" s="21" t="s">
        <v>396</v>
      </c>
      <c r="AB117" t="s">
        <v>451</v>
      </c>
      <c r="AC117">
        <v>56664</v>
      </c>
      <c r="AD117" t="s">
        <v>1015</v>
      </c>
    </row>
    <row r="118" spans="3:30" ht="18" customHeight="1">
      <c r="C118" s="21" t="s">
        <v>450</v>
      </c>
      <c r="E118" s="71" t="s">
        <v>579</v>
      </c>
      <c r="G118" s="21" t="s">
        <v>396</v>
      </c>
      <c r="Y118" t="s">
        <v>1162</v>
      </c>
      <c r="Z118">
        <v>30373</v>
      </c>
      <c r="AA118" t="s">
        <v>844</v>
      </c>
    </row>
    <row r="119" spans="3:30" ht="18" customHeight="1">
      <c r="C119" s="21" t="s">
        <v>415</v>
      </c>
      <c r="E119" s="71" t="s">
        <v>547</v>
      </c>
      <c r="G119" s="21" t="s">
        <v>396</v>
      </c>
      <c r="Y119" t="s">
        <v>1226</v>
      </c>
      <c r="Z119">
        <v>4416</v>
      </c>
      <c r="AA119" t="s">
        <v>949</v>
      </c>
    </row>
    <row r="120" spans="3:30" ht="18" customHeight="1">
      <c r="C120" s="21" t="s">
        <v>489</v>
      </c>
      <c r="E120" s="71" t="s">
        <v>300</v>
      </c>
      <c r="G120" s="21" t="s">
        <v>396</v>
      </c>
      <c r="Y120" t="s">
        <v>1227</v>
      </c>
      <c r="Z120">
        <v>5665</v>
      </c>
      <c r="AA120" t="s">
        <v>950</v>
      </c>
      <c r="AB120" t="s">
        <v>300</v>
      </c>
      <c r="AC120">
        <v>56499</v>
      </c>
      <c r="AD120" t="s">
        <v>1016</v>
      </c>
    </row>
    <row r="121" spans="3:30" ht="18" customHeight="1">
      <c r="C121" s="21" t="s">
        <v>490</v>
      </c>
      <c r="E121" s="71" t="s">
        <v>453</v>
      </c>
      <c r="G121" s="21" t="s">
        <v>396</v>
      </c>
      <c r="AB121" t="s">
        <v>453</v>
      </c>
      <c r="AC121">
        <v>53781</v>
      </c>
      <c r="AD121" t="s">
        <v>1017</v>
      </c>
    </row>
    <row r="122" spans="3:30" ht="18" customHeight="1">
      <c r="C122" s="21"/>
      <c r="E122" s="71" t="s">
        <v>548</v>
      </c>
      <c r="G122" s="21" t="s">
        <v>396</v>
      </c>
    </row>
    <row r="123" spans="3:30" ht="18" customHeight="1">
      <c r="C123" s="21"/>
      <c r="E123" s="71" t="s">
        <v>549</v>
      </c>
      <c r="G123" s="21" t="s">
        <v>396</v>
      </c>
    </row>
    <row r="124" spans="3:30" ht="18" customHeight="1">
      <c r="C124" s="21" t="s">
        <v>388</v>
      </c>
      <c r="E124" s="71" t="s">
        <v>391</v>
      </c>
      <c r="G124" s="21" t="s">
        <v>389</v>
      </c>
      <c r="Y124" t="s">
        <v>1228</v>
      </c>
      <c r="Z124">
        <v>28144</v>
      </c>
      <c r="AA124" t="s">
        <v>951</v>
      </c>
      <c r="AB124" t="s">
        <v>391</v>
      </c>
      <c r="AC124">
        <v>57474</v>
      </c>
      <c r="AD124" t="s">
        <v>1018</v>
      </c>
    </row>
    <row r="125" spans="3:30" ht="18" customHeight="1">
      <c r="C125" s="21" t="s">
        <v>390</v>
      </c>
      <c r="E125" s="71" t="s">
        <v>580</v>
      </c>
      <c r="G125" s="21" t="s">
        <v>389</v>
      </c>
    </row>
    <row r="126" spans="3:30" ht="18" customHeight="1">
      <c r="C126" s="21" t="s">
        <v>491</v>
      </c>
      <c r="E126" s="71" t="s" ph="1">
        <v>550</v>
      </c>
      <c r="G126" s="21" t="s">
        <v>492</v>
      </c>
      <c r="Y126" t="s">
        <v>1229</v>
      </c>
      <c r="Z126">
        <v>25486</v>
      </c>
      <c r="AA126" t="s">
        <v>952</v>
      </c>
      <c r="AB126" t="s">
        <v>1020</v>
      </c>
      <c r="AC126">
        <v>58873</v>
      </c>
      <c r="AD126" t="s">
        <v>1019</v>
      </c>
    </row>
    <row r="127" spans="3:30" ht="18" customHeight="1">
      <c r="C127" s="21" t="s">
        <v>493</v>
      </c>
      <c r="E127" s="71" t="s">
        <v>551</v>
      </c>
      <c r="G127" s="21" t="s">
        <v>492</v>
      </c>
      <c r="Y127" t="s">
        <v>1230</v>
      </c>
      <c r="Z127">
        <v>5255</v>
      </c>
      <c r="AA127" t="s">
        <v>953</v>
      </c>
      <c r="AB127" t="s">
        <v>1022</v>
      </c>
      <c r="AC127">
        <v>58131</v>
      </c>
      <c r="AD127" t="s">
        <v>1021</v>
      </c>
    </row>
    <row r="128" spans="3:30" ht="18" customHeight="1">
      <c r="C128" s="21"/>
      <c r="E128" s="71" t="s">
        <v>552</v>
      </c>
      <c r="G128" s="21" t="s">
        <v>416</v>
      </c>
    </row>
    <row r="129" spans="3:30" ht="18" customHeight="1">
      <c r="C129" s="21"/>
      <c r="E129" s="71" t="s">
        <v>553</v>
      </c>
      <c r="G129" s="21" t="s">
        <v>416</v>
      </c>
    </row>
    <row r="130" spans="3:30" ht="18" customHeight="1">
      <c r="C130" s="21"/>
      <c r="E130" s="71"/>
      <c r="G130" s="21" t="s">
        <v>416</v>
      </c>
    </row>
    <row r="131" spans="3:30" ht="18" customHeight="1">
      <c r="C131" s="83" t="s">
        <v>371</v>
      </c>
      <c r="E131" s="71" t="s">
        <v>372</v>
      </c>
      <c r="G131" s="21" t="s">
        <v>370</v>
      </c>
      <c r="Y131" t="s">
        <v>1231</v>
      </c>
      <c r="Z131">
        <v>5377</v>
      </c>
      <c r="AA131" t="s">
        <v>954</v>
      </c>
    </row>
    <row r="132" spans="3:30" ht="18" customHeight="1">
      <c r="C132" s="21" t="s">
        <v>494</v>
      </c>
      <c r="E132" s="71" t="s">
        <v>554</v>
      </c>
      <c r="G132" s="21" t="s">
        <v>370</v>
      </c>
      <c r="Y132" t="s">
        <v>1232</v>
      </c>
      <c r="Z132">
        <v>30087</v>
      </c>
      <c r="AA132" t="s">
        <v>955</v>
      </c>
      <c r="AB132" t="s">
        <v>554</v>
      </c>
      <c r="AC132">
        <v>58228</v>
      </c>
      <c r="AD132" t="s">
        <v>1023</v>
      </c>
    </row>
    <row r="133" spans="3:30" ht="18" customHeight="1">
      <c r="C133" s="21"/>
      <c r="E133" s="71"/>
      <c r="G133" s="21" t="s">
        <v>370</v>
      </c>
    </row>
    <row r="134" spans="3:30" ht="18" customHeight="1">
      <c r="C134" s="21" t="s">
        <v>417</v>
      </c>
      <c r="E134" s="71" t="s">
        <v>304</v>
      </c>
      <c r="G134" s="21" t="s">
        <v>418</v>
      </c>
      <c r="Y134" t="s">
        <v>1233</v>
      </c>
      <c r="Z134">
        <v>29609</v>
      </c>
      <c r="AA134" t="s">
        <v>956</v>
      </c>
    </row>
    <row r="135" spans="3:30" ht="18" customHeight="1">
      <c r="C135" s="21" t="s">
        <v>419</v>
      </c>
      <c r="E135" s="71" t="s">
        <v>555</v>
      </c>
      <c r="G135" s="21" t="s">
        <v>418</v>
      </c>
      <c r="Y135" t="s">
        <v>1234</v>
      </c>
      <c r="Z135">
        <v>22492</v>
      </c>
      <c r="AA135" t="s">
        <v>957</v>
      </c>
    </row>
    <row r="136" spans="3:30" ht="18" customHeight="1">
      <c r="C136" s="21" t="s">
        <v>420</v>
      </c>
      <c r="E136" s="71" t="s">
        <v>78</v>
      </c>
      <c r="G136" s="21" t="s">
        <v>418</v>
      </c>
      <c r="Y136" t="s">
        <v>1235</v>
      </c>
      <c r="Z136">
        <v>13880</v>
      </c>
      <c r="AA136" t="s">
        <v>958</v>
      </c>
    </row>
    <row r="137" spans="3:30" ht="18" customHeight="1">
      <c r="C137" s="21" t="s">
        <v>495</v>
      </c>
      <c r="E137" s="71" t="s" ph="1">
        <v>556</v>
      </c>
      <c r="G137" s="21" t="s">
        <v>418</v>
      </c>
      <c r="Y137" t="s">
        <v>1236</v>
      </c>
      <c r="Z137">
        <v>13879</v>
      </c>
      <c r="AA137" t="s">
        <v>959</v>
      </c>
      <c r="AB137" t="s">
        <v>1025</v>
      </c>
      <c r="AC137">
        <v>57936</v>
      </c>
      <c r="AD137" t="s">
        <v>1024</v>
      </c>
    </row>
    <row r="138" spans="3:30" ht="18" customHeight="1">
      <c r="C138" s="21" t="s">
        <v>496</v>
      </c>
      <c r="E138" s="71" t="s">
        <v>427</v>
      </c>
      <c r="G138" s="21" t="s">
        <v>418</v>
      </c>
      <c r="Y138" t="s">
        <v>1237</v>
      </c>
      <c r="Z138">
        <v>30642</v>
      </c>
      <c r="AA138" t="s">
        <v>960</v>
      </c>
      <c r="AB138" t="s">
        <v>427</v>
      </c>
      <c r="AC138">
        <v>56033</v>
      </c>
      <c r="AD138" t="s">
        <v>1026</v>
      </c>
    </row>
    <row r="139" spans="3:30" ht="18" customHeight="1">
      <c r="C139" s="21"/>
      <c r="E139" s="71" t="s">
        <v>557</v>
      </c>
      <c r="G139" s="21" t="s">
        <v>418</v>
      </c>
      <c r="AB139" t="s">
        <v>557</v>
      </c>
      <c r="AC139">
        <v>56552</v>
      </c>
      <c r="AD139" t="s">
        <v>1027</v>
      </c>
    </row>
    <row r="140" spans="3:30" ht="18" customHeight="1">
      <c r="C140" s="21"/>
      <c r="E140" s="71" t="s">
        <v>79</v>
      </c>
      <c r="G140" s="21" t="s">
        <v>418</v>
      </c>
    </row>
    <row r="141" spans="3:30" ht="18" customHeight="1">
      <c r="C141" s="21" t="s">
        <v>431</v>
      </c>
      <c r="E141" s="71" t="s">
        <v>558</v>
      </c>
      <c r="G141" s="21" t="s">
        <v>432</v>
      </c>
      <c r="Y141" t="s">
        <v>1238</v>
      </c>
      <c r="Z141">
        <v>18291</v>
      </c>
      <c r="AA141" t="s">
        <v>961</v>
      </c>
      <c r="AB141" t="s">
        <v>558</v>
      </c>
      <c r="AC141">
        <v>56364</v>
      </c>
      <c r="AD141" t="s">
        <v>1028</v>
      </c>
    </row>
    <row r="142" spans="3:30" ht="18" customHeight="1">
      <c r="C142" s="21" t="s">
        <v>430</v>
      </c>
      <c r="E142" s="71" t="s">
        <v>245</v>
      </c>
      <c r="G142" s="21" t="s">
        <v>432</v>
      </c>
      <c r="Y142" t="s">
        <v>1239</v>
      </c>
      <c r="Z142">
        <v>14726</v>
      </c>
      <c r="AA142" t="s">
        <v>962</v>
      </c>
    </row>
    <row r="143" spans="3:30" ht="18" customHeight="1">
      <c r="C143" s="21" t="s">
        <v>497</v>
      </c>
      <c r="E143" s="71" t="s">
        <v>433</v>
      </c>
      <c r="G143" s="21" t="s">
        <v>432</v>
      </c>
    </row>
    <row r="144" spans="3:30" ht="18" customHeight="1">
      <c r="C144" s="21" t="s">
        <v>498</v>
      </c>
      <c r="E144" s="71" t="s">
        <v>559</v>
      </c>
      <c r="G144" s="21" t="s">
        <v>432</v>
      </c>
    </row>
    <row r="145" spans="3:30" ht="18" customHeight="1">
      <c r="C145" s="21" t="s">
        <v>499</v>
      </c>
      <c r="E145" s="71" t="s">
        <v>438</v>
      </c>
      <c r="G145" s="21" t="s">
        <v>437</v>
      </c>
      <c r="Y145" t="s">
        <v>1240</v>
      </c>
      <c r="Z145">
        <v>1626</v>
      </c>
      <c r="AA145" t="s">
        <v>963</v>
      </c>
      <c r="AB145" t="s">
        <v>637</v>
      </c>
      <c r="AC145">
        <v>56268</v>
      </c>
      <c r="AD145" t="s">
        <v>1029</v>
      </c>
    </row>
    <row r="146" spans="3:30" ht="18" customHeight="1">
      <c r="C146" s="21" t="s">
        <v>435</v>
      </c>
      <c r="E146" s="71" t="s">
        <v>439</v>
      </c>
      <c r="G146" s="21" t="s">
        <v>437</v>
      </c>
      <c r="Y146" t="s">
        <v>1241</v>
      </c>
      <c r="Z146">
        <v>25255</v>
      </c>
      <c r="AA146" t="s">
        <v>964</v>
      </c>
    </row>
    <row r="147" spans="3:30" ht="18" customHeight="1">
      <c r="C147" s="21"/>
      <c r="E147" s="71" t="s">
        <v>436</v>
      </c>
      <c r="G147" s="21" t="s">
        <v>437</v>
      </c>
    </row>
    <row r="148" spans="3:30" ht="18" customHeight="1">
      <c r="C148" s="21" t="s">
        <v>374</v>
      </c>
      <c r="E148" s="71" t="s">
        <v>375</v>
      </c>
      <c r="G148" s="21" t="s">
        <v>373</v>
      </c>
      <c r="Y148" t="s">
        <v>1242</v>
      </c>
      <c r="Z148">
        <v>3572</v>
      </c>
      <c r="AA148" t="s">
        <v>965</v>
      </c>
    </row>
    <row r="149" spans="3:30" ht="18" customHeight="1">
      <c r="C149" s="21"/>
      <c r="E149" s="71" t="s">
        <v>434</v>
      </c>
      <c r="G149" s="21" t="s">
        <v>373</v>
      </c>
      <c r="AB149" t="s">
        <v>1031</v>
      </c>
      <c r="AC149">
        <v>56575</v>
      </c>
      <c r="AD149" t="s">
        <v>1030</v>
      </c>
    </row>
    <row r="150" spans="3:30" ht="18" customHeight="1">
      <c r="C150" s="21"/>
      <c r="E150" s="71" t="s">
        <v>376</v>
      </c>
      <c r="G150" s="21" t="s">
        <v>373</v>
      </c>
      <c r="AB150" t="s">
        <v>376</v>
      </c>
      <c r="AC150">
        <v>56511</v>
      </c>
      <c r="AD150" t="s">
        <v>1032</v>
      </c>
    </row>
    <row r="151" spans="3:30" ht="18" customHeight="1">
      <c r="C151" s="21" t="s">
        <v>403</v>
      </c>
      <c r="E151" s="71" t="s">
        <v>560</v>
      </c>
      <c r="G151" s="21" t="s">
        <v>500</v>
      </c>
      <c r="Y151" t="s">
        <v>1243</v>
      </c>
      <c r="Z151">
        <v>3337</v>
      </c>
      <c r="AA151" t="s">
        <v>966</v>
      </c>
      <c r="AB151" t="s">
        <v>560</v>
      </c>
      <c r="AC151">
        <v>57526</v>
      </c>
      <c r="AD151" t="s">
        <v>1033</v>
      </c>
    </row>
    <row r="152" spans="3:30" ht="18" customHeight="1">
      <c r="C152" s="21"/>
      <c r="E152" s="71" t="s">
        <v>561</v>
      </c>
      <c r="G152" s="21" t="s">
        <v>500</v>
      </c>
      <c r="AB152" t="s">
        <v>561</v>
      </c>
      <c r="AC152">
        <v>58118</v>
      </c>
      <c r="AD152" t="s">
        <v>1034</v>
      </c>
    </row>
    <row r="153" spans="3:30" ht="18" customHeight="1">
      <c r="C153" s="21" t="s">
        <v>501</v>
      </c>
      <c r="E153" s="71" t="s" ph="1">
        <v>562</v>
      </c>
      <c r="G153" s="21" t="s">
        <v>502</v>
      </c>
      <c r="Y153" t="s">
        <v>1244</v>
      </c>
      <c r="Z153">
        <v>29842</v>
      </c>
      <c r="AA153" t="s">
        <v>967</v>
      </c>
    </row>
    <row r="154" spans="3:30" ht="18" customHeight="1">
      <c r="C154" s="21" t="s">
        <v>503</v>
      </c>
      <c r="E154" s="71" t="s" ph="1">
        <v>563</v>
      </c>
      <c r="G154" s="21" t="s">
        <v>502</v>
      </c>
      <c r="Y154" t="s">
        <v>1245</v>
      </c>
      <c r="Z154">
        <v>26703</v>
      </c>
      <c r="AA154" t="s">
        <v>968</v>
      </c>
    </row>
    <row r="155" spans="3:30" ht="18" customHeight="1">
      <c r="C155" s="21" t="s">
        <v>504</v>
      </c>
      <c r="E155" s="71"/>
      <c r="G155" s="21" t="s">
        <v>502</v>
      </c>
    </row>
    <row r="156" spans="3:30" ht="18" customHeight="1">
      <c r="C156" s="21" t="s">
        <v>378</v>
      </c>
      <c r="E156" s="71" t="s">
        <v>564</v>
      </c>
      <c r="G156" s="21" t="s">
        <v>505</v>
      </c>
      <c r="AB156" t="s">
        <v>564</v>
      </c>
      <c r="AC156">
        <v>58000</v>
      </c>
      <c r="AD156" t="s">
        <v>1035</v>
      </c>
    </row>
    <row r="157" spans="3:30" ht="18" customHeight="1">
      <c r="C157" s="21" t="s">
        <v>377</v>
      </c>
      <c r="E157" s="71" t="s">
        <v>449</v>
      </c>
      <c r="G157" s="21" t="s">
        <v>505</v>
      </c>
      <c r="Y157" t="s">
        <v>1115</v>
      </c>
      <c r="Z157">
        <v>25140</v>
      </c>
      <c r="AA157" t="s">
        <v>741</v>
      </c>
    </row>
    <row r="158" spans="3:30" ht="18" customHeight="1">
      <c r="C158" s="21" t="s">
        <v>506</v>
      </c>
      <c r="E158" s="71" t="s">
        <v>68</v>
      </c>
      <c r="G158" s="21" t="s">
        <v>505</v>
      </c>
    </row>
    <row r="159" spans="3:30" ht="18" customHeight="1">
      <c r="C159" s="21" t="s">
        <v>421</v>
      </c>
      <c r="E159" s="71" t="s">
        <v>565</v>
      </c>
      <c r="G159" s="21" t="s">
        <v>505</v>
      </c>
      <c r="Y159" t="s">
        <v>1116</v>
      </c>
      <c r="Z159">
        <v>15048</v>
      </c>
      <c r="AA159" t="s">
        <v>742</v>
      </c>
      <c r="AB159" t="s">
        <v>565</v>
      </c>
      <c r="AC159">
        <v>58001</v>
      </c>
      <c r="AD159" t="s">
        <v>1036</v>
      </c>
    </row>
    <row r="160" spans="3:30" ht="18" customHeight="1">
      <c r="C160" s="21" t="s">
        <v>448</v>
      </c>
      <c r="E160" s="71"/>
      <c r="G160" s="21" t="s">
        <v>505</v>
      </c>
    </row>
    <row r="161" spans="3:30" ht="18" customHeight="1">
      <c r="C161" s="21" t="s">
        <v>507</v>
      </c>
      <c r="E161" s="71" t="s">
        <v>566</v>
      </c>
      <c r="G161" s="21" t="s">
        <v>508</v>
      </c>
      <c r="Y161" t="s">
        <v>1117</v>
      </c>
      <c r="Z161">
        <v>11802</v>
      </c>
      <c r="AA161" t="s">
        <v>743</v>
      </c>
    </row>
    <row r="162" spans="3:30" ht="18" customHeight="1">
      <c r="C162" s="21" t="s">
        <v>509</v>
      </c>
      <c r="E162" s="71" t="s">
        <v>567</v>
      </c>
      <c r="G162" s="21" t="s">
        <v>508</v>
      </c>
    </row>
    <row r="163" spans="3:30" ht="18" customHeight="1">
      <c r="C163" s="21" t="s">
        <v>510</v>
      </c>
      <c r="E163" s="71"/>
      <c r="G163" s="21" t="s">
        <v>508</v>
      </c>
      <c r="Y163" t="s">
        <v>1246</v>
      </c>
      <c r="Z163">
        <v>30279</v>
      </c>
      <c r="AA163" t="s">
        <v>969</v>
      </c>
    </row>
    <row r="164" spans="3:30" ht="18" customHeight="1">
      <c r="C164" s="21" t="s">
        <v>511</v>
      </c>
      <c r="E164" s="71" t="s">
        <v>274</v>
      </c>
      <c r="G164" s="21" t="s">
        <v>444</v>
      </c>
      <c r="Y164" t="s">
        <v>1247</v>
      </c>
      <c r="Z164">
        <v>22488</v>
      </c>
      <c r="AA164" t="s">
        <v>970</v>
      </c>
      <c r="AB164" t="s">
        <v>274</v>
      </c>
      <c r="AC164">
        <v>56437</v>
      </c>
      <c r="AD164" t="s">
        <v>811</v>
      </c>
    </row>
    <row r="165" spans="3:30" ht="18" customHeight="1">
      <c r="C165" s="21" t="s">
        <v>441</v>
      </c>
      <c r="E165" s="71" t="s">
        <v>275</v>
      </c>
      <c r="G165" s="21" t="s">
        <v>444</v>
      </c>
      <c r="AB165" t="s">
        <v>275</v>
      </c>
      <c r="AC165">
        <v>56942</v>
      </c>
      <c r="AD165" t="s">
        <v>812</v>
      </c>
    </row>
    <row r="166" spans="3:30" ht="18" customHeight="1">
      <c r="C166" s="21" t="s">
        <v>443</v>
      </c>
      <c r="E166" s="71" t="s">
        <v>568</v>
      </c>
      <c r="G166" s="21" t="s">
        <v>444</v>
      </c>
      <c r="AB166" t="s">
        <v>568</v>
      </c>
      <c r="AC166">
        <v>57469</v>
      </c>
      <c r="AD166" t="s">
        <v>1037</v>
      </c>
    </row>
    <row r="167" spans="3:30" ht="18" customHeight="1">
      <c r="C167" s="21" t="s">
        <v>422</v>
      </c>
      <c r="E167" s="71" t="s">
        <v>272</v>
      </c>
      <c r="G167" s="21" t="s">
        <v>444</v>
      </c>
      <c r="Y167" t="s">
        <v>1248</v>
      </c>
      <c r="Z167">
        <v>25106</v>
      </c>
      <c r="AA167" t="s">
        <v>971</v>
      </c>
    </row>
    <row r="168" spans="3:30" ht="18" customHeight="1">
      <c r="C168" s="21" t="s">
        <v>512</v>
      </c>
      <c r="E168" s="71" t="s">
        <v>569</v>
      </c>
      <c r="G168" s="21" t="s">
        <v>444</v>
      </c>
      <c r="Y168" t="s">
        <v>1119</v>
      </c>
      <c r="Z168">
        <v>21115</v>
      </c>
      <c r="AA168" t="s">
        <v>745</v>
      </c>
      <c r="AB168" t="s">
        <v>569</v>
      </c>
      <c r="AC168">
        <v>57470</v>
      </c>
      <c r="AD168" t="s">
        <v>1038</v>
      </c>
    </row>
    <row r="169" spans="3:30" ht="18" customHeight="1">
      <c r="C169" s="21" t="s">
        <v>513</v>
      </c>
      <c r="E169" s="71" t="s">
        <v>276</v>
      </c>
      <c r="G169" s="21" t="s">
        <v>444</v>
      </c>
      <c r="Y169" t="s">
        <v>1120</v>
      </c>
      <c r="Z169">
        <v>14681</v>
      </c>
      <c r="AA169" t="s">
        <v>746</v>
      </c>
      <c r="AB169" t="s">
        <v>276</v>
      </c>
      <c r="AC169">
        <v>56943</v>
      </c>
      <c r="AD169" t="s">
        <v>813</v>
      </c>
    </row>
    <row r="170" spans="3:30" ht="18" customHeight="1">
      <c r="C170" s="21" t="s">
        <v>442</v>
      </c>
      <c r="E170" s="71" t="s">
        <v>570</v>
      </c>
      <c r="G170" s="21" t="s">
        <v>444</v>
      </c>
      <c r="AB170" t="s">
        <v>570</v>
      </c>
      <c r="AC170">
        <v>56436</v>
      </c>
      <c r="AD170" t="s">
        <v>1039</v>
      </c>
    </row>
    <row r="171" spans="3:30" ht="18" customHeight="1">
      <c r="C171" s="21" t="s">
        <v>514</v>
      </c>
      <c r="E171" s="71"/>
      <c r="G171" s="21" t="s">
        <v>444</v>
      </c>
      <c r="Y171" t="s">
        <v>1121</v>
      </c>
      <c r="Z171">
        <v>11745</v>
      </c>
      <c r="AA171" t="s">
        <v>747</v>
      </c>
    </row>
    <row r="172" spans="3:30" ht="18" customHeight="1">
      <c r="C172" s="21" t="s">
        <v>392</v>
      </c>
      <c r="E172" s="71" t="s">
        <v>393</v>
      </c>
      <c r="G172" s="21" t="s">
        <v>394</v>
      </c>
      <c r="Y172" t="s">
        <v>1249</v>
      </c>
      <c r="Z172">
        <v>26988</v>
      </c>
      <c r="AA172" t="s">
        <v>972</v>
      </c>
    </row>
    <row r="173" spans="3:30" ht="18" customHeight="1">
      <c r="C173" s="21"/>
      <c r="E173" s="71" t="s" ph="1">
        <v>461</v>
      </c>
      <c r="G173" s="21" t="s">
        <v>394</v>
      </c>
    </row>
    <row r="174" spans="3:30" ht="18" customHeight="1">
      <c r="C174" s="21" t="s">
        <v>515</v>
      </c>
      <c r="E174" s="71" t="s">
        <v>366</v>
      </c>
      <c r="G174" s="21" t="s">
        <v>516</v>
      </c>
      <c r="Y174" t="s">
        <v>1250</v>
      </c>
      <c r="Z174">
        <v>9329</v>
      </c>
      <c r="AA174" t="s">
        <v>973</v>
      </c>
      <c r="AB174" t="s">
        <v>366</v>
      </c>
      <c r="AC174">
        <v>55663</v>
      </c>
      <c r="AD174" t="s">
        <v>1040</v>
      </c>
    </row>
    <row r="175" spans="3:30" ht="18" customHeight="1">
      <c r="C175" s="21" t="s">
        <v>428</v>
      </c>
      <c r="E175" s="71" t="s">
        <v>367</v>
      </c>
      <c r="G175" s="21" t="s">
        <v>516</v>
      </c>
      <c r="Y175" t="s">
        <v>1251</v>
      </c>
      <c r="Z175">
        <v>27715</v>
      </c>
      <c r="AA175" t="s">
        <v>974</v>
      </c>
    </row>
    <row r="176" spans="3:30" ht="18" customHeight="1">
      <c r="C176" s="21" t="s">
        <v>386</v>
      </c>
      <c r="E176" s="71" t="s">
        <v>571</v>
      </c>
      <c r="G176" s="21" t="s">
        <v>516</v>
      </c>
      <c r="Y176" t="s">
        <v>1252</v>
      </c>
      <c r="Z176">
        <v>20375</v>
      </c>
      <c r="AA176" t="s">
        <v>975</v>
      </c>
      <c r="AB176" t="s">
        <v>571</v>
      </c>
      <c r="AC176">
        <v>58305</v>
      </c>
      <c r="AD176" t="s">
        <v>1041</v>
      </c>
    </row>
    <row r="177" spans="3:30" ht="18" customHeight="1">
      <c r="C177" s="21" t="s">
        <v>387</v>
      </c>
      <c r="E177" s="71" t="s">
        <v>429</v>
      </c>
      <c r="G177" s="21" t="s">
        <v>516</v>
      </c>
      <c r="Y177" t="s">
        <v>1253</v>
      </c>
      <c r="Z177">
        <v>22594</v>
      </c>
      <c r="AA177" t="s">
        <v>976</v>
      </c>
    </row>
    <row r="178" spans="3:30" ht="18" customHeight="1">
      <c r="C178" s="21" t="s">
        <v>398</v>
      </c>
      <c r="E178" s="71" t="s">
        <v>368</v>
      </c>
      <c r="G178" s="21" t="s">
        <v>402</v>
      </c>
      <c r="Y178" t="s">
        <v>1134</v>
      </c>
      <c r="Z178">
        <v>5939</v>
      </c>
      <c r="AA178" t="s">
        <v>760</v>
      </c>
      <c r="AB178" t="s">
        <v>368</v>
      </c>
      <c r="AC178">
        <v>53978</v>
      </c>
      <c r="AD178" t="s">
        <v>1042</v>
      </c>
    </row>
    <row r="179" spans="3:30" ht="18" customHeight="1">
      <c r="C179" s="21" t="s">
        <v>401</v>
      </c>
      <c r="E179" s="71" t="s">
        <v>400</v>
      </c>
      <c r="G179" s="21" t="s">
        <v>402</v>
      </c>
      <c r="Y179" t="s">
        <v>1135</v>
      </c>
      <c r="Z179">
        <v>2306</v>
      </c>
      <c r="AA179" t="s">
        <v>761</v>
      </c>
    </row>
    <row r="180" spans="3:30" ht="18" customHeight="1">
      <c r="C180" s="21" t="s">
        <v>399</v>
      </c>
      <c r="E180" s="71" t="s">
        <v>581</v>
      </c>
      <c r="G180" s="21" t="s">
        <v>402</v>
      </c>
    </row>
    <row r="181" spans="3:30" ht="18" customHeight="1">
      <c r="C181" s="21" t="s">
        <v>454</v>
      </c>
      <c r="E181" s="84" t="s" ph="1">
        <v>455</v>
      </c>
      <c r="G181" s="21" t="s">
        <v>456</v>
      </c>
      <c r="Y181" t="s">
        <v>1254</v>
      </c>
      <c r="Z181">
        <v>24356</v>
      </c>
      <c r="AA181" t="s">
        <v>977</v>
      </c>
      <c r="AB181" t="s">
        <v>219</v>
      </c>
      <c r="AC181">
        <v>55129</v>
      </c>
      <c r="AD181" t="s">
        <v>790</v>
      </c>
    </row>
    <row r="182" spans="3:30" ht="18" customHeight="1">
      <c r="C182" s="21" t="s">
        <v>517</v>
      </c>
      <c r="E182" s="84" t="s" ph="1">
        <v>457</v>
      </c>
      <c r="G182" s="21" t="s">
        <v>456</v>
      </c>
    </row>
    <row r="183" spans="3:30" ht="18" customHeight="1">
      <c r="C183" s="21" t="s">
        <v>462</v>
      </c>
      <c r="E183" s="71" t="s">
        <v>582</v>
      </c>
      <c r="G183" s="21" t="s">
        <v>518</v>
      </c>
    </row>
    <row r="184" spans="3:30" ht="18" customHeight="1">
      <c r="C184" s="21" t="s">
        <v>519</v>
      </c>
      <c r="E184" s="71" t="s">
        <v>59</v>
      </c>
      <c r="G184" s="21" t="s">
        <v>518</v>
      </c>
      <c r="Y184" t="s">
        <v>702</v>
      </c>
      <c r="Z184">
        <v>13141</v>
      </c>
      <c r="AA184" t="s">
        <v>782</v>
      </c>
    </row>
    <row r="185" spans="3:30" ht="18" customHeight="1">
      <c r="C185" s="21" t="s">
        <v>464</v>
      </c>
      <c r="E185" s="71" t="s">
        <v>67</v>
      </c>
      <c r="G185" s="21" t="s">
        <v>518</v>
      </c>
      <c r="Y185" t="s">
        <v>1154</v>
      </c>
      <c r="Z185">
        <v>1800</v>
      </c>
      <c r="AA185" t="s">
        <v>783</v>
      </c>
      <c r="AB185" t="s">
        <v>1044</v>
      </c>
      <c r="AC185">
        <v>59916</v>
      </c>
      <c r="AD185" t="s">
        <v>1043</v>
      </c>
    </row>
    <row r="186" spans="3:30" ht="18" customHeight="1">
      <c r="C186" s="21" t="s">
        <v>463</v>
      </c>
      <c r="E186" s="71" t="s">
        <v>353</v>
      </c>
      <c r="G186" s="21" t="s">
        <v>518</v>
      </c>
    </row>
    <row r="187" spans="3:30" ht="18" customHeight="1">
      <c r="C187" s="21" t="s">
        <v>423</v>
      </c>
      <c r="E187" s="71" t="s">
        <v>60</v>
      </c>
      <c r="G187" s="21" t="s">
        <v>518</v>
      </c>
      <c r="AB187" t="s">
        <v>60</v>
      </c>
      <c r="AC187">
        <v>56296</v>
      </c>
      <c r="AD187" t="s">
        <v>834</v>
      </c>
    </row>
    <row r="188" spans="3:30" ht="18" customHeight="1">
      <c r="C188" s="21" t="s">
        <v>390</v>
      </c>
      <c r="E188" s="71" t="s">
        <v>369</v>
      </c>
      <c r="G188" s="21" t="s">
        <v>518</v>
      </c>
    </row>
    <row r="189" spans="3:30" ht="18" customHeight="1">
      <c r="C189" s="21"/>
      <c r="E189" s="71" t="s">
        <v>61</v>
      </c>
      <c r="G189" s="21" t="s">
        <v>518</v>
      </c>
    </row>
    <row r="190" spans="3:30" ht="18" customHeight="1">
      <c r="C190" s="21"/>
      <c r="E190" s="71" t="s">
        <v>576</v>
      </c>
      <c r="G190" s="21" t="s">
        <v>518</v>
      </c>
      <c r="AB190" t="s">
        <v>1046</v>
      </c>
      <c r="AC190">
        <v>58927</v>
      </c>
      <c r="AD190" t="s">
        <v>1045</v>
      </c>
    </row>
    <row r="191" spans="3:30" ht="18" customHeight="1">
      <c r="C191" s="21"/>
      <c r="E191" s="71" t="s">
        <v>70</v>
      </c>
      <c r="G191" s="21" t="s">
        <v>518</v>
      </c>
    </row>
    <row r="192" spans="3:30" ht="18" customHeight="1">
      <c r="C192" s="21"/>
      <c r="E192" s="71" t="s">
        <v>583</v>
      </c>
      <c r="G192" s="21" t="s">
        <v>518</v>
      </c>
      <c r="AB192" t="s">
        <v>1048</v>
      </c>
      <c r="AC192">
        <v>58928</v>
      </c>
      <c r="AD192" t="s">
        <v>1047</v>
      </c>
    </row>
    <row r="193" spans="3:30" ht="18" customHeight="1">
      <c r="C193" s="21"/>
      <c r="E193" s="71" t="s">
        <v>354</v>
      </c>
      <c r="G193" s="21" t="s">
        <v>518</v>
      </c>
    </row>
    <row r="194" spans="3:30" ht="18" customHeight="1">
      <c r="C194" s="21"/>
      <c r="E194" s="71" t="s">
        <v>584</v>
      </c>
      <c r="G194" s="21" t="s">
        <v>520</v>
      </c>
    </row>
    <row r="195" spans="3:30" ht="18" customHeight="1">
      <c r="C195" s="21" t="s">
        <v>521</v>
      </c>
      <c r="E195" s="71" t="s">
        <v>572</v>
      </c>
      <c r="G195" s="21" t="s">
        <v>522</v>
      </c>
      <c r="Y195" t="s">
        <v>1255</v>
      </c>
      <c r="Z195">
        <v>27853</v>
      </c>
      <c r="AA195" t="s">
        <v>978</v>
      </c>
      <c r="AB195" t="s">
        <v>572</v>
      </c>
      <c r="AC195">
        <v>56127</v>
      </c>
      <c r="AD195" t="s">
        <v>1049</v>
      </c>
    </row>
    <row r="196" spans="3:30" ht="18" customHeight="1">
      <c r="C196" s="21"/>
      <c r="E196" s="71" t="s" ph="1">
        <v>573</v>
      </c>
      <c r="G196" s="21" t="s">
        <v>522</v>
      </c>
    </row>
    <row r="197" spans="3:30" ht="18" customHeight="1">
      <c r="C197" s="21" t="s">
        <v>383</v>
      </c>
      <c r="E197" s="71" t="s">
        <v>384</v>
      </c>
      <c r="G197" s="21" t="s">
        <v>382</v>
      </c>
      <c r="AB197" t="s">
        <v>384</v>
      </c>
      <c r="AC197">
        <v>56881</v>
      </c>
      <c r="AD197" t="s">
        <v>1050</v>
      </c>
    </row>
    <row r="198" spans="3:30" ht="18" customHeight="1">
      <c r="C198" s="21" t="s">
        <v>447</v>
      </c>
      <c r="E198" s="71" t="s" ph="1">
        <v>574</v>
      </c>
      <c r="G198" s="21" t="s">
        <v>382</v>
      </c>
      <c r="Y198" t="s">
        <v>1256</v>
      </c>
      <c r="Z198">
        <v>26692</v>
      </c>
      <c r="AA198" t="s">
        <v>979</v>
      </c>
      <c r="AB198" t="s">
        <v>1052</v>
      </c>
      <c r="AC198">
        <v>55759</v>
      </c>
      <c r="AD198" t="s">
        <v>1051</v>
      </c>
    </row>
    <row r="199" spans="3:30" ht="18" customHeight="1">
      <c r="C199" s="21" t="s">
        <v>523</v>
      </c>
      <c r="E199" s="71" t="s" ph="1">
        <v>381</v>
      </c>
      <c r="G199" s="21" t="s">
        <v>382</v>
      </c>
      <c r="Y199" t="s">
        <v>1257</v>
      </c>
      <c r="Z199">
        <v>25786</v>
      </c>
      <c r="AA199" t="s">
        <v>980</v>
      </c>
    </row>
    <row r="200" spans="3:30" ht="18" customHeight="1">
      <c r="C200" s="21" t="s">
        <v>524</v>
      </c>
      <c r="E200" s="71" t="s" ph="1">
        <v>380</v>
      </c>
      <c r="G200" s="21" t="s">
        <v>382</v>
      </c>
      <c r="AB200" t="s">
        <v>1054</v>
      </c>
      <c r="AC200">
        <v>54587</v>
      </c>
      <c r="AD200" t="s">
        <v>1053</v>
      </c>
    </row>
    <row r="201" spans="3:30" ht="18" customHeight="1">
      <c r="C201" s="21" t="s">
        <v>379</v>
      </c>
      <c r="E201" s="71" ph="1"/>
      <c r="G201" s="21" t="s">
        <v>382</v>
      </c>
    </row>
    <row r="202" spans="3:30" ht="18" customHeight="1">
      <c r="C202" s="21"/>
      <c r="E202" s="71"/>
      <c r="G202" s="79"/>
    </row>
    <row r="203" spans="3:30" ht="18" customHeight="1">
      <c r="C203" s="21"/>
      <c r="E203" s="80"/>
      <c r="G203" s="79"/>
    </row>
    <row r="204" spans="3:30" ht="18" customHeight="1">
      <c r="C204" s="21"/>
      <c r="E204" s="71"/>
      <c r="G204" s="79"/>
    </row>
    <row r="205" spans="3:30" ht="18" customHeight="1">
      <c r="C205" s="21"/>
      <c r="E205" s="71"/>
      <c r="G205" s="79"/>
    </row>
    <row r="206" spans="3:30" ht="18" customHeight="1">
      <c r="C206" s="21"/>
      <c r="E206" s="71"/>
      <c r="G206" s="79"/>
    </row>
    <row r="207" spans="3:30" ht="18" customHeight="1">
      <c r="C207" s="21"/>
      <c r="E207" s="71"/>
      <c r="G207" s="79"/>
    </row>
    <row r="208" spans="3:30" ht="18" customHeight="1">
      <c r="C208" s="21"/>
      <c r="E208" s="71"/>
      <c r="G208" s="79"/>
    </row>
    <row r="209" spans="3:7" ht="18" customHeight="1">
      <c r="C209" s="21"/>
      <c r="E209" s="71"/>
      <c r="G209" s="79"/>
    </row>
    <row r="210" spans="3:7" ht="18" customHeight="1">
      <c r="C210" s="21"/>
      <c r="E210" s="71"/>
      <c r="G210" s="79"/>
    </row>
    <row r="211" spans="3:7" ht="18" customHeight="1">
      <c r="C211" s="21"/>
      <c r="E211" s="71"/>
      <c r="G211" s="79"/>
    </row>
    <row r="212" spans="3:7" ht="18" customHeight="1">
      <c r="C212" s="21"/>
      <c r="E212" s="71"/>
      <c r="G212" s="79"/>
    </row>
    <row r="213" spans="3:7" ht="18" customHeight="1">
      <c r="C213" s="21"/>
      <c r="E213" s="71"/>
      <c r="G213" s="79"/>
    </row>
    <row r="214" spans="3:7" ht="18" customHeight="1">
      <c r="C214" s="21"/>
      <c r="E214" s="80"/>
      <c r="G214" s="79"/>
    </row>
    <row r="215" spans="3:7" ht="18" customHeight="1">
      <c r="C215" s="21"/>
      <c r="E215" s="80"/>
      <c r="G215" s="79"/>
    </row>
    <row r="216" spans="3:7" ht="18" customHeight="1">
      <c r="C216" s="79"/>
      <c r="E216" s="80"/>
      <c r="G216" s="79"/>
    </row>
    <row r="217" spans="3:7" ht="18" customHeight="1">
      <c r="C217" s="21"/>
      <c r="E217" s="80"/>
      <c r="G217" s="79"/>
    </row>
    <row r="218" spans="3:7" ht="18" customHeight="1">
      <c r="C218" s="79"/>
      <c r="E218" s="80"/>
      <c r="G218" s="79"/>
    </row>
    <row r="219" spans="3:7" ht="18" customHeight="1">
      <c r="C219" s="21"/>
      <c r="E219" s="80"/>
      <c r="G219" s="79"/>
    </row>
    <row r="220" spans="3:7" ht="18" customHeight="1">
      <c r="C220" s="21"/>
      <c r="E220" s="80"/>
      <c r="G220" s="21"/>
    </row>
    <row r="221" spans="3:7" ht="18" customHeight="1">
      <c r="C221" s="21"/>
      <c r="E221" s="80"/>
      <c r="G221" s="21"/>
    </row>
    <row r="222" spans="3:7" ht="18" customHeight="1">
      <c r="C222" s="21"/>
      <c r="E222" s="80"/>
      <c r="G222" s="21"/>
    </row>
    <row r="223" spans="3:7" ht="18" customHeight="1">
      <c r="C223" s="21"/>
      <c r="E223" s="80"/>
      <c r="G223" s="21"/>
    </row>
  </sheetData>
  <autoFilter ref="A13:AD13" xr:uid="{00000000-0001-0000-0F00-000000000000}">
    <sortState xmlns:xlrd2="http://schemas.microsoft.com/office/spreadsheetml/2017/richdata2" ref="A14:AD201">
      <sortCondition ref="B13"/>
    </sortState>
  </autoFilter>
  <sortState xmlns:xlrd2="http://schemas.microsoft.com/office/spreadsheetml/2017/richdata2" ref="A14:AD19">
    <sortCondition ref="B14:B19"/>
  </sortState>
  <phoneticPr fontId="6"/>
  <conditionalFormatting sqref="V14:V73">
    <cfRule type="cellIs" dxfId="23" priority="6" stopIfTrue="1" operator="notBetween">
      <formula>"A"</formula>
      <formula>"Ｂ"</formula>
    </cfRule>
  </conditionalFormatting>
  <conditionalFormatting sqref="W14:W73">
    <cfRule type="cellIs" dxfId="22" priority="5" stopIfTrue="1" operator="between">
      <formula>"-"</formula>
      <formula>"申請中"</formula>
    </cfRule>
  </conditionalFormatting>
  <conditionalFormatting sqref="Y14:Z39">
    <cfRule type="expression" dxfId="21" priority="9">
      <formula>Y14&lt;&gt;C15</formula>
    </cfRule>
  </conditionalFormatting>
  <conditionalFormatting sqref="AB14:AC39">
    <cfRule type="expression" dxfId="20" priority="10">
      <formula>AB14&lt;&gt;E15</formula>
    </cfRule>
  </conditionalFormatting>
  <conditionalFormatting sqref="C14:C73">
    <cfRule type="duplicateValues" dxfId="19" priority="2"/>
  </conditionalFormatting>
  <conditionalFormatting sqref="E14:E73">
    <cfRule type="duplicateValues" dxfId="18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5</xdr:row>
                    <xdr:rowOff>0</xdr:rowOff>
                  </from>
                  <to>
                    <xdr:col>27</xdr:col>
                    <xdr:colOff>198120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7">
    <tabColor rgb="FFFFC000"/>
  </sheetPr>
  <dimension ref="A1:AD223"/>
  <sheetViews>
    <sheetView topLeftCell="A7" zoomScale="96" zoomScaleNormal="96" workbookViewId="0">
      <selection activeCell="E20" sqref="E2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27</v>
      </c>
      <c r="D4" s="26" t="s">
        <v>7</v>
      </c>
      <c r="E4" s="27" t="s">
        <v>8</v>
      </c>
      <c r="F4" s="268" t="s">
        <v>599</v>
      </c>
      <c r="G4" s="31"/>
      <c r="H4" s="31"/>
      <c r="J4" s="27" t="s">
        <v>9</v>
      </c>
      <c r="K4" s="36" t="s">
        <v>597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>
        <v>11</v>
      </c>
      <c r="E5" s="27" t="s">
        <v>12</v>
      </c>
      <c r="F5" s="30" t="s">
        <v>1316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V11" s="26">
        <f>COUNTA(C14:C73)</f>
        <v>12</v>
      </c>
      <c r="W11" s="26">
        <f>COUNTA(E14:E73)</f>
        <v>12</v>
      </c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/>
      <c r="B14" s="63">
        <v>1</v>
      </c>
      <c r="C14" s="164" t="s">
        <v>1224</v>
      </c>
      <c r="D14" s="294">
        <v>18817</v>
      </c>
      <c r="E14" s="170" t="s">
        <v>1527</v>
      </c>
      <c r="F14" s="296">
        <v>61767</v>
      </c>
      <c r="G14" s="139" t="s">
        <v>1490</v>
      </c>
      <c r="H14" s="23"/>
      <c r="I14" s="23"/>
      <c r="J14" s="64" t="str">
        <f t="shared" ref="J14:J22" si="0">IF(H14="","",H14+I14)</f>
        <v/>
      </c>
      <c r="K14" s="65"/>
      <c r="L14" s="65"/>
      <c r="M14" s="66" t="str">
        <f t="shared" ref="M14:M22" si="1">IF(L14="","",K14+L14)</f>
        <v/>
      </c>
      <c r="N14" s="23"/>
      <c r="O14" s="23"/>
      <c r="P14" s="64" t="str">
        <f t="shared" ref="P14:P22" si="2">IF(N14="","",N14+O14)</f>
        <v/>
      </c>
      <c r="Q14" s="65"/>
      <c r="R14" s="65"/>
      <c r="S14" s="66" t="str">
        <f t="shared" ref="S14:S22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/>
      <c r="Z14"/>
      <c r="AA14"/>
      <c r="AB14"/>
      <c r="AC14"/>
      <c r="AD14"/>
    </row>
    <row r="15" spans="1:30" s="69" customFormat="1" ht="18" customHeight="1">
      <c r="A15" s="62"/>
      <c r="B15" s="63">
        <v>2</v>
      </c>
      <c r="C15" s="164" t="s">
        <v>1425</v>
      </c>
      <c r="D15" s="294">
        <v>11976</v>
      </c>
      <c r="E15" s="170" t="s">
        <v>1392</v>
      </c>
      <c r="F15" s="296">
        <v>61272</v>
      </c>
      <c r="G15" s="139" t="s">
        <v>1393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/>
      <c r="Z15"/>
      <c r="AA15"/>
      <c r="AB15"/>
      <c r="AC15"/>
      <c r="AD15"/>
    </row>
    <row r="16" spans="1:30" s="69" customFormat="1" ht="18" customHeight="1">
      <c r="A16" s="62"/>
      <c r="B16" s="63">
        <v>3</v>
      </c>
      <c r="C16" s="164" t="s">
        <v>1499</v>
      </c>
      <c r="D16" s="294">
        <v>27498</v>
      </c>
      <c r="E16" s="170" t="s">
        <v>70</v>
      </c>
      <c r="F16" s="296">
        <v>57212</v>
      </c>
      <c r="G16" s="139" t="s">
        <v>1396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 t="s">
        <v>1249</v>
      </c>
      <c r="Z16">
        <v>26988</v>
      </c>
      <c r="AA16" t="s">
        <v>972</v>
      </c>
      <c r="AB16" t="s">
        <v>1287</v>
      </c>
      <c r="AC16">
        <v>58682</v>
      </c>
      <c r="AD16" t="s">
        <v>1069</v>
      </c>
    </row>
    <row r="17" spans="1:30" s="69" customFormat="1" ht="18" customHeight="1">
      <c r="A17" s="62"/>
      <c r="B17" s="63">
        <v>4</v>
      </c>
      <c r="C17" s="164" t="s">
        <v>1500</v>
      </c>
      <c r="D17" s="294">
        <v>32403</v>
      </c>
      <c r="E17" s="170" t="s">
        <v>1353</v>
      </c>
      <c r="F17" s="296">
        <v>58733</v>
      </c>
      <c r="G17" s="139" t="s">
        <v>1351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/>
      <c r="AC17"/>
      <c r="AD17"/>
    </row>
    <row r="18" spans="1:30" s="69" customFormat="1" ht="18" customHeight="1">
      <c r="A18" s="62"/>
      <c r="B18" s="63">
        <v>5</v>
      </c>
      <c r="C18" s="164" t="s">
        <v>1501</v>
      </c>
      <c r="D18" s="294">
        <v>32390</v>
      </c>
      <c r="E18" s="170" t="s">
        <v>1369</v>
      </c>
      <c r="F18" s="296">
        <v>59574</v>
      </c>
      <c r="G18" s="139" t="s">
        <v>1502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/>
      <c r="Z18"/>
      <c r="AA18"/>
      <c r="AB18"/>
      <c r="AC18"/>
      <c r="AD18"/>
    </row>
    <row r="19" spans="1:30" s="69" customFormat="1" ht="18" customHeight="1">
      <c r="A19" s="62"/>
      <c r="B19" s="63">
        <v>6</v>
      </c>
      <c r="C19" s="164" t="s">
        <v>1503</v>
      </c>
      <c r="D19" s="294">
        <v>27382</v>
      </c>
      <c r="E19" s="170" t="s">
        <v>1387</v>
      </c>
      <c r="F19" s="296">
        <v>61157</v>
      </c>
      <c r="G19" s="139" t="s">
        <v>1384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 t="s">
        <v>1258</v>
      </c>
      <c r="Z19">
        <v>20200</v>
      </c>
      <c r="AA19" t="s">
        <v>1055</v>
      </c>
      <c r="AB19" t="s">
        <v>1288</v>
      </c>
      <c r="AC19">
        <v>58521</v>
      </c>
      <c r="AD19" t="s">
        <v>1070</v>
      </c>
    </row>
    <row r="20" spans="1:30" s="69" customFormat="1" ht="18" customHeight="1">
      <c r="A20" s="62"/>
      <c r="B20" s="63">
        <v>7</v>
      </c>
      <c r="C20" s="164" t="s">
        <v>1504</v>
      </c>
      <c r="D20" s="294">
        <v>30276</v>
      </c>
      <c r="E20" s="170" t="s">
        <v>1317</v>
      </c>
      <c r="F20" s="296">
        <v>61183</v>
      </c>
      <c r="G20" s="139" t="s">
        <v>1318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 t="s">
        <v>1262</v>
      </c>
      <c r="Z20">
        <v>30996</v>
      </c>
      <c r="AA20" t="s">
        <v>1060</v>
      </c>
      <c r="AB20" t="s">
        <v>1286</v>
      </c>
      <c r="AC20">
        <v>59710</v>
      </c>
      <c r="AD20" t="s">
        <v>1068</v>
      </c>
    </row>
    <row r="21" spans="1:30" s="69" customFormat="1" ht="18" customHeight="1">
      <c r="A21" s="62"/>
      <c r="B21" s="63">
        <v>8</v>
      </c>
      <c r="C21" s="164" t="s">
        <v>1505</v>
      </c>
      <c r="D21" s="294">
        <v>11693</v>
      </c>
      <c r="E21" s="156" t="s">
        <v>686</v>
      </c>
      <c r="F21" s="296">
        <v>58584</v>
      </c>
      <c r="G21" s="154" t="s">
        <v>1356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/>
      <c r="Z21"/>
      <c r="AA21"/>
      <c r="AB21"/>
      <c r="AC21"/>
      <c r="AD21"/>
    </row>
    <row r="22" spans="1:30" s="69" customFormat="1" ht="18" customHeight="1">
      <c r="A22" s="62"/>
      <c r="B22" s="63">
        <v>9</v>
      </c>
      <c r="C22" s="164" t="s">
        <v>1506</v>
      </c>
      <c r="D22" s="294">
        <v>31333</v>
      </c>
      <c r="E22" s="170" t="s">
        <v>1385</v>
      </c>
      <c r="F22" s="296">
        <v>60895</v>
      </c>
      <c r="G22" s="139" t="s">
        <v>1384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/>
      <c r="Z22"/>
      <c r="AA22"/>
      <c r="AB22"/>
      <c r="AC22"/>
      <c r="AD22"/>
    </row>
    <row r="23" spans="1:30" s="69" customFormat="1" ht="18" customHeight="1">
      <c r="A23" s="62"/>
      <c r="B23" s="63">
        <v>10</v>
      </c>
      <c r="C23" s="164" t="s">
        <v>702</v>
      </c>
      <c r="D23" s="294">
        <v>13141</v>
      </c>
      <c r="E23" s="170" t="s">
        <v>1395</v>
      </c>
      <c r="F23" s="296">
        <v>60517</v>
      </c>
      <c r="G23" s="139" t="s">
        <v>1396</v>
      </c>
      <c r="H23" s="23"/>
      <c r="I23" s="23"/>
      <c r="J23" s="64" t="str">
        <f t="shared" ref="J23:J45" si="4">IF(H23="","",H23+I23)</f>
        <v/>
      </c>
      <c r="K23" s="65"/>
      <c r="L23" s="65"/>
      <c r="M23" s="66" t="str">
        <f t="shared" ref="M23:M45" si="5">IF(L23="","",K23+L23)</f>
        <v/>
      </c>
      <c r="N23" s="23"/>
      <c r="O23" s="23"/>
      <c r="P23" s="64" t="str">
        <f t="shared" ref="P23:P45" si="6">IF(N23="","",N23+O23)</f>
        <v/>
      </c>
      <c r="Q23" s="65"/>
      <c r="R23" s="65"/>
      <c r="S23" s="66" t="str">
        <f t="shared" ref="S23:S45" si="7">IF(R23="","",Q23+R23)</f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 t="s">
        <v>1190</v>
      </c>
      <c r="Z23">
        <v>27610</v>
      </c>
      <c r="AA23" t="s">
        <v>911</v>
      </c>
      <c r="AB23" t="s">
        <v>1285</v>
      </c>
      <c r="AC23">
        <v>56199</v>
      </c>
      <c r="AD23" t="s">
        <v>1013</v>
      </c>
    </row>
    <row r="24" spans="1:30" s="69" customFormat="1" ht="18" customHeight="1">
      <c r="A24" s="62"/>
      <c r="B24" s="63">
        <v>11</v>
      </c>
      <c r="C24" s="164" t="s">
        <v>1401</v>
      </c>
      <c r="D24" s="294">
        <v>28809</v>
      </c>
      <c r="E24" s="170" t="s">
        <v>1350</v>
      </c>
      <c r="F24" s="296">
        <v>59063</v>
      </c>
      <c r="G24" s="139" t="s">
        <v>1351</v>
      </c>
      <c r="H24" s="23"/>
      <c r="I24" s="23"/>
      <c r="J24" s="64" t="str">
        <f t="shared" si="4"/>
        <v/>
      </c>
      <c r="K24" s="65"/>
      <c r="L24" s="65"/>
      <c r="M24" s="66" t="str">
        <f t="shared" si="5"/>
        <v/>
      </c>
      <c r="N24" s="23"/>
      <c r="O24" s="23"/>
      <c r="P24" s="64" t="str">
        <f t="shared" si="6"/>
        <v/>
      </c>
      <c r="Q24" s="65"/>
      <c r="R24" s="65"/>
      <c r="S24" s="66" t="str">
        <f t="shared" si="7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 t="s">
        <v>1193</v>
      </c>
      <c r="Z24">
        <v>27113</v>
      </c>
      <c r="AA24" t="s">
        <v>914</v>
      </c>
      <c r="AB24" t="s">
        <v>1284</v>
      </c>
      <c r="AC24">
        <v>56578</v>
      </c>
      <c r="AD24" t="s">
        <v>1067</v>
      </c>
    </row>
    <row r="25" spans="1:30" s="69" customFormat="1" ht="18" customHeight="1">
      <c r="A25" s="62" t="s">
        <v>1465</v>
      </c>
      <c r="B25" s="63">
        <v>12</v>
      </c>
      <c r="C25" s="155" t="s">
        <v>1497</v>
      </c>
      <c r="D25" s="264">
        <v>30301</v>
      </c>
      <c r="E25" s="197" t="s">
        <v>1319</v>
      </c>
      <c r="F25" s="296">
        <v>61511</v>
      </c>
      <c r="G25" s="139" t="s">
        <v>1318</v>
      </c>
      <c r="H25" s="23"/>
      <c r="I25" s="23"/>
      <c r="J25" s="64" t="str">
        <f t="shared" si="4"/>
        <v/>
      </c>
      <c r="K25" s="65"/>
      <c r="L25" s="65"/>
      <c r="M25" s="66" t="str">
        <f t="shared" si="5"/>
        <v/>
      </c>
      <c r="N25" s="23"/>
      <c r="O25" s="23"/>
      <c r="P25" s="64" t="str">
        <f t="shared" si="6"/>
        <v/>
      </c>
      <c r="Q25" s="65"/>
      <c r="R25" s="65"/>
      <c r="S25" s="66" t="str">
        <f t="shared" si="7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 t="s">
        <v>659</v>
      </c>
      <c r="Z25">
        <v>12159</v>
      </c>
      <c r="AA25" t="s">
        <v>836</v>
      </c>
      <c r="AB25" t="s">
        <v>1283</v>
      </c>
      <c r="AC25">
        <v>58228</v>
      </c>
      <c r="AD25" t="s">
        <v>1023</v>
      </c>
    </row>
    <row r="26" spans="1:30" s="69" customFormat="1" ht="18" customHeight="1">
      <c r="A26" s="62"/>
      <c r="B26" s="63">
        <v>13</v>
      </c>
      <c r="C26" s="121"/>
      <c r="D26" s="278"/>
      <c r="E26" s="205"/>
      <c r="F26" s="296"/>
      <c r="G26" s="154"/>
      <c r="H26" s="23"/>
      <c r="I26" s="23"/>
      <c r="J26" s="64" t="str">
        <f t="shared" si="4"/>
        <v/>
      </c>
      <c r="K26" s="65"/>
      <c r="L26" s="65"/>
      <c r="M26" s="66" t="str">
        <f t="shared" si="5"/>
        <v/>
      </c>
      <c r="N26" s="23"/>
      <c r="O26" s="23"/>
      <c r="P26" s="64" t="str">
        <f t="shared" si="6"/>
        <v/>
      </c>
      <c r="Q26" s="65"/>
      <c r="R26" s="65"/>
      <c r="S26" s="66" t="str">
        <f t="shared" si="7"/>
        <v/>
      </c>
      <c r="T26" s="67"/>
      <c r="U26" s="68"/>
      <c r="V26" s="18" t="str">
        <f>IF($C26="","",VLOOKUP($C26,#REF!,4,FALSE))</f>
        <v/>
      </c>
      <c r="W26" s="72" t="str">
        <f>IF($E26="","",VLOOKUP($E26,#REF!,4,FALSE))</f>
        <v/>
      </c>
      <c r="Y26"/>
      <c r="Z26"/>
      <c r="AA26"/>
      <c r="AB26"/>
      <c r="AC26"/>
      <c r="AD26"/>
    </row>
    <row r="27" spans="1:30" s="69" customFormat="1" ht="18" customHeight="1">
      <c r="A27" s="62"/>
      <c r="B27" s="63">
        <v>14</v>
      </c>
      <c r="C27" s="164"/>
      <c r="D27" s="294"/>
      <c r="E27" s="170"/>
      <c r="F27" s="296"/>
      <c r="G27" s="139"/>
      <c r="H27" s="23"/>
      <c r="I27" s="23"/>
      <c r="J27" s="64" t="str">
        <f t="shared" si="4"/>
        <v/>
      </c>
      <c r="K27" s="65"/>
      <c r="L27" s="65"/>
      <c r="M27" s="66" t="str">
        <f t="shared" si="5"/>
        <v/>
      </c>
      <c r="N27" s="23"/>
      <c r="O27" s="23"/>
      <c r="P27" s="64" t="str">
        <f t="shared" si="6"/>
        <v/>
      </c>
      <c r="Q27" s="65"/>
      <c r="R27" s="65"/>
      <c r="S27" s="66" t="str">
        <f t="shared" si="7"/>
        <v/>
      </c>
      <c r="T27" s="67"/>
      <c r="U27" s="68"/>
      <c r="V27" s="18" t="str">
        <f>IF($C27="","",VLOOKUP($C27,#REF!,4,FALSE))</f>
        <v/>
      </c>
      <c r="W27" s="72" t="str">
        <f>IF($E27="","",VLOOKUP($E27,#REF!,4,FALSE))</f>
        <v/>
      </c>
      <c r="Y27" t="s">
        <v>634</v>
      </c>
      <c r="Z27">
        <v>18834</v>
      </c>
      <c r="AA27" t="s">
        <v>891</v>
      </c>
      <c r="AB27" t="s">
        <v>1281</v>
      </c>
      <c r="AC27">
        <v>56066</v>
      </c>
      <c r="AD27" t="s">
        <v>1065</v>
      </c>
    </row>
    <row r="28" spans="1:30" s="69" customFormat="1" ht="18" customHeight="1">
      <c r="A28" s="62"/>
      <c r="B28" s="63">
        <v>15</v>
      </c>
      <c r="C28" s="164"/>
      <c r="D28" s="294"/>
      <c r="E28" s="170"/>
      <c r="F28" s="296"/>
      <c r="G28" s="139"/>
      <c r="H28" s="23"/>
      <c r="I28" s="23"/>
      <c r="J28" s="64" t="str">
        <f t="shared" si="4"/>
        <v/>
      </c>
      <c r="K28" s="65"/>
      <c r="L28" s="65"/>
      <c r="M28" s="66" t="str">
        <f t="shared" si="5"/>
        <v/>
      </c>
      <c r="N28" s="23"/>
      <c r="O28" s="23"/>
      <c r="P28" s="64" t="str">
        <f t="shared" si="6"/>
        <v/>
      </c>
      <c r="Q28" s="65"/>
      <c r="R28" s="65"/>
      <c r="S28" s="66" t="str">
        <f t="shared" si="7"/>
        <v/>
      </c>
      <c r="T28" s="67"/>
      <c r="U28" s="68"/>
      <c r="V28" s="18" t="str">
        <f>IF($C28="","",VLOOKUP($C28,#REF!,4,FALSE))</f>
        <v/>
      </c>
      <c r="W28" s="72" t="str">
        <f>IF($E28="","",VLOOKUP($E28,#REF!,4,FALSE))</f>
        <v/>
      </c>
      <c r="Y28" t="s">
        <v>635</v>
      </c>
      <c r="Z28">
        <v>23448</v>
      </c>
      <c r="AA28" t="s">
        <v>1058</v>
      </c>
      <c r="AB28" t="s">
        <v>1279</v>
      </c>
      <c r="AC28">
        <v>60229</v>
      </c>
      <c r="AD28" t="s">
        <v>1064</v>
      </c>
    </row>
    <row r="29" spans="1:30" s="69" customFormat="1" ht="18" customHeight="1">
      <c r="A29" s="62"/>
      <c r="B29" s="63">
        <v>16</v>
      </c>
      <c r="C29" s="164"/>
      <c r="D29" s="294"/>
      <c r="E29" s="170"/>
      <c r="F29" s="296"/>
      <c r="G29" s="139"/>
      <c r="H29" s="23"/>
      <c r="I29" s="23"/>
      <c r="J29" s="64" t="str">
        <f t="shared" si="4"/>
        <v/>
      </c>
      <c r="K29" s="65"/>
      <c r="L29" s="65"/>
      <c r="M29" s="66" t="str">
        <f t="shared" si="5"/>
        <v/>
      </c>
      <c r="N29" s="23"/>
      <c r="O29" s="23"/>
      <c r="P29" s="64" t="str">
        <f t="shared" si="6"/>
        <v/>
      </c>
      <c r="Q29" s="65"/>
      <c r="R29" s="65"/>
      <c r="S29" s="66" t="str">
        <f t="shared" si="7"/>
        <v/>
      </c>
      <c r="T29" s="67"/>
      <c r="U29" s="68"/>
      <c r="V29" s="18" t="str">
        <f>IF($C29="","",VLOOKUP($C29,#REF!,4,FALSE))</f>
        <v/>
      </c>
      <c r="W29" s="72" t="str">
        <f>IF($E29="","",VLOOKUP($E29,#REF!,4,FALSE))</f>
        <v/>
      </c>
      <c r="Y29" t="s">
        <v>656</v>
      </c>
      <c r="Z29">
        <v>19572</v>
      </c>
      <c r="AA29" t="s">
        <v>945</v>
      </c>
      <c r="AB29" t="s">
        <v>1277</v>
      </c>
      <c r="AC29">
        <v>59650</v>
      </c>
      <c r="AD29" t="s">
        <v>840</v>
      </c>
    </row>
    <row r="30" spans="1:30" s="69" customFormat="1" ht="18" customHeight="1">
      <c r="A30" s="62"/>
      <c r="B30" s="63">
        <v>17</v>
      </c>
      <c r="C30" s="164"/>
      <c r="D30" s="294"/>
      <c r="E30" s="170"/>
      <c r="F30" s="296"/>
      <c r="G30" s="139"/>
      <c r="H30" s="23"/>
      <c r="I30" s="23"/>
      <c r="J30" s="64" t="str">
        <f t="shared" si="4"/>
        <v/>
      </c>
      <c r="K30" s="65"/>
      <c r="L30" s="65"/>
      <c r="M30" s="66" t="str">
        <f t="shared" si="5"/>
        <v/>
      </c>
      <c r="N30" s="23"/>
      <c r="O30" s="23"/>
      <c r="P30" s="64" t="str">
        <f t="shared" si="6"/>
        <v/>
      </c>
      <c r="Q30" s="65"/>
      <c r="R30" s="65"/>
      <c r="S30" s="66" t="str">
        <f t="shared" si="7"/>
        <v/>
      </c>
      <c r="T30" s="67"/>
      <c r="U30" s="68"/>
      <c r="V30" s="18" t="str">
        <f>IF($C30="","",VLOOKUP($C30,#REF!,4,FALSE))</f>
        <v/>
      </c>
      <c r="W30" s="72" t="str">
        <f>IF($E30="","",VLOOKUP($E30,#REF!,4,FALSE))</f>
        <v/>
      </c>
      <c r="Y30" t="s">
        <v>1258</v>
      </c>
      <c r="Z30">
        <v>20200</v>
      </c>
      <c r="AA30" t="s">
        <v>1055</v>
      </c>
      <c r="AB30" t="s">
        <v>1276</v>
      </c>
      <c r="AC30">
        <v>60355</v>
      </c>
      <c r="AD30" t="s">
        <v>1062</v>
      </c>
    </row>
    <row r="31" spans="1:30" s="69" customFormat="1" ht="18" customHeight="1">
      <c r="A31" s="62"/>
      <c r="B31" s="63">
        <v>18</v>
      </c>
      <c r="C31" s="164"/>
      <c r="D31" s="294"/>
      <c r="E31" s="170"/>
      <c r="F31" s="296"/>
      <c r="G31" s="139"/>
      <c r="H31" s="23"/>
      <c r="I31" s="23"/>
      <c r="J31" s="64" t="str">
        <f t="shared" si="4"/>
        <v/>
      </c>
      <c r="K31" s="65"/>
      <c r="L31" s="65"/>
      <c r="M31" s="66" t="str">
        <f t="shared" si="5"/>
        <v/>
      </c>
      <c r="N31" s="23"/>
      <c r="O31" s="23"/>
      <c r="P31" s="64" t="str">
        <f t="shared" si="6"/>
        <v/>
      </c>
      <c r="Q31" s="65"/>
      <c r="R31" s="65"/>
      <c r="S31" s="66" t="str">
        <f t="shared" si="7"/>
        <v/>
      </c>
      <c r="T31" s="67"/>
      <c r="U31" s="68"/>
      <c r="V31" s="18" t="str">
        <f>IF($C31="","",VLOOKUP($C31,#REF!,4,FALSE))</f>
        <v/>
      </c>
      <c r="W31" s="72" t="str">
        <f>IF($E31="","",VLOOKUP($E31,#REF!,4,FALSE))</f>
        <v/>
      </c>
      <c r="Y31" t="s">
        <v>1164</v>
      </c>
      <c r="Z31">
        <v>1541</v>
      </c>
      <c r="AA31" t="s">
        <v>853</v>
      </c>
      <c r="AB31" t="s">
        <v>1282</v>
      </c>
      <c r="AC31">
        <v>57225</v>
      </c>
      <c r="AD31" t="s">
        <v>1066</v>
      </c>
    </row>
    <row r="32" spans="1:30" s="69" customFormat="1" ht="18" customHeight="1">
      <c r="A32" s="62"/>
      <c r="B32" s="63">
        <v>19</v>
      </c>
      <c r="C32" s="164"/>
      <c r="D32" s="294"/>
      <c r="E32" s="170"/>
      <c r="F32" s="296"/>
      <c r="G32" s="139"/>
      <c r="H32" s="23"/>
      <c r="I32" s="23"/>
      <c r="J32" s="64" t="str">
        <f t="shared" si="4"/>
        <v/>
      </c>
      <c r="K32" s="65"/>
      <c r="L32" s="65"/>
      <c r="M32" s="66" t="str">
        <f t="shared" si="5"/>
        <v/>
      </c>
      <c r="N32" s="23"/>
      <c r="O32" s="23"/>
      <c r="P32" s="64" t="str">
        <f t="shared" si="6"/>
        <v/>
      </c>
      <c r="Q32" s="65"/>
      <c r="R32" s="65"/>
      <c r="S32" s="66" t="str">
        <f t="shared" si="7"/>
        <v/>
      </c>
      <c r="T32" s="67"/>
      <c r="U32" s="68"/>
      <c r="V32" s="18" t="str">
        <f>IF($C32="","",VLOOKUP($C32,#REF!,4,FALSE))</f>
        <v/>
      </c>
      <c r="W32" s="72" t="str">
        <f>IF($E32="","",VLOOKUP($E32,#REF!,4,FALSE))</f>
        <v/>
      </c>
      <c r="Y32" t="s">
        <v>1261</v>
      </c>
      <c r="Z32">
        <v>31920</v>
      </c>
      <c r="AA32" t="s">
        <v>1059</v>
      </c>
      <c r="AB32" t="s">
        <v>1291</v>
      </c>
      <c r="AC32">
        <v>59427</v>
      </c>
      <c r="AD32"/>
    </row>
    <row r="33" spans="1:30" s="69" customFormat="1" ht="18" customHeight="1">
      <c r="A33" s="62"/>
      <c r="B33" s="63">
        <v>20</v>
      </c>
      <c r="C33" s="164"/>
      <c r="D33" s="294"/>
      <c r="E33" s="170"/>
      <c r="F33" s="296"/>
      <c r="G33" s="139"/>
      <c r="H33" s="23"/>
      <c r="I33" s="23"/>
      <c r="J33" s="64" t="str">
        <f t="shared" si="4"/>
        <v/>
      </c>
      <c r="K33" s="65"/>
      <c r="L33" s="65"/>
      <c r="M33" s="66" t="str">
        <f t="shared" si="5"/>
        <v/>
      </c>
      <c r="N33" s="23"/>
      <c r="O33" s="23"/>
      <c r="P33" s="64" t="str">
        <f t="shared" si="6"/>
        <v/>
      </c>
      <c r="Q33" s="65"/>
      <c r="R33" s="65"/>
      <c r="S33" s="66" t="str">
        <f t="shared" si="7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Y33" t="s">
        <v>1143</v>
      </c>
      <c r="Z33">
        <v>13305</v>
      </c>
      <c r="AA33" t="s">
        <v>770</v>
      </c>
      <c r="AB33" t="s">
        <v>1280</v>
      </c>
      <c r="AC33">
        <v>56286</v>
      </c>
      <c r="AD33" t="s">
        <v>828</v>
      </c>
    </row>
    <row r="34" spans="1:30" s="69" customFormat="1" ht="18" customHeight="1">
      <c r="A34" s="62"/>
      <c r="B34" s="63">
        <v>21</v>
      </c>
      <c r="C34" s="199"/>
      <c r="D34" s="295"/>
      <c r="E34" s="153"/>
      <c r="F34" s="270"/>
      <c r="G34" s="154"/>
      <c r="H34" s="23"/>
      <c r="I34" s="23"/>
      <c r="J34" s="64" t="str">
        <f t="shared" si="4"/>
        <v/>
      </c>
      <c r="K34" s="65"/>
      <c r="L34" s="65"/>
      <c r="M34" s="66" t="str">
        <f t="shared" si="5"/>
        <v/>
      </c>
      <c r="N34" s="23"/>
      <c r="O34" s="23"/>
      <c r="P34" s="64" t="str">
        <f t="shared" si="6"/>
        <v/>
      </c>
      <c r="Q34" s="65"/>
      <c r="R34" s="65"/>
      <c r="S34" s="66" t="str">
        <f t="shared" si="7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Y34" t="s">
        <v>1260</v>
      </c>
      <c r="Z34">
        <v>21643</v>
      </c>
      <c r="AA34" t="s">
        <v>1057</v>
      </c>
      <c r="AB34" t="s">
        <v>1290</v>
      </c>
      <c r="AC34">
        <v>60894</v>
      </c>
      <c r="AD34"/>
    </row>
    <row r="35" spans="1:30" s="69" customFormat="1" ht="18" customHeight="1">
      <c r="A35" s="62"/>
      <c r="B35" s="63">
        <v>22</v>
      </c>
      <c r="C35" s="164"/>
      <c r="D35" s="294"/>
      <c r="E35" s="170"/>
      <c r="F35" s="296"/>
      <c r="G35" s="167"/>
      <c r="H35" s="23"/>
      <c r="I35" s="23"/>
      <c r="J35" s="64" t="str">
        <f t="shared" si="4"/>
        <v/>
      </c>
      <c r="K35" s="65"/>
      <c r="L35" s="65"/>
      <c r="M35" s="66" t="str">
        <f t="shared" si="5"/>
        <v/>
      </c>
      <c r="N35" s="23"/>
      <c r="O35" s="23"/>
      <c r="P35" s="64" t="str">
        <f t="shared" si="6"/>
        <v/>
      </c>
      <c r="Q35" s="65"/>
      <c r="R35" s="65"/>
      <c r="S35" s="66" t="str">
        <f t="shared" si="7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Y35" t="s">
        <v>1217</v>
      </c>
      <c r="Z35">
        <v>27497</v>
      </c>
      <c r="AA35" t="s">
        <v>939</v>
      </c>
      <c r="AB35" t="s">
        <v>1289</v>
      </c>
      <c r="AC35">
        <v>58371</v>
      </c>
      <c r="AD35"/>
    </row>
    <row r="36" spans="1:30" s="69" customFormat="1" ht="18" customHeight="1">
      <c r="A36" s="62"/>
      <c r="B36" s="63">
        <v>23</v>
      </c>
      <c r="C36" s="121"/>
      <c r="D36" s="278"/>
      <c r="E36" s="170"/>
      <c r="F36" s="296"/>
      <c r="G36" s="206"/>
      <c r="H36" s="23"/>
      <c r="I36" s="23"/>
      <c r="J36" s="64" t="str">
        <f t="shared" si="4"/>
        <v/>
      </c>
      <c r="K36" s="65"/>
      <c r="L36" s="65"/>
      <c r="M36" s="66" t="str">
        <f t="shared" si="5"/>
        <v/>
      </c>
      <c r="N36" s="23"/>
      <c r="O36" s="23"/>
      <c r="P36" s="64" t="str">
        <f t="shared" si="6"/>
        <v/>
      </c>
      <c r="Q36" s="65"/>
      <c r="R36" s="65"/>
      <c r="S36" s="66" t="str">
        <f t="shared" si="7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Y36" t="s">
        <v>702</v>
      </c>
      <c r="Z36">
        <v>13141</v>
      </c>
      <c r="AA36" t="s">
        <v>782</v>
      </c>
      <c r="AB36" t="s">
        <v>1275</v>
      </c>
      <c r="AC36">
        <v>60517</v>
      </c>
      <c r="AD36" t="s">
        <v>1061</v>
      </c>
    </row>
    <row r="37" spans="1:30" s="69" customFormat="1" ht="18" customHeight="1">
      <c r="A37" s="62"/>
      <c r="B37" s="63">
        <v>24</v>
      </c>
      <c r="C37" s="164"/>
      <c r="D37" s="294"/>
      <c r="E37" s="170"/>
      <c r="F37" s="296"/>
      <c r="G37" s="139"/>
      <c r="H37" s="23"/>
      <c r="I37" s="23"/>
      <c r="J37" s="64" t="str">
        <f t="shared" si="4"/>
        <v/>
      </c>
      <c r="K37" s="65"/>
      <c r="L37" s="65"/>
      <c r="M37" s="66" t="str">
        <f t="shared" si="5"/>
        <v/>
      </c>
      <c r="N37" s="23"/>
      <c r="O37" s="23"/>
      <c r="P37" s="64" t="str">
        <f t="shared" si="6"/>
        <v/>
      </c>
      <c r="Q37" s="65"/>
      <c r="R37" s="65"/>
      <c r="S37" s="66" t="str">
        <f t="shared" si="7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Y37"/>
      <c r="Z37"/>
      <c r="AA37"/>
      <c r="AB37"/>
      <c r="AC37"/>
      <c r="AD37"/>
    </row>
    <row r="38" spans="1:30" s="69" customFormat="1" ht="18" customHeight="1">
      <c r="A38" s="62"/>
      <c r="B38" s="63">
        <v>25</v>
      </c>
      <c r="C38" s="164"/>
      <c r="D38" s="294"/>
      <c r="E38" s="170"/>
      <c r="F38" s="296"/>
      <c r="G38" s="139"/>
      <c r="H38" s="23"/>
      <c r="I38" s="23"/>
      <c r="J38" s="64" t="str">
        <f t="shared" si="4"/>
        <v/>
      </c>
      <c r="K38" s="65"/>
      <c r="L38" s="65"/>
      <c r="M38" s="66" t="str">
        <f t="shared" si="5"/>
        <v/>
      </c>
      <c r="N38" s="23"/>
      <c r="O38" s="23"/>
      <c r="P38" s="64" t="str">
        <f t="shared" si="6"/>
        <v/>
      </c>
      <c r="Q38" s="65"/>
      <c r="R38" s="65"/>
      <c r="S38" s="66" t="str">
        <f t="shared" si="7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Y38" t="s">
        <v>1259</v>
      </c>
      <c r="Z38">
        <v>14867</v>
      </c>
      <c r="AA38" t="s">
        <v>1056</v>
      </c>
      <c r="AB38" t="s">
        <v>1278</v>
      </c>
      <c r="AC38">
        <v>58326</v>
      </c>
      <c r="AD38" t="s">
        <v>1063</v>
      </c>
    </row>
    <row r="39" spans="1:30" s="69" customFormat="1" ht="18" customHeight="1">
      <c r="A39" s="62"/>
      <c r="B39" s="63">
        <v>26</v>
      </c>
      <c r="C39" s="164"/>
      <c r="D39" s="294"/>
      <c r="E39" s="170"/>
      <c r="F39" s="296"/>
      <c r="G39" s="139"/>
      <c r="H39" s="23"/>
      <c r="I39" s="23"/>
      <c r="J39" s="64" t="str">
        <f t="shared" si="4"/>
        <v/>
      </c>
      <c r="K39" s="65"/>
      <c r="L39" s="65"/>
      <c r="M39" s="66" t="str">
        <f t="shared" si="5"/>
        <v/>
      </c>
      <c r="N39" s="23"/>
      <c r="O39" s="23"/>
      <c r="P39" s="64" t="str">
        <f t="shared" si="6"/>
        <v/>
      </c>
      <c r="Q39" s="65"/>
      <c r="R39" s="65"/>
      <c r="S39" s="66" t="str">
        <f t="shared" si="7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Y39"/>
      <c r="Z39"/>
      <c r="AA39"/>
      <c r="AB39"/>
      <c r="AC39"/>
      <c r="AD39"/>
    </row>
    <row r="40" spans="1:30" s="69" customFormat="1" ht="18" customHeight="1">
      <c r="A40" s="62"/>
      <c r="B40" s="63">
        <v>27</v>
      </c>
      <c r="C40" s="164"/>
      <c r="D40" s="294"/>
      <c r="E40" s="170"/>
      <c r="F40" s="296"/>
      <c r="G40" s="139"/>
      <c r="H40" s="23"/>
      <c r="I40" s="23"/>
      <c r="J40" s="64" t="str">
        <f t="shared" si="4"/>
        <v/>
      </c>
      <c r="K40" s="65"/>
      <c r="L40" s="65"/>
      <c r="M40" s="66" t="str">
        <f t="shared" si="5"/>
        <v/>
      </c>
      <c r="N40" s="23"/>
      <c r="O40" s="23"/>
      <c r="P40" s="64" t="str">
        <f t="shared" si="6"/>
        <v/>
      </c>
      <c r="Q40" s="65"/>
      <c r="R40" s="65"/>
      <c r="S40" s="66" t="str">
        <f t="shared" si="7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63">
        <v>28</v>
      </c>
      <c r="C41" s="164"/>
      <c r="D41" s="294"/>
      <c r="E41" s="170"/>
      <c r="F41" s="296"/>
      <c r="G41" s="139"/>
      <c r="H41" s="23"/>
      <c r="I41" s="23"/>
      <c r="J41" s="64" t="str">
        <f t="shared" si="4"/>
        <v/>
      </c>
      <c r="K41" s="65"/>
      <c r="L41" s="65"/>
      <c r="M41" s="66" t="str">
        <f t="shared" si="5"/>
        <v/>
      </c>
      <c r="N41" s="23"/>
      <c r="O41" s="23"/>
      <c r="P41" s="64" t="str">
        <f t="shared" si="6"/>
        <v/>
      </c>
      <c r="Q41" s="65"/>
      <c r="R41" s="65"/>
      <c r="S41" s="66" t="str">
        <f t="shared" si="7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/>
      <c r="Z41"/>
      <c r="AA41"/>
      <c r="AB41"/>
      <c r="AC41"/>
      <c r="AD41"/>
    </row>
    <row r="42" spans="1:30" s="69" customFormat="1" ht="18" customHeight="1">
      <c r="A42" s="62"/>
      <c r="B42" s="63">
        <v>29</v>
      </c>
      <c r="C42" s="164"/>
      <c r="D42" s="294"/>
      <c r="E42" s="170"/>
      <c r="F42" s="296"/>
      <c r="G42" s="139"/>
      <c r="H42" s="23"/>
      <c r="I42" s="23"/>
      <c r="J42" s="64" t="str">
        <f t="shared" si="4"/>
        <v/>
      </c>
      <c r="K42" s="65"/>
      <c r="L42" s="65"/>
      <c r="M42" s="66" t="str">
        <f t="shared" si="5"/>
        <v/>
      </c>
      <c r="N42" s="23"/>
      <c r="O42" s="23"/>
      <c r="P42" s="64" t="str">
        <f t="shared" si="6"/>
        <v/>
      </c>
      <c r="Q42" s="65"/>
      <c r="R42" s="65"/>
      <c r="S42" s="66" t="str">
        <f t="shared" si="7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164"/>
      <c r="D43" s="294"/>
      <c r="E43" s="170"/>
      <c r="F43" s="296"/>
      <c r="G43" s="139"/>
      <c r="H43" s="23"/>
      <c r="I43" s="23"/>
      <c r="J43" s="64" t="str">
        <f t="shared" si="4"/>
        <v/>
      </c>
      <c r="K43" s="65"/>
      <c r="L43" s="65"/>
      <c r="M43" s="66" t="str">
        <f t="shared" si="5"/>
        <v/>
      </c>
      <c r="N43" s="23"/>
      <c r="O43" s="23"/>
      <c r="P43" s="64" t="str">
        <f t="shared" si="6"/>
        <v/>
      </c>
      <c r="Q43" s="65"/>
      <c r="R43" s="65"/>
      <c r="S43" s="66" t="str">
        <f t="shared" si="7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164"/>
      <c r="D44" s="294"/>
      <c r="E44" s="170"/>
      <c r="F44" s="296"/>
      <c r="G44" s="139"/>
      <c r="H44" s="23"/>
      <c r="I44" s="23"/>
      <c r="J44" s="64" t="str">
        <f t="shared" si="4"/>
        <v/>
      </c>
      <c r="K44" s="65"/>
      <c r="L44" s="65"/>
      <c r="M44" s="66" t="str">
        <f t="shared" si="5"/>
        <v/>
      </c>
      <c r="N44" s="23"/>
      <c r="O44" s="23"/>
      <c r="P44" s="64" t="str">
        <f t="shared" si="6"/>
        <v/>
      </c>
      <c r="Q44" s="65"/>
      <c r="R44" s="65"/>
      <c r="S44" s="66" t="str">
        <f t="shared" si="7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63">
        <v>32</v>
      </c>
      <c r="C45" s="164"/>
      <c r="D45" s="294"/>
      <c r="E45" s="170"/>
      <c r="F45" s="296"/>
      <c r="G45" s="139"/>
      <c r="H45" s="23"/>
      <c r="I45" s="23"/>
      <c r="J45" s="64" t="str">
        <f t="shared" si="4"/>
        <v/>
      </c>
      <c r="K45" s="65"/>
      <c r="L45" s="65"/>
      <c r="M45" s="66" t="str">
        <f t="shared" si="5"/>
        <v/>
      </c>
      <c r="N45" s="23"/>
      <c r="O45" s="23"/>
      <c r="P45" s="64" t="str">
        <f t="shared" si="6"/>
        <v/>
      </c>
      <c r="Q45" s="65"/>
      <c r="R45" s="65"/>
      <c r="S45" s="66" t="str">
        <f t="shared" si="7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63">
        <v>33</v>
      </c>
      <c r="C46" s="164"/>
      <c r="D46" s="294"/>
      <c r="E46" s="170"/>
      <c r="F46" s="296"/>
      <c r="G46" s="139"/>
      <c r="H46" s="23"/>
      <c r="I46" s="23"/>
      <c r="J46" s="64" t="str">
        <f t="shared" ref="J46:J73" si="8">IF(H46="","",H46+I46)</f>
        <v/>
      </c>
      <c r="K46" s="65"/>
      <c r="L46" s="65"/>
      <c r="M46" s="66" t="str">
        <f t="shared" ref="M46:M73" si="9">IF(L46="","",K46+L46)</f>
        <v/>
      </c>
      <c r="N46" s="23"/>
      <c r="O46" s="23"/>
      <c r="P46" s="64" t="str">
        <f t="shared" ref="P46:P73" si="10">IF(N46="","",N46+O46)</f>
        <v/>
      </c>
      <c r="Q46" s="65"/>
      <c r="R46" s="65"/>
      <c r="S46" s="66" t="str">
        <f t="shared" ref="S46:S73" si="11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</row>
    <row r="47" spans="1:30" s="69" customFormat="1" ht="18" customHeight="1">
      <c r="A47" s="62"/>
      <c r="B47" s="63">
        <v>34</v>
      </c>
      <c r="C47" s="164"/>
      <c r="D47" s="294"/>
      <c r="E47" s="170"/>
      <c r="F47" s="296"/>
      <c r="G47" s="139"/>
      <c r="H47" s="23"/>
      <c r="I47" s="23"/>
      <c r="J47" s="64" t="str">
        <f t="shared" si="8"/>
        <v/>
      </c>
      <c r="K47" s="65"/>
      <c r="L47" s="65"/>
      <c r="M47" s="66" t="str">
        <f t="shared" si="9"/>
        <v/>
      </c>
      <c r="N47" s="23"/>
      <c r="O47" s="23"/>
      <c r="P47" s="64" t="str">
        <f t="shared" si="10"/>
        <v/>
      </c>
      <c r="Q47" s="65"/>
      <c r="R47" s="65"/>
      <c r="S47" s="66" t="str">
        <f t="shared" si="11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63">
        <v>35</v>
      </c>
      <c r="C48" s="125"/>
      <c r="D48" s="265"/>
      <c r="E48" s="125"/>
      <c r="F48" s="271"/>
      <c r="G48" s="122"/>
      <c r="H48" s="23"/>
      <c r="I48" s="23"/>
      <c r="J48" s="64" t="str">
        <f t="shared" si="8"/>
        <v/>
      </c>
      <c r="K48" s="65"/>
      <c r="L48" s="65"/>
      <c r="M48" s="66" t="str">
        <f t="shared" si="9"/>
        <v/>
      </c>
      <c r="N48" s="23"/>
      <c r="O48" s="23"/>
      <c r="P48" s="64" t="str">
        <f t="shared" si="10"/>
        <v/>
      </c>
      <c r="Q48" s="65"/>
      <c r="R48" s="65"/>
      <c r="S48" s="66" t="str">
        <f t="shared" si="11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63">
        <v>36</v>
      </c>
      <c r="C49" s="22"/>
      <c r="D49" s="266"/>
      <c r="E49" s="22"/>
      <c r="F49" s="276"/>
      <c r="G49" s="24"/>
      <c r="H49" s="23"/>
      <c r="I49" s="23"/>
      <c r="J49" s="64" t="str">
        <f t="shared" si="8"/>
        <v/>
      </c>
      <c r="K49" s="65"/>
      <c r="L49" s="65"/>
      <c r="M49" s="66" t="str">
        <f t="shared" si="9"/>
        <v/>
      </c>
      <c r="N49" s="23"/>
      <c r="O49" s="23"/>
      <c r="P49" s="64" t="str">
        <f t="shared" si="10"/>
        <v/>
      </c>
      <c r="Q49" s="65"/>
      <c r="R49" s="65"/>
      <c r="S49" s="66" t="str">
        <f t="shared" si="11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>
        <v>37</v>
      </c>
      <c r="C50" s="22"/>
      <c r="D50" s="266"/>
      <c r="E50" s="22"/>
      <c r="F50" s="276"/>
      <c r="G50" s="24"/>
      <c r="H50" s="23"/>
      <c r="I50" s="23"/>
      <c r="J50" s="64" t="str">
        <f t="shared" si="8"/>
        <v/>
      </c>
      <c r="K50" s="65"/>
      <c r="L50" s="65"/>
      <c r="M50" s="66" t="str">
        <f t="shared" si="9"/>
        <v/>
      </c>
      <c r="N50" s="23"/>
      <c r="O50" s="23"/>
      <c r="P50" s="64" t="str">
        <f t="shared" si="10"/>
        <v/>
      </c>
      <c r="Q50" s="65"/>
      <c r="R50" s="65"/>
      <c r="S50" s="66" t="str">
        <f t="shared" si="11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>
        <v>38</v>
      </c>
      <c r="C51" s="22"/>
      <c r="D51" s="266"/>
      <c r="E51" s="22"/>
      <c r="F51" s="276"/>
      <c r="G51" s="24"/>
      <c r="H51" s="23"/>
      <c r="I51" s="23"/>
      <c r="J51" s="64" t="str">
        <f t="shared" si="8"/>
        <v/>
      </c>
      <c r="K51" s="65"/>
      <c r="L51" s="65"/>
      <c r="M51" s="66" t="str">
        <f t="shared" si="9"/>
        <v/>
      </c>
      <c r="N51" s="23"/>
      <c r="O51" s="23"/>
      <c r="P51" s="64" t="str">
        <f t="shared" si="10"/>
        <v/>
      </c>
      <c r="Q51" s="65"/>
      <c r="R51" s="65"/>
      <c r="S51" s="66" t="str">
        <f t="shared" si="11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>
        <v>39</v>
      </c>
      <c r="C52" s="22"/>
      <c r="D52" s="266"/>
      <c r="E52" s="22"/>
      <c r="F52" s="276"/>
      <c r="G52" s="24"/>
      <c r="H52" s="23"/>
      <c r="I52" s="23"/>
      <c r="J52" s="64" t="str">
        <f t="shared" si="8"/>
        <v/>
      </c>
      <c r="K52" s="65"/>
      <c r="L52" s="65"/>
      <c r="M52" s="66" t="str">
        <f t="shared" si="9"/>
        <v/>
      </c>
      <c r="N52" s="23"/>
      <c r="O52" s="23"/>
      <c r="P52" s="64" t="str">
        <f t="shared" si="10"/>
        <v/>
      </c>
      <c r="Q52" s="65"/>
      <c r="R52" s="65"/>
      <c r="S52" s="66" t="str">
        <f t="shared" si="11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>
        <v>40</v>
      </c>
      <c r="C53" s="22"/>
      <c r="D53" s="266"/>
      <c r="E53" s="22"/>
      <c r="F53" s="276"/>
      <c r="G53" s="24"/>
      <c r="H53" s="23"/>
      <c r="I53" s="23"/>
      <c r="J53" s="64" t="str">
        <f t="shared" si="8"/>
        <v/>
      </c>
      <c r="K53" s="65"/>
      <c r="L53" s="65"/>
      <c r="M53" s="66" t="str">
        <f t="shared" si="9"/>
        <v/>
      </c>
      <c r="N53" s="23"/>
      <c r="O53" s="23"/>
      <c r="P53" s="64" t="str">
        <f t="shared" si="10"/>
        <v/>
      </c>
      <c r="Q53" s="65"/>
      <c r="R53" s="65"/>
      <c r="S53" s="66" t="str">
        <f t="shared" si="11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/>
      <c r="C54" s="22"/>
      <c r="D54" s="266"/>
      <c r="E54" s="22"/>
      <c r="F54" s="276"/>
      <c r="G54" s="24"/>
      <c r="H54" s="23"/>
      <c r="I54" s="23"/>
      <c r="J54" s="64" t="str">
        <f t="shared" si="8"/>
        <v/>
      </c>
      <c r="K54" s="65"/>
      <c r="L54" s="65"/>
      <c r="M54" s="66" t="str">
        <f t="shared" si="9"/>
        <v/>
      </c>
      <c r="N54" s="23"/>
      <c r="O54" s="23"/>
      <c r="P54" s="64" t="str">
        <f t="shared" si="10"/>
        <v/>
      </c>
      <c r="Q54" s="65"/>
      <c r="R54" s="65"/>
      <c r="S54" s="66" t="str">
        <f t="shared" si="11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/>
      <c r="C55" s="22"/>
      <c r="D55" s="266" t="s">
        <v>408</v>
      </c>
      <c r="E55" s="22"/>
      <c r="F55" s="276" t="s">
        <v>408</v>
      </c>
      <c r="G55" s="24"/>
      <c r="H55" s="23"/>
      <c r="I55" s="23"/>
      <c r="J55" s="64" t="str">
        <f t="shared" si="8"/>
        <v/>
      </c>
      <c r="K55" s="65"/>
      <c r="L55" s="65"/>
      <c r="M55" s="66" t="str">
        <f t="shared" si="9"/>
        <v/>
      </c>
      <c r="N55" s="23"/>
      <c r="O55" s="23"/>
      <c r="P55" s="64" t="str">
        <f t="shared" si="10"/>
        <v/>
      </c>
      <c r="Q55" s="65"/>
      <c r="R55" s="65"/>
      <c r="S55" s="66" t="str">
        <f t="shared" si="11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/>
      <c r="C56" s="22"/>
      <c r="D56" s="266" t="s">
        <v>408</v>
      </c>
      <c r="E56" s="22"/>
      <c r="F56" s="276" t="s">
        <v>408</v>
      </c>
      <c r="G56" s="24"/>
      <c r="H56" s="23"/>
      <c r="I56" s="23"/>
      <c r="J56" s="64" t="str">
        <f t="shared" si="8"/>
        <v/>
      </c>
      <c r="K56" s="65"/>
      <c r="L56" s="65"/>
      <c r="M56" s="66" t="str">
        <f t="shared" si="9"/>
        <v/>
      </c>
      <c r="N56" s="23"/>
      <c r="O56" s="23"/>
      <c r="P56" s="64" t="str">
        <f t="shared" si="10"/>
        <v/>
      </c>
      <c r="Q56" s="65"/>
      <c r="R56" s="65"/>
      <c r="S56" s="66" t="str">
        <f t="shared" si="11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/>
      <c r="C57" s="22"/>
      <c r="D57" s="266" t="s">
        <v>408</v>
      </c>
      <c r="E57" s="22"/>
      <c r="F57" s="276" t="s">
        <v>408</v>
      </c>
      <c r="G57" s="24"/>
      <c r="H57" s="23"/>
      <c r="I57" s="23"/>
      <c r="J57" s="64" t="str">
        <f t="shared" si="8"/>
        <v/>
      </c>
      <c r="K57" s="65"/>
      <c r="L57" s="65"/>
      <c r="M57" s="66" t="str">
        <f t="shared" si="9"/>
        <v/>
      </c>
      <c r="N57" s="23"/>
      <c r="O57" s="23"/>
      <c r="P57" s="64" t="str">
        <f t="shared" si="10"/>
        <v/>
      </c>
      <c r="Q57" s="65"/>
      <c r="R57" s="65"/>
      <c r="S57" s="66" t="str">
        <f t="shared" si="11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/>
      <c r="C58" s="22"/>
      <c r="D58" s="266" t="s">
        <v>408</v>
      </c>
      <c r="E58" s="22"/>
      <c r="F58" s="276" t="s">
        <v>408</v>
      </c>
      <c r="G58" s="24"/>
      <c r="H58" s="23"/>
      <c r="I58" s="23"/>
      <c r="J58" s="64" t="str">
        <f t="shared" si="8"/>
        <v/>
      </c>
      <c r="K58" s="65"/>
      <c r="L58" s="65"/>
      <c r="M58" s="66" t="str">
        <f t="shared" si="9"/>
        <v/>
      </c>
      <c r="N58" s="23"/>
      <c r="O58" s="23"/>
      <c r="P58" s="64" t="str">
        <f t="shared" si="10"/>
        <v/>
      </c>
      <c r="Q58" s="65"/>
      <c r="R58" s="65"/>
      <c r="S58" s="66" t="str">
        <f t="shared" si="11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/>
      <c r="C59" s="22"/>
      <c r="D59" s="266" t="s">
        <v>408</v>
      </c>
      <c r="E59" s="22"/>
      <c r="F59" s="276" t="s">
        <v>408</v>
      </c>
      <c r="G59" s="24"/>
      <c r="H59" s="23"/>
      <c r="I59" s="23"/>
      <c r="J59" s="64" t="str">
        <f t="shared" si="8"/>
        <v/>
      </c>
      <c r="K59" s="65"/>
      <c r="L59" s="65"/>
      <c r="M59" s="66" t="str">
        <f t="shared" si="9"/>
        <v/>
      </c>
      <c r="N59" s="23"/>
      <c r="O59" s="23"/>
      <c r="P59" s="64" t="str">
        <f t="shared" si="10"/>
        <v/>
      </c>
      <c r="Q59" s="65"/>
      <c r="R59" s="65"/>
      <c r="S59" s="66" t="str">
        <f t="shared" si="11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/>
      <c r="C60" s="22"/>
      <c r="D60" s="266" t="s">
        <v>408</v>
      </c>
      <c r="E60" s="22"/>
      <c r="F60" s="276" t="s">
        <v>408</v>
      </c>
      <c r="G60" s="24"/>
      <c r="H60" s="23"/>
      <c r="I60" s="23"/>
      <c r="J60" s="64" t="str">
        <f t="shared" si="8"/>
        <v/>
      </c>
      <c r="K60" s="65"/>
      <c r="L60" s="65"/>
      <c r="M60" s="66" t="str">
        <f t="shared" si="9"/>
        <v/>
      </c>
      <c r="N60" s="23"/>
      <c r="O60" s="23"/>
      <c r="P60" s="64" t="str">
        <f t="shared" si="10"/>
        <v/>
      </c>
      <c r="Q60" s="65"/>
      <c r="R60" s="65"/>
      <c r="S60" s="66" t="str">
        <f t="shared" si="11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/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8"/>
        <v/>
      </c>
      <c r="K61" s="65"/>
      <c r="L61" s="65"/>
      <c r="M61" s="66" t="str">
        <f t="shared" si="9"/>
        <v/>
      </c>
      <c r="N61" s="23"/>
      <c r="O61" s="23"/>
      <c r="P61" s="64" t="str">
        <f t="shared" si="10"/>
        <v/>
      </c>
      <c r="Q61" s="65"/>
      <c r="R61" s="65"/>
      <c r="S61" s="66" t="str">
        <f t="shared" si="11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/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8"/>
        <v/>
      </c>
      <c r="K62" s="65"/>
      <c r="L62" s="65"/>
      <c r="M62" s="66" t="str">
        <f t="shared" si="9"/>
        <v/>
      </c>
      <c r="N62" s="23"/>
      <c r="O62" s="23"/>
      <c r="P62" s="64" t="str">
        <f t="shared" si="10"/>
        <v/>
      </c>
      <c r="Q62" s="65"/>
      <c r="R62" s="65"/>
      <c r="S62" s="66" t="str">
        <f t="shared" si="11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/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8"/>
        <v/>
      </c>
      <c r="K63" s="65"/>
      <c r="L63" s="65"/>
      <c r="M63" s="66" t="str">
        <f t="shared" si="9"/>
        <v/>
      </c>
      <c r="N63" s="23"/>
      <c r="O63" s="23"/>
      <c r="P63" s="64" t="str">
        <f t="shared" si="10"/>
        <v/>
      </c>
      <c r="Q63" s="65"/>
      <c r="R63" s="65"/>
      <c r="S63" s="66" t="str">
        <f t="shared" si="11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/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8"/>
        <v/>
      </c>
      <c r="K64" s="65"/>
      <c r="L64" s="65"/>
      <c r="M64" s="66" t="str">
        <f t="shared" si="9"/>
        <v/>
      </c>
      <c r="N64" s="23"/>
      <c r="O64" s="23"/>
      <c r="P64" s="64" t="str">
        <f t="shared" si="10"/>
        <v/>
      </c>
      <c r="Q64" s="65"/>
      <c r="R64" s="65"/>
      <c r="S64" s="66" t="str">
        <f t="shared" si="11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/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8"/>
        <v/>
      </c>
      <c r="K65" s="65"/>
      <c r="L65" s="65"/>
      <c r="M65" s="66" t="str">
        <f t="shared" si="9"/>
        <v/>
      </c>
      <c r="N65" s="23"/>
      <c r="O65" s="23"/>
      <c r="P65" s="64" t="str">
        <f t="shared" si="10"/>
        <v/>
      </c>
      <c r="Q65" s="65"/>
      <c r="R65" s="65"/>
      <c r="S65" s="66" t="str">
        <f t="shared" si="11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/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8"/>
        <v/>
      </c>
      <c r="K66" s="65"/>
      <c r="L66" s="65"/>
      <c r="M66" s="66" t="str">
        <f t="shared" si="9"/>
        <v/>
      </c>
      <c r="N66" s="23"/>
      <c r="O66" s="23"/>
      <c r="P66" s="64" t="str">
        <f t="shared" si="10"/>
        <v/>
      </c>
      <c r="Q66" s="65"/>
      <c r="R66" s="65"/>
      <c r="S66" s="66" t="str">
        <f t="shared" si="11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/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8"/>
        <v/>
      </c>
      <c r="K67" s="65"/>
      <c r="L67" s="65"/>
      <c r="M67" s="66" t="str">
        <f t="shared" si="9"/>
        <v/>
      </c>
      <c r="N67" s="23"/>
      <c r="O67" s="23"/>
      <c r="P67" s="64" t="str">
        <f t="shared" si="10"/>
        <v/>
      </c>
      <c r="Q67" s="65"/>
      <c r="R67" s="65"/>
      <c r="S67" s="66" t="str">
        <f t="shared" si="11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/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8"/>
        <v/>
      </c>
      <c r="K68" s="65"/>
      <c r="L68" s="65"/>
      <c r="M68" s="66" t="str">
        <f t="shared" si="9"/>
        <v/>
      </c>
      <c r="N68" s="23"/>
      <c r="O68" s="23"/>
      <c r="P68" s="64" t="str">
        <f t="shared" si="10"/>
        <v/>
      </c>
      <c r="Q68" s="65"/>
      <c r="R68" s="65"/>
      <c r="S68" s="66" t="str">
        <f t="shared" si="11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/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8"/>
        <v/>
      </c>
      <c r="K69" s="65"/>
      <c r="L69" s="65"/>
      <c r="M69" s="66" t="str">
        <f t="shared" si="9"/>
        <v/>
      </c>
      <c r="N69" s="23"/>
      <c r="O69" s="23"/>
      <c r="P69" s="64" t="str">
        <f t="shared" si="10"/>
        <v/>
      </c>
      <c r="Q69" s="65"/>
      <c r="R69" s="65"/>
      <c r="S69" s="66" t="str">
        <f t="shared" si="11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/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8"/>
        <v/>
      </c>
      <c r="K70" s="65"/>
      <c r="L70" s="65"/>
      <c r="M70" s="66" t="str">
        <f t="shared" si="9"/>
        <v/>
      </c>
      <c r="N70" s="23"/>
      <c r="O70" s="23"/>
      <c r="P70" s="64" t="str">
        <f t="shared" si="10"/>
        <v/>
      </c>
      <c r="Q70" s="65"/>
      <c r="R70" s="65"/>
      <c r="S70" s="66" t="str">
        <f t="shared" si="11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/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8"/>
        <v/>
      </c>
      <c r="K71" s="65"/>
      <c r="L71" s="65"/>
      <c r="M71" s="66" t="str">
        <f t="shared" si="9"/>
        <v/>
      </c>
      <c r="N71" s="23"/>
      <c r="O71" s="23"/>
      <c r="P71" s="64" t="str">
        <f t="shared" si="10"/>
        <v/>
      </c>
      <c r="Q71" s="65"/>
      <c r="R71" s="65"/>
      <c r="S71" s="66" t="str">
        <f t="shared" si="11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/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8"/>
        <v/>
      </c>
      <c r="K72" s="65"/>
      <c r="L72" s="65"/>
      <c r="M72" s="66" t="str">
        <f t="shared" si="9"/>
        <v/>
      </c>
      <c r="N72" s="23"/>
      <c r="O72" s="23"/>
      <c r="P72" s="64" t="str">
        <f t="shared" si="10"/>
        <v/>
      </c>
      <c r="Q72" s="65"/>
      <c r="R72" s="65"/>
      <c r="S72" s="66" t="str">
        <f t="shared" si="11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/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8"/>
        <v/>
      </c>
      <c r="K73" s="65"/>
      <c r="L73" s="65"/>
      <c r="M73" s="66" t="str">
        <f t="shared" si="9"/>
        <v/>
      </c>
      <c r="N73" s="23"/>
      <c r="O73" s="23"/>
      <c r="P73" s="64" t="str">
        <f t="shared" si="10"/>
        <v/>
      </c>
      <c r="Q73" s="65"/>
      <c r="R73" s="65"/>
      <c r="S73" s="66" t="str">
        <f t="shared" si="11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/>
      <c r="E201" s="71" ph="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7" ht="18" customHeight="1">
      <c r="C209" s="21"/>
      <c r="E209" s="71"/>
      <c r="G209" s="79"/>
    </row>
    <row r="210" spans="3:7" ht="18" customHeight="1">
      <c r="C210" s="21"/>
      <c r="E210" s="71"/>
      <c r="G210" s="79"/>
    </row>
    <row r="211" spans="3:7" ht="18" customHeight="1">
      <c r="C211" s="21"/>
      <c r="E211" s="71"/>
      <c r="G211" s="79"/>
    </row>
    <row r="212" spans="3:7" ht="18" customHeight="1">
      <c r="C212" s="21"/>
      <c r="E212" s="71"/>
      <c r="G212" s="79"/>
    </row>
    <row r="213" spans="3:7" ht="18" customHeight="1">
      <c r="C213" s="21"/>
      <c r="E213" s="71"/>
      <c r="G213" s="79"/>
    </row>
    <row r="214" spans="3:7" ht="18" customHeight="1">
      <c r="C214" s="21"/>
      <c r="E214" s="80"/>
      <c r="G214" s="79"/>
    </row>
    <row r="215" spans="3:7" ht="18" customHeight="1">
      <c r="C215" s="21"/>
      <c r="E215" s="80"/>
      <c r="G215" s="79"/>
    </row>
    <row r="216" spans="3:7" ht="18" customHeight="1">
      <c r="C216" s="79"/>
      <c r="E216" s="80"/>
      <c r="G216" s="79"/>
    </row>
    <row r="217" spans="3:7" ht="18" customHeight="1">
      <c r="C217" s="21"/>
      <c r="E217" s="80"/>
      <c r="G217" s="79"/>
    </row>
    <row r="218" spans="3:7" ht="18" customHeight="1">
      <c r="C218" s="79"/>
      <c r="E218" s="80"/>
      <c r="G218" s="79"/>
    </row>
    <row r="219" spans="3:7" ht="18" customHeight="1">
      <c r="C219" s="21"/>
      <c r="E219" s="80"/>
      <c r="G219" s="79"/>
    </row>
    <row r="220" spans="3:7" ht="18" customHeight="1">
      <c r="C220" s="21"/>
      <c r="E220" s="80"/>
      <c r="G220" s="21"/>
    </row>
    <row r="221" spans="3:7" ht="18" customHeight="1">
      <c r="C221" s="21"/>
      <c r="E221" s="80"/>
      <c r="G221" s="21"/>
    </row>
    <row r="222" spans="3:7" ht="18" customHeight="1">
      <c r="C222" s="21"/>
      <c r="E222" s="80"/>
      <c r="G222" s="21"/>
    </row>
    <row r="223" spans="3:7" ht="18" customHeight="1">
      <c r="C223" s="21"/>
      <c r="E223" s="80"/>
      <c r="G223" s="21"/>
    </row>
  </sheetData>
  <autoFilter ref="A13:AD13" xr:uid="{00000000-0001-0000-10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AD22">
    <sortCondition ref="B14:B22"/>
  </sortState>
  <phoneticPr fontId="6"/>
  <conditionalFormatting sqref="V14:V73">
    <cfRule type="cellIs" dxfId="17" priority="6" stopIfTrue="1" operator="notBetween">
      <formula>"A"</formula>
      <formula>"Ｂ"</formula>
    </cfRule>
  </conditionalFormatting>
  <conditionalFormatting sqref="W14:W73">
    <cfRule type="cellIs" dxfId="16" priority="5" stopIfTrue="1" operator="between">
      <formula>"-"</formula>
      <formula>"申請中"</formula>
    </cfRule>
  </conditionalFormatting>
  <conditionalFormatting sqref="Y14:Z73">
    <cfRule type="expression" dxfId="15" priority="4">
      <formula>Y14&lt;&gt;C14</formula>
    </cfRule>
  </conditionalFormatting>
  <conditionalFormatting sqref="AB14:AC73">
    <cfRule type="expression" dxfId="14" priority="3">
      <formula>AB14&lt;&gt;E14</formula>
    </cfRule>
  </conditionalFormatting>
  <conditionalFormatting sqref="C14:C73">
    <cfRule type="duplicateValues" dxfId="13" priority="2"/>
  </conditionalFormatting>
  <conditionalFormatting sqref="E14:E73">
    <cfRule type="duplicateValues" dxfId="12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5</xdr:row>
                    <xdr:rowOff>0</xdr:rowOff>
                  </from>
                  <to>
                    <xdr:col>27</xdr:col>
                    <xdr:colOff>198120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EBD75-43E7-4D5B-AE79-A4D120DE969A}">
  <sheetPr codeName="Sheet38">
    <tabColor rgb="FFFFC000"/>
  </sheetPr>
  <dimension ref="A1:AD223"/>
  <sheetViews>
    <sheetView zoomScale="98" zoomScaleNormal="98" workbookViewId="0">
      <selection activeCell="G40" sqref="G4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28</v>
      </c>
      <c r="D4" s="26" t="s">
        <v>7</v>
      </c>
      <c r="E4" s="27" t="s">
        <v>8</v>
      </c>
      <c r="F4" s="268" t="s">
        <v>600</v>
      </c>
      <c r="G4" s="31"/>
      <c r="H4" s="31"/>
      <c r="J4" s="27" t="s">
        <v>9</v>
      </c>
      <c r="K4" s="36"/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 t="s">
        <v>603</v>
      </c>
      <c r="E5" s="27" t="s">
        <v>12</v>
      </c>
      <c r="F5" s="30" t="s">
        <v>58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V11" s="26">
        <f>COUNTA(C14:C73)</f>
        <v>0</v>
      </c>
      <c r="W11" s="26">
        <f>COUNTA(E14:E73)</f>
        <v>0</v>
      </c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/>
      <c r="B14" s="63">
        <v>1</v>
      </c>
      <c r="C14" s="140"/>
      <c r="D14" s="286"/>
      <c r="E14" s="141"/>
      <c r="F14" s="290"/>
      <c r="G14" s="119"/>
      <c r="H14" s="23"/>
      <c r="I14" s="23"/>
      <c r="J14" s="64" t="str">
        <f t="shared" ref="J14:J45" si="0">IF(H14="","",H14+I14)</f>
        <v/>
      </c>
      <c r="K14" s="65"/>
      <c r="L14" s="65"/>
      <c r="M14" s="66" t="str">
        <f t="shared" ref="M14:M45" si="1">IF(L14="","",K14+L14)</f>
        <v/>
      </c>
      <c r="N14" s="23"/>
      <c r="O14" s="23"/>
      <c r="P14" s="64" t="str">
        <f t="shared" ref="P14:P45" si="2">IF(N14="","",N14+O14)</f>
        <v/>
      </c>
      <c r="Q14" s="65"/>
      <c r="R14" s="65"/>
      <c r="S14" s="66" t="str">
        <f t="shared" ref="S14:S45" si="3">IF(R14="","",Q14+R14)</f>
        <v/>
      </c>
      <c r="T14" s="67"/>
      <c r="U14" s="68"/>
      <c r="V14" s="18" t="str">
        <f>IF($C14="","",VLOOKUP($C14,#REF!,4,FALSE))</f>
        <v/>
      </c>
      <c r="W14" s="72" t="str">
        <f>IF($E14="","",VLOOKUP($E14,#REF!,4,FALSE))</f>
        <v/>
      </c>
      <c r="Y14"/>
      <c r="Z14"/>
      <c r="AA14"/>
      <c r="AB14"/>
      <c r="AC14"/>
      <c r="AD14"/>
    </row>
    <row r="15" spans="1:30" s="69" customFormat="1" ht="18" customHeight="1">
      <c r="A15" s="62"/>
      <c r="B15" s="63">
        <v>2</v>
      </c>
      <c r="C15" s="140"/>
      <c r="D15" s="286"/>
      <c r="E15" s="141"/>
      <c r="F15" s="273"/>
      <c r="G15" s="154"/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str">
        <f>IF($C15="","",VLOOKUP($C15,#REF!,4,FALSE))</f>
        <v/>
      </c>
      <c r="W15" s="72" t="str">
        <f>IF($E15="","",VLOOKUP($E15,#REF!,4,FALSE))</f>
        <v/>
      </c>
      <c r="Y15" t="s">
        <v>1263</v>
      </c>
      <c r="Z15">
        <v>9498</v>
      </c>
      <c r="AA15" t="s">
        <v>1071</v>
      </c>
      <c r="AB15" t="s">
        <v>1292</v>
      </c>
      <c r="AC15">
        <v>60546</v>
      </c>
      <c r="AD15"/>
    </row>
    <row r="16" spans="1:30" s="69" customFormat="1" ht="18" customHeight="1">
      <c r="A16" s="62"/>
      <c r="B16" s="63">
        <v>3</v>
      </c>
      <c r="C16" s="140"/>
      <c r="D16" s="287"/>
      <c r="E16" s="141"/>
      <c r="F16" s="273"/>
      <c r="G16" s="119"/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str">
        <f>IF($C16="","",VLOOKUP($C16,#REF!,4,FALSE))</f>
        <v/>
      </c>
      <c r="W16" s="72" t="str">
        <f>IF($E16="","",VLOOKUP($E16,#REF!,4,FALSE))</f>
        <v/>
      </c>
      <c r="Y16"/>
      <c r="Z16"/>
      <c r="AA16"/>
      <c r="AB16"/>
      <c r="AC16"/>
      <c r="AD16"/>
    </row>
    <row r="17" spans="1:30" s="69" customFormat="1" ht="18" customHeight="1">
      <c r="A17" s="62"/>
      <c r="B17" s="63">
        <v>4</v>
      </c>
      <c r="C17" s="102"/>
      <c r="D17" s="288"/>
      <c r="E17" s="104"/>
      <c r="F17" s="291"/>
      <c r="G17" s="102"/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str">
        <f>IF($C17="","",VLOOKUP($C17,#REF!,4,FALSE))</f>
        <v/>
      </c>
      <c r="W17" s="72" t="str">
        <f>IF($E17="","",VLOOKUP($E17,#REF!,4,FALSE))</f>
        <v/>
      </c>
      <c r="Y17"/>
      <c r="Z17"/>
      <c r="AA17"/>
      <c r="AB17"/>
      <c r="AC17"/>
      <c r="AD17"/>
    </row>
    <row r="18" spans="1:30" s="69" customFormat="1" ht="18" customHeight="1">
      <c r="A18" s="62"/>
      <c r="B18" s="63">
        <v>5</v>
      </c>
      <c r="C18" s="103"/>
      <c r="D18" s="287"/>
      <c r="E18" s="108"/>
      <c r="F18" s="290"/>
      <c r="G18" s="103"/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str">
        <f>IF($C18="","",VLOOKUP($C18,#REF!,4,FALSE))</f>
        <v/>
      </c>
      <c r="W18" s="72" t="str">
        <f>IF($E18="","",VLOOKUP($E18,#REF!,4,FALSE))</f>
        <v/>
      </c>
      <c r="Y18"/>
      <c r="Z18"/>
      <c r="AA18"/>
      <c r="AB18"/>
      <c r="AC18"/>
      <c r="AD18"/>
    </row>
    <row r="19" spans="1:30" s="69" customFormat="1" ht="18" customHeight="1">
      <c r="A19" s="62"/>
      <c r="B19" s="63">
        <v>6</v>
      </c>
      <c r="C19" s="103"/>
      <c r="D19" s="287"/>
      <c r="E19" s="118"/>
      <c r="F19" s="292"/>
      <c r="G19" s="103"/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str">
        <f>IF($C19="","",VLOOKUP($C19,#REF!,4,FALSE))</f>
        <v/>
      </c>
      <c r="W19" s="72" t="str">
        <f>IF($E19="","",VLOOKUP($E19,#REF!,4,FALSE))</f>
        <v/>
      </c>
      <c r="Y19"/>
      <c r="Z19"/>
      <c r="AA19"/>
      <c r="AB19"/>
      <c r="AC19"/>
      <c r="AD19"/>
    </row>
    <row r="20" spans="1:30" s="69" customFormat="1" ht="18" customHeight="1">
      <c r="A20" s="62"/>
      <c r="B20" s="63">
        <v>7</v>
      </c>
      <c r="C20" s="103"/>
      <c r="D20" s="287"/>
      <c r="E20" s="108"/>
      <c r="F20" s="290"/>
      <c r="G20" s="103"/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str">
        <f>IF($C20="","",VLOOKUP($C20,#REF!,4,FALSE))</f>
        <v/>
      </c>
      <c r="W20" s="72" t="str">
        <f>IF($E20="","",VLOOKUP($E20,#REF!,4,FALSE))</f>
        <v/>
      </c>
      <c r="Y20"/>
      <c r="Z20"/>
      <c r="AA20"/>
      <c r="AB20"/>
      <c r="AC20"/>
      <c r="AD20"/>
    </row>
    <row r="21" spans="1:30" s="69" customFormat="1" ht="18" customHeight="1">
      <c r="A21" s="62"/>
      <c r="B21" s="63">
        <v>8</v>
      </c>
      <c r="C21" s="105"/>
      <c r="D21" s="289"/>
      <c r="E21" s="107"/>
      <c r="F21" s="293"/>
      <c r="G21" s="106"/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str">
        <f>IF($C21="","",VLOOKUP($C21,#REF!,4,FALSE))</f>
        <v/>
      </c>
      <c r="W21" s="72" t="str">
        <f>IF($E21="","",VLOOKUP($E21,#REF!,4,FALSE))</f>
        <v/>
      </c>
      <c r="Y21"/>
      <c r="Z21"/>
      <c r="AA21"/>
      <c r="AB21"/>
      <c r="AC21"/>
      <c r="AD21"/>
    </row>
    <row r="22" spans="1:30" s="69" customFormat="1" ht="18" customHeight="1">
      <c r="A22" s="62"/>
      <c r="B22" s="63">
        <v>9</v>
      </c>
      <c r="C22" s="105"/>
      <c r="D22" s="289"/>
      <c r="E22" s="107"/>
      <c r="F22" s="293"/>
      <c r="G22" s="106"/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str">
        <f>IF($C22="","",VLOOKUP($C22,#REF!,4,FALSE))</f>
        <v/>
      </c>
      <c r="W22" s="72" t="str">
        <f>IF($E22="","",VLOOKUP($E22,#REF!,4,FALSE))</f>
        <v/>
      </c>
      <c r="Y22"/>
      <c r="Z22"/>
      <c r="AA22"/>
      <c r="AB22"/>
      <c r="AC22"/>
      <c r="AD22"/>
    </row>
    <row r="23" spans="1:30" s="69" customFormat="1" ht="18" customHeight="1">
      <c r="A23" s="62"/>
      <c r="B23" s="63">
        <v>10</v>
      </c>
      <c r="C23" s="105"/>
      <c r="D23" s="289"/>
      <c r="E23" s="112"/>
      <c r="F23" s="284"/>
      <c r="G23" s="113"/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str">
        <f>IF($C23="","",VLOOKUP($C23,#REF!,4,FALSE))</f>
        <v/>
      </c>
      <c r="W23" s="72" t="str">
        <f>IF($E23="","",VLOOKUP($E23,#REF!,4,FALSE))</f>
        <v/>
      </c>
      <c r="Y23"/>
      <c r="Z23"/>
      <c r="AA23"/>
      <c r="AB23"/>
      <c r="AC23"/>
      <c r="AD23"/>
    </row>
    <row r="24" spans="1:30" s="69" customFormat="1" ht="18" customHeight="1">
      <c r="A24" s="62"/>
      <c r="B24" s="63">
        <v>11</v>
      </c>
      <c r="C24" s="114"/>
      <c r="D24" s="279"/>
      <c r="E24" s="112"/>
      <c r="F24" s="284"/>
      <c r="G24" s="109"/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str">
        <f>IF($C24="","",VLOOKUP($C24,#REF!,4,FALSE))</f>
        <v/>
      </c>
      <c r="W24" s="72" t="str">
        <f>IF($E24="","",VLOOKUP($E24,#REF!,4,FALSE))</f>
        <v/>
      </c>
      <c r="Y24"/>
      <c r="Z24"/>
      <c r="AA24"/>
      <c r="AB24"/>
      <c r="AC24"/>
      <c r="AD24"/>
    </row>
    <row r="25" spans="1:30" s="69" customFormat="1" ht="18" customHeight="1">
      <c r="A25" s="62"/>
      <c r="B25" s="63">
        <v>12</v>
      </c>
      <c r="C25" s="109"/>
      <c r="D25" s="281"/>
      <c r="E25" s="112"/>
      <c r="F25" s="284"/>
      <c r="G25" s="109"/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str">
        <f>IF($C25="","",VLOOKUP($C25,#REF!,4,FALSE))</f>
        <v/>
      </c>
      <c r="W25" s="72" t="str">
        <f>IF($E25="","",VLOOKUP($E25,#REF!,4,FALSE))</f>
        <v/>
      </c>
      <c r="Y25"/>
      <c r="Z25"/>
      <c r="AA25"/>
      <c r="AB25"/>
      <c r="AC25"/>
      <c r="AD25"/>
    </row>
    <row r="26" spans="1:30" s="69" customFormat="1" ht="18" customHeight="1">
      <c r="A26" s="62"/>
      <c r="B26" s="63">
        <v>13</v>
      </c>
      <c r="C26" s="114"/>
      <c r="D26" s="279"/>
      <c r="E26" s="110"/>
      <c r="F26" s="284"/>
      <c r="G26" s="114"/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str">
        <f>IF($C26="","",VLOOKUP($C26,#REF!,4,FALSE))</f>
        <v/>
      </c>
      <c r="W26" s="72" t="str">
        <f>IF($E26="","",VLOOKUP($E26,#REF!,4,FALSE))</f>
        <v/>
      </c>
      <c r="Y26"/>
      <c r="Z26"/>
      <c r="AA26"/>
      <c r="AB26"/>
      <c r="AC26"/>
      <c r="AD26"/>
    </row>
    <row r="27" spans="1:30" s="69" customFormat="1" ht="18" customHeight="1">
      <c r="A27" s="62"/>
      <c r="B27" s="63">
        <v>14</v>
      </c>
      <c r="C27" s="22"/>
      <c r="D27" s="266"/>
      <c r="E27" s="22"/>
      <c r="F27" s="276"/>
      <c r="G27" s="24"/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str">
        <f>IF($C27="","",VLOOKUP($C27,#REF!,4,FALSE))</f>
        <v/>
      </c>
      <c r="W27" s="72" t="str">
        <f>IF($E27="","",VLOOKUP($E27,#REF!,4,FALSE))</f>
        <v/>
      </c>
      <c r="Y27"/>
      <c r="Z27"/>
      <c r="AA27"/>
      <c r="AB27"/>
      <c r="AC27"/>
      <c r="AD27"/>
    </row>
    <row r="28" spans="1:30" s="69" customFormat="1" ht="18" customHeight="1">
      <c r="A28" s="62"/>
      <c r="B28" s="63">
        <v>15</v>
      </c>
      <c r="C28" s="22"/>
      <c r="D28" s="266"/>
      <c r="E28" s="22"/>
      <c r="F28" s="276"/>
      <c r="G28" s="24"/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str">
        <f>IF($C28="","",VLOOKUP($C28,#REF!,4,FALSE))</f>
        <v/>
      </c>
      <c r="W28" s="72" t="str">
        <f>IF($E28="","",VLOOKUP($E28,#REF!,4,FALSE))</f>
        <v/>
      </c>
      <c r="Y28"/>
      <c r="Z28"/>
      <c r="AA28"/>
      <c r="AB28"/>
      <c r="AC28"/>
      <c r="AD28"/>
    </row>
    <row r="29" spans="1:30" s="69" customFormat="1" ht="18" customHeight="1">
      <c r="A29" s="62"/>
      <c r="B29" s="63">
        <v>16</v>
      </c>
      <c r="C29" s="22"/>
      <c r="D29" s="266"/>
      <c r="E29" s="22"/>
      <c r="F29" s="276"/>
      <c r="G29" s="24"/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str">
        <f>IF($C29="","",VLOOKUP($C29,#REF!,4,FALSE))</f>
        <v/>
      </c>
      <c r="W29" s="72" t="str">
        <f>IF($E29="","",VLOOKUP($E29,#REF!,4,FALSE))</f>
        <v/>
      </c>
      <c r="Y29"/>
      <c r="Z29"/>
      <c r="AA29"/>
      <c r="AB29"/>
      <c r="AC29"/>
      <c r="AD29"/>
    </row>
    <row r="30" spans="1:30" s="69" customFormat="1" ht="18" customHeight="1">
      <c r="A30" s="62"/>
      <c r="B30" s="63">
        <v>17</v>
      </c>
      <c r="C30" s="22"/>
      <c r="D30" s="266"/>
      <c r="E30" s="22"/>
      <c r="F30" s="290"/>
      <c r="G30" s="24"/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str">
        <f>IF($C30="","",VLOOKUP($C30,#REF!,4,FALSE))</f>
        <v/>
      </c>
      <c r="W30" s="72" t="str">
        <f>IF($E30="","",VLOOKUP($E30,#REF!,4,FALSE))</f>
        <v/>
      </c>
      <c r="Y30"/>
      <c r="Z30"/>
      <c r="AA30"/>
      <c r="AB30"/>
      <c r="AC30"/>
      <c r="AD30"/>
    </row>
    <row r="31" spans="1:30" s="69" customFormat="1" ht="18" customHeight="1">
      <c r="A31" s="62"/>
      <c r="B31" s="63">
        <v>18</v>
      </c>
      <c r="C31" s="22"/>
      <c r="D31" s="266"/>
      <c r="E31" s="22"/>
      <c r="F31" s="276"/>
      <c r="G31" s="24"/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str">
        <f>IF($C31="","",VLOOKUP($C31,#REF!,4,FALSE))</f>
        <v/>
      </c>
      <c r="W31" s="72" t="str">
        <f>IF($E31="","",VLOOKUP($E31,#REF!,4,FALSE))</f>
        <v/>
      </c>
      <c r="Y31"/>
      <c r="Z31"/>
      <c r="AA31"/>
      <c r="AB31"/>
      <c r="AC31"/>
      <c r="AD31"/>
    </row>
    <row r="32" spans="1:30" s="69" customFormat="1" ht="18" customHeight="1">
      <c r="A32" s="62"/>
      <c r="B32" s="63">
        <v>19</v>
      </c>
      <c r="C32" s="22"/>
      <c r="D32" s="266"/>
      <c r="E32" s="22"/>
      <c r="F32" s="276"/>
      <c r="G32" s="24"/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str">
        <f>IF($C32="","",VLOOKUP($C32,#REF!,4,FALSE))</f>
        <v/>
      </c>
      <c r="W32" s="72" t="str">
        <f>IF($E32="","",VLOOKUP($E32,#REF!,4,FALSE))</f>
        <v/>
      </c>
      <c r="Y32"/>
      <c r="Z32"/>
      <c r="AA32"/>
      <c r="AB32"/>
      <c r="AC32"/>
      <c r="AD32"/>
    </row>
    <row r="33" spans="1:30" s="69" customFormat="1" ht="18" customHeight="1">
      <c r="A33" s="62"/>
      <c r="B33" s="63">
        <v>20</v>
      </c>
      <c r="C33" s="22"/>
      <c r="D33" s="266"/>
      <c r="E33" s="22"/>
      <c r="F33" s="276"/>
      <c r="G33" s="24"/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Y33"/>
      <c r="Z33"/>
      <c r="AA33"/>
      <c r="AB33"/>
      <c r="AC33"/>
      <c r="AD33"/>
    </row>
    <row r="34" spans="1:30" s="69" customFormat="1" ht="18" customHeight="1">
      <c r="A34" s="62"/>
      <c r="B34" s="63">
        <v>21</v>
      </c>
      <c r="C34" s="22"/>
      <c r="D34" s="266"/>
      <c r="E34" s="22"/>
      <c r="F34" s="276"/>
      <c r="G34" s="24"/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Y34"/>
      <c r="Z34"/>
      <c r="AA34"/>
      <c r="AB34"/>
      <c r="AC34"/>
      <c r="AD34"/>
    </row>
    <row r="35" spans="1:30" s="69" customFormat="1" ht="18" customHeight="1">
      <c r="A35" s="62"/>
      <c r="B35" s="63">
        <v>22</v>
      </c>
      <c r="C35" s="22"/>
      <c r="D35" s="266"/>
      <c r="E35" s="22"/>
      <c r="F35" s="276"/>
      <c r="G35" s="24"/>
      <c r="H35" s="23"/>
      <c r="I35" s="23"/>
      <c r="J35" s="64" t="str">
        <f t="shared" si="0"/>
        <v/>
      </c>
      <c r="K35" s="65"/>
      <c r="L35" s="65"/>
      <c r="M35" s="66" t="str">
        <f t="shared" si="1"/>
        <v/>
      </c>
      <c r="N35" s="23"/>
      <c r="O35" s="23"/>
      <c r="P35" s="64" t="str">
        <f t="shared" si="2"/>
        <v/>
      </c>
      <c r="Q35" s="65"/>
      <c r="R35" s="65"/>
      <c r="S35" s="66" t="str">
        <f t="shared" si="3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Y35"/>
      <c r="Z35"/>
      <c r="AA35"/>
      <c r="AB35"/>
      <c r="AC35"/>
      <c r="AD35"/>
    </row>
    <row r="36" spans="1:30" s="69" customFormat="1" ht="18" customHeight="1">
      <c r="A36" s="62"/>
      <c r="B36" s="63">
        <v>23</v>
      </c>
      <c r="C36" s="22"/>
      <c r="D36" s="266"/>
      <c r="E36" s="22"/>
      <c r="F36" s="276"/>
      <c r="G36" s="24"/>
      <c r="H36" s="23"/>
      <c r="I36" s="23"/>
      <c r="J36" s="64" t="str">
        <f t="shared" si="0"/>
        <v/>
      </c>
      <c r="K36" s="65"/>
      <c r="L36" s="65"/>
      <c r="M36" s="66" t="str">
        <f t="shared" si="1"/>
        <v/>
      </c>
      <c r="N36" s="23"/>
      <c r="O36" s="23"/>
      <c r="P36" s="64" t="str">
        <f t="shared" si="2"/>
        <v/>
      </c>
      <c r="Q36" s="65"/>
      <c r="R36" s="65"/>
      <c r="S36" s="66" t="str">
        <f t="shared" si="3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Y36"/>
      <c r="Z36"/>
      <c r="AA36"/>
      <c r="AB36"/>
      <c r="AC36"/>
      <c r="AD36"/>
    </row>
    <row r="37" spans="1:30" s="69" customFormat="1" ht="18" customHeight="1">
      <c r="A37" s="62"/>
      <c r="B37" s="63">
        <v>24</v>
      </c>
      <c r="C37" s="22"/>
      <c r="D37" s="266"/>
      <c r="E37" s="22"/>
      <c r="F37" s="276"/>
      <c r="G37" s="24"/>
      <c r="H37" s="23"/>
      <c r="I37" s="23"/>
      <c r="J37" s="64" t="str">
        <f t="shared" si="0"/>
        <v/>
      </c>
      <c r="K37" s="65"/>
      <c r="L37" s="65"/>
      <c r="M37" s="66" t="str">
        <f t="shared" si="1"/>
        <v/>
      </c>
      <c r="N37" s="23"/>
      <c r="O37" s="23"/>
      <c r="P37" s="64" t="str">
        <f t="shared" si="2"/>
        <v/>
      </c>
      <c r="Q37" s="65"/>
      <c r="R37" s="65"/>
      <c r="S37" s="66" t="str">
        <f t="shared" si="3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Y37"/>
      <c r="Z37"/>
      <c r="AA37"/>
      <c r="AB37"/>
      <c r="AC37"/>
      <c r="AD37"/>
    </row>
    <row r="38" spans="1:30" s="69" customFormat="1" ht="18" customHeight="1">
      <c r="A38" s="62"/>
      <c r="B38" s="63">
        <v>25</v>
      </c>
      <c r="C38" s="22"/>
      <c r="D38" s="266"/>
      <c r="E38" s="22"/>
      <c r="F38" s="276"/>
      <c r="G38" s="24"/>
      <c r="H38" s="23"/>
      <c r="I38" s="23"/>
      <c r="J38" s="64" t="str">
        <f t="shared" si="0"/>
        <v/>
      </c>
      <c r="K38" s="65"/>
      <c r="L38" s="65"/>
      <c r="M38" s="66" t="str">
        <f t="shared" si="1"/>
        <v/>
      </c>
      <c r="N38" s="23"/>
      <c r="O38" s="23"/>
      <c r="P38" s="64" t="str">
        <f t="shared" si="2"/>
        <v/>
      </c>
      <c r="Q38" s="65"/>
      <c r="R38" s="65"/>
      <c r="S38" s="66" t="str">
        <f t="shared" si="3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Y38"/>
      <c r="Z38"/>
      <c r="AA38"/>
      <c r="AB38"/>
      <c r="AC38"/>
      <c r="AD38"/>
    </row>
    <row r="39" spans="1:30" s="69" customFormat="1" ht="18" customHeight="1">
      <c r="A39" s="62"/>
      <c r="B39" s="63">
        <v>26</v>
      </c>
      <c r="C39" s="22"/>
      <c r="D39" s="266" t="s">
        <v>408</v>
      </c>
      <c r="E39" s="22"/>
      <c r="F39" s="276" t="s">
        <v>408</v>
      </c>
      <c r="G39" s="24"/>
      <c r="H39" s="23"/>
      <c r="I39" s="23"/>
      <c r="J39" s="64" t="str">
        <f t="shared" si="0"/>
        <v/>
      </c>
      <c r="K39" s="65"/>
      <c r="L39" s="65"/>
      <c r="M39" s="66" t="str">
        <f t="shared" si="1"/>
        <v/>
      </c>
      <c r="N39" s="23"/>
      <c r="O39" s="23"/>
      <c r="P39" s="64" t="str">
        <f t="shared" si="2"/>
        <v/>
      </c>
      <c r="Q39" s="65"/>
      <c r="R39" s="65"/>
      <c r="S39" s="66" t="str">
        <f t="shared" si="3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Y39"/>
      <c r="Z39"/>
      <c r="AA39"/>
      <c r="AB39"/>
      <c r="AC39"/>
      <c r="AD39"/>
    </row>
    <row r="40" spans="1:30" s="69" customFormat="1" ht="18" customHeight="1">
      <c r="A40" s="62"/>
      <c r="B40" s="63">
        <v>27</v>
      </c>
      <c r="C40" s="22"/>
      <c r="D40" s="266" t="s">
        <v>408</v>
      </c>
      <c r="E40" s="22"/>
      <c r="F40" s="276" t="s">
        <v>408</v>
      </c>
      <c r="G40" s="24"/>
      <c r="H40" s="23"/>
      <c r="I40" s="23"/>
      <c r="J40" s="64" t="str">
        <f t="shared" si="0"/>
        <v/>
      </c>
      <c r="K40" s="65"/>
      <c r="L40" s="65"/>
      <c r="M40" s="66" t="str">
        <f t="shared" si="1"/>
        <v/>
      </c>
      <c r="N40" s="23"/>
      <c r="O40" s="23"/>
      <c r="P40" s="64" t="str">
        <f t="shared" si="2"/>
        <v/>
      </c>
      <c r="Q40" s="65"/>
      <c r="R40" s="65"/>
      <c r="S40" s="66" t="str">
        <f t="shared" si="3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63">
        <v>28</v>
      </c>
      <c r="C41" s="22"/>
      <c r="D41" s="266" t="s">
        <v>408</v>
      </c>
      <c r="E41" s="22"/>
      <c r="F41" s="276" t="s">
        <v>408</v>
      </c>
      <c r="G41" s="24"/>
      <c r="H41" s="23"/>
      <c r="I41" s="23"/>
      <c r="J41" s="64" t="str">
        <f t="shared" si="0"/>
        <v/>
      </c>
      <c r="K41" s="65"/>
      <c r="L41" s="65"/>
      <c r="M41" s="66" t="str">
        <f t="shared" si="1"/>
        <v/>
      </c>
      <c r="N41" s="23"/>
      <c r="O41" s="23"/>
      <c r="P41" s="64" t="str">
        <f t="shared" si="2"/>
        <v/>
      </c>
      <c r="Q41" s="65"/>
      <c r="R41" s="65"/>
      <c r="S41" s="66" t="str">
        <f t="shared" si="3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/>
      <c r="Z41"/>
      <c r="AA41"/>
      <c r="AB41"/>
      <c r="AC41"/>
      <c r="AD41"/>
    </row>
    <row r="42" spans="1:30" s="69" customFormat="1" ht="18" customHeight="1">
      <c r="A42" s="62"/>
      <c r="B42" s="63">
        <v>29</v>
      </c>
      <c r="C42" s="22"/>
      <c r="D42" s="266" t="s">
        <v>408</v>
      </c>
      <c r="E42" s="22"/>
      <c r="F42" s="276" t="s">
        <v>408</v>
      </c>
      <c r="G42" s="24"/>
      <c r="H42" s="23"/>
      <c r="I42" s="23"/>
      <c r="J42" s="64" t="str">
        <f t="shared" si="0"/>
        <v/>
      </c>
      <c r="K42" s="65"/>
      <c r="L42" s="65"/>
      <c r="M42" s="66" t="str">
        <f t="shared" si="1"/>
        <v/>
      </c>
      <c r="N42" s="23"/>
      <c r="O42" s="23"/>
      <c r="P42" s="64" t="str">
        <f t="shared" si="2"/>
        <v/>
      </c>
      <c r="Q42" s="65"/>
      <c r="R42" s="65"/>
      <c r="S42" s="66" t="str">
        <f t="shared" si="3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22"/>
      <c r="D43" s="266" t="s">
        <v>408</v>
      </c>
      <c r="E43" s="22"/>
      <c r="F43" s="276" t="s">
        <v>408</v>
      </c>
      <c r="G43" s="24"/>
      <c r="H43" s="23"/>
      <c r="I43" s="23"/>
      <c r="J43" s="64" t="str">
        <f t="shared" si="0"/>
        <v/>
      </c>
      <c r="K43" s="65"/>
      <c r="L43" s="65"/>
      <c r="M43" s="66" t="str">
        <f t="shared" si="1"/>
        <v/>
      </c>
      <c r="N43" s="23"/>
      <c r="O43" s="23"/>
      <c r="P43" s="64" t="str">
        <f t="shared" si="2"/>
        <v/>
      </c>
      <c r="Q43" s="65"/>
      <c r="R43" s="65"/>
      <c r="S43" s="66" t="str">
        <f t="shared" si="3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22"/>
      <c r="D44" s="266" t="s">
        <v>408</v>
      </c>
      <c r="E44" s="22"/>
      <c r="F44" s="276" t="s">
        <v>408</v>
      </c>
      <c r="G44" s="24"/>
      <c r="H44" s="23"/>
      <c r="I44" s="23"/>
      <c r="J44" s="64" t="str">
        <f t="shared" si="0"/>
        <v/>
      </c>
      <c r="K44" s="65"/>
      <c r="L44" s="65"/>
      <c r="M44" s="66" t="str">
        <f t="shared" si="1"/>
        <v/>
      </c>
      <c r="N44" s="23"/>
      <c r="O44" s="23"/>
      <c r="P44" s="64" t="str">
        <f t="shared" si="2"/>
        <v/>
      </c>
      <c r="Q44" s="65"/>
      <c r="R44" s="65"/>
      <c r="S44" s="66" t="str">
        <f t="shared" si="3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63">
        <v>32</v>
      </c>
      <c r="C45" s="22"/>
      <c r="D45" s="266" t="s">
        <v>408</v>
      </c>
      <c r="E45" s="22"/>
      <c r="F45" s="276" t="s">
        <v>408</v>
      </c>
      <c r="G45" s="24"/>
      <c r="H45" s="23"/>
      <c r="I45" s="23"/>
      <c r="J45" s="64" t="str">
        <f t="shared" si="0"/>
        <v/>
      </c>
      <c r="K45" s="65"/>
      <c r="L45" s="65"/>
      <c r="M45" s="66" t="str">
        <f t="shared" si="1"/>
        <v/>
      </c>
      <c r="N45" s="23"/>
      <c r="O45" s="23"/>
      <c r="P45" s="64" t="str">
        <f t="shared" si="2"/>
        <v/>
      </c>
      <c r="Q45" s="65"/>
      <c r="R45" s="65"/>
      <c r="S45" s="66" t="str">
        <f t="shared" si="3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63">
        <v>33</v>
      </c>
      <c r="C46" s="22"/>
      <c r="D46" s="266" t="s">
        <v>408</v>
      </c>
      <c r="E46" s="22"/>
      <c r="F46" s="276" t="s">
        <v>408</v>
      </c>
      <c r="G46" s="24"/>
      <c r="H46" s="23"/>
      <c r="I46" s="23"/>
      <c r="J46" s="64" t="str">
        <f t="shared" ref="J46:J73" si="4">IF(H46="","",H46+I46)</f>
        <v/>
      </c>
      <c r="K46" s="65"/>
      <c r="L46" s="65"/>
      <c r="M46" s="66" t="str">
        <f t="shared" ref="M46:M73" si="5">IF(L46="","",K46+L46)</f>
        <v/>
      </c>
      <c r="N46" s="23"/>
      <c r="O46" s="23"/>
      <c r="P46" s="64" t="str">
        <f t="shared" ref="P46:P73" si="6">IF(N46="","",N46+O46)</f>
        <v/>
      </c>
      <c r="Q46" s="65"/>
      <c r="R46" s="65"/>
      <c r="S46" s="66" t="str">
        <f t="shared" ref="S46:S73" si="7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</row>
    <row r="47" spans="1:30" s="69" customFormat="1" ht="18" customHeight="1">
      <c r="A47" s="62"/>
      <c r="B47" s="63">
        <v>34</v>
      </c>
      <c r="C47" s="22"/>
      <c r="D47" s="266" t="s">
        <v>408</v>
      </c>
      <c r="E47" s="22"/>
      <c r="F47" s="276" t="s">
        <v>408</v>
      </c>
      <c r="G47" s="24"/>
      <c r="H47" s="23"/>
      <c r="I47" s="23"/>
      <c r="J47" s="64" t="str">
        <f t="shared" si="4"/>
        <v/>
      </c>
      <c r="K47" s="65"/>
      <c r="L47" s="65"/>
      <c r="M47" s="66" t="str">
        <f t="shared" si="5"/>
        <v/>
      </c>
      <c r="N47" s="23"/>
      <c r="O47" s="23"/>
      <c r="P47" s="64" t="str">
        <f t="shared" si="6"/>
        <v/>
      </c>
      <c r="Q47" s="65"/>
      <c r="R47" s="65"/>
      <c r="S47" s="66" t="str">
        <f t="shared" si="7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63">
        <v>35</v>
      </c>
      <c r="C48" s="22"/>
      <c r="D48" s="266" t="s">
        <v>408</v>
      </c>
      <c r="E48" s="22"/>
      <c r="F48" s="276" t="s">
        <v>408</v>
      </c>
      <c r="G48" s="24"/>
      <c r="H48" s="23"/>
      <c r="I48" s="23"/>
      <c r="J48" s="64" t="str">
        <f t="shared" si="4"/>
        <v/>
      </c>
      <c r="K48" s="65"/>
      <c r="L48" s="65"/>
      <c r="M48" s="66" t="str">
        <f t="shared" si="5"/>
        <v/>
      </c>
      <c r="N48" s="23"/>
      <c r="O48" s="23"/>
      <c r="P48" s="64" t="str">
        <f t="shared" si="6"/>
        <v/>
      </c>
      <c r="Q48" s="65"/>
      <c r="R48" s="65"/>
      <c r="S48" s="66" t="str">
        <f t="shared" si="7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63"/>
      <c r="C49" s="22"/>
      <c r="D49" s="266" t="s">
        <v>408</v>
      </c>
      <c r="E49" s="22"/>
      <c r="F49" s="276" t="s">
        <v>408</v>
      </c>
      <c r="G49" s="24"/>
      <c r="H49" s="23"/>
      <c r="I49" s="23"/>
      <c r="J49" s="64" t="str">
        <f t="shared" si="4"/>
        <v/>
      </c>
      <c r="K49" s="65"/>
      <c r="L49" s="65"/>
      <c r="M49" s="66" t="str">
        <f t="shared" si="5"/>
        <v/>
      </c>
      <c r="N49" s="23"/>
      <c r="O49" s="23"/>
      <c r="P49" s="64" t="str">
        <f t="shared" si="6"/>
        <v/>
      </c>
      <c r="Q49" s="65"/>
      <c r="R49" s="65"/>
      <c r="S49" s="66" t="str">
        <f t="shared" si="7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/>
      <c r="C50" s="22"/>
      <c r="D50" s="266" t="s">
        <v>408</v>
      </c>
      <c r="E50" s="22"/>
      <c r="F50" s="276" t="s">
        <v>408</v>
      </c>
      <c r="G50" s="24"/>
      <c r="H50" s="23"/>
      <c r="I50" s="23"/>
      <c r="J50" s="64" t="str">
        <f t="shared" si="4"/>
        <v/>
      </c>
      <c r="K50" s="65"/>
      <c r="L50" s="65"/>
      <c r="M50" s="66" t="str">
        <f t="shared" si="5"/>
        <v/>
      </c>
      <c r="N50" s="23"/>
      <c r="O50" s="23"/>
      <c r="P50" s="64" t="str">
        <f t="shared" si="6"/>
        <v/>
      </c>
      <c r="Q50" s="65"/>
      <c r="R50" s="65"/>
      <c r="S50" s="66" t="str">
        <f t="shared" si="7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/>
      <c r="C51" s="22"/>
      <c r="D51" s="266" t="s">
        <v>408</v>
      </c>
      <c r="E51" s="22"/>
      <c r="F51" s="276" t="s">
        <v>408</v>
      </c>
      <c r="G51" s="24"/>
      <c r="H51" s="23"/>
      <c r="I51" s="23"/>
      <c r="J51" s="64" t="str">
        <f t="shared" si="4"/>
        <v/>
      </c>
      <c r="K51" s="65"/>
      <c r="L51" s="65"/>
      <c r="M51" s="66" t="str">
        <f t="shared" si="5"/>
        <v/>
      </c>
      <c r="N51" s="23"/>
      <c r="O51" s="23"/>
      <c r="P51" s="64" t="str">
        <f t="shared" si="6"/>
        <v/>
      </c>
      <c r="Q51" s="65"/>
      <c r="R51" s="65"/>
      <c r="S51" s="66" t="str">
        <f t="shared" si="7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/>
      <c r="C52" s="22"/>
      <c r="D52" s="266" t="s">
        <v>408</v>
      </c>
      <c r="E52" s="22"/>
      <c r="F52" s="276" t="s">
        <v>408</v>
      </c>
      <c r="G52" s="24"/>
      <c r="H52" s="23"/>
      <c r="I52" s="23"/>
      <c r="J52" s="64" t="str">
        <f t="shared" si="4"/>
        <v/>
      </c>
      <c r="K52" s="65"/>
      <c r="L52" s="65"/>
      <c r="M52" s="66" t="str">
        <f t="shared" si="5"/>
        <v/>
      </c>
      <c r="N52" s="23"/>
      <c r="O52" s="23"/>
      <c r="P52" s="64" t="str">
        <f t="shared" si="6"/>
        <v/>
      </c>
      <c r="Q52" s="65"/>
      <c r="R52" s="65"/>
      <c r="S52" s="66" t="str">
        <f t="shared" si="7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/>
      <c r="C53" s="22"/>
      <c r="D53" s="266" t="s">
        <v>408</v>
      </c>
      <c r="E53" s="22"/>
      <c r="F53" s="276" t="s">
        <v>408</v>
      </c>
      <c r="G53" s="24"/>
      <c r="H53" s="23"/>
      <c r="I53" s="23"/>
      <c r="J53" s="64" t="str">
        <f t="shared" si="4"/>
        <v/>
      </c>
      <c r="K53" s="65"/>
      <c r="L53" s="65"/>
      <c r="M53" s="66" t="str">
        <f t="shared" si="5"/>
        <v/>
      </c>
      <c r="N53" s="23"/>
      <c r="O53" s="23"/>
      <c r="P53" s="64" t="str">
        <f t="shared" si="6"/>
        <v/>
      </c>
      <c r="Q53" s="65"/>
      <c r="R53" s="65"/>
      <c r="S53" s="66" t="str">
        <f t="shared" si="7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/>
      <c r="C54" s="22"/>
      <c r="D54" s="266" t="s">
        <v>408</v>
      </c>
      <c r="E54" s="22"/>
      <c r="F54" s="276" t="s">
        <v>408</v>
      </c>
      <c r="G54" s="24"/>
      <c r="H54" s="23"/>
      <c r="I54" s="23"/>
      <c r="J54" s="64" t="str">
        <f t="shared" si="4"/>
        <v/>
      </c>
      <c r="K54" s="65"/>
      <c r="L54" s="65"/>
      <c r="M54" s="66" t="str">
        <f t="shared" si="5"/>
        <v/>
      </c>
      <c r="N54" s="23"/>
      <c r="O54" s="23"/>
      <c r="P54" s="64" t="str">
        <f t="shared" si="6"/>
        <v/>
      </c>
      <c r="Q54" s="65"/>
      <c r="R54" s="65"/>
      <c r="S54" s="66" t="str">
        <f t="shared" si="7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/>
      <c r="C55" s="22"/>
      <c r="D55" s="266" t="s">
        <v>408</v>
      </c>
      <c r="E55" s="22"/>
      <c r="F55" s="276" t="s">
        <v>408</v>
      </c>
      <c r="G55" s="24"/>
      <c r="H55" s="23"/>
      <c r="I55" s="23"/>
      <c r="J55" s="64" t="str">
        <f t="shared" si="4"/>
        <v/>
      </c>
      <c r="K55" s="65"/>
      <c r="L55" s="65"/>
      <c r="M55" s="66" t="str">
        <f t="shared" si="5"/>
        <v/>
      </c>
      <c r="N55" s="23"/>
      <c r="O55" s="23"/>
      <c r="P55" s="64" t="str">
        <f t="shared" si="6"/>
        <v/>
      </c>
      <c r="Q55" s="65"/>
      <c r="R55" s="65"/>
      <c r="S55" s="66" t="str">
        <f t="shared" si="7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/>
      <c r="C56" s="22"/>
      <c r="D56" s="266" t="s">
        <v>408</v>
      </c>
      <c r="E56" s="22"/>
      <c r="F56" s="276" t="s">
        <v>408</v>
      </c>
      <c r="G56" s="24"/>
      <c r="H56" s="23"/>
      <c r="I56" s="23"/>
      <c r="J56" s="64" t="str">
        <f t="shared" si="4"/>
        <v/>
      </c>
      <c r="K56" s="65"/>
      <c r="L56" s="65"/>
      <c r="M56" s="66" t="str">
        <f t="shared" si="5"/>
        <v/>
      </c>
      <c r="N56" s="23"/>
      <c r="O56" s="23"/>
      <c r="P56" s="64" t="str">
        <f t="shared" si="6"/>
        <v/>
      </c>
      <c r="Q56" s="65"/>
      <c r="R56" s="65"/>
      <c r="S56" s="66" t="str">
        <f t="shared" si="7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/>
      <c r="C57" s="22"/>
      <c r="D57" s="266" t="s">
        <v>408</v>
      </c>
      <c r="E57" s="22"/>
      <c r="F57" s="276" t="s">
        <v>408</v>
      </c>
      <c r="G57" s="24"/>
      <c r="H57" s="23"/>
      <c r="I57" s="23"/>
      <c r="J57" s="64" t="str">
        <f t="shared" si="4"/>
        <v/>
      </c>
      <c r="K57" s="65"/>
      <c r="L57" s="65"/>
      <c r="M57" s="66" t="str">
        <f t="shared" si="5"/>
        <v/>
      </c>
      <c r="N57" s="23"/>
      <c r="O57" s="23"/>
      <c r="P57" s="64" t="str">
        <f t="shared" si="6"/>
        <v/>
      </c>
      <c r="Q57" s="65"/>
      <c r="R57" s="65"/>
      <c r="S57" s="66" t="str">
        <f t="shared" si="7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/>
      <c r="C58" s="22"/>
      <c r="D58" s="266" t="s">
        <v>408</v>
      </c>
      <c r="E58" s="22"/>
      <c r="F58" s="276" t="s">
        <v>408</v>
      </c>
      <c r="G58" s="24"/>
      <c r="H58" s="23"/>
      <c r="I58" s="23"/>
      <c r="J58" s="64" t="str">
        <f t="shared" si="4"/>
        <v/>
      </c>
      <c r="K58" s="65"/>
      <c r="L58" s="65"/>
      <c r="M58" s="66" t="str">
        <f t="shared" si="5"/>
        <v/>
      </c>
      <c r="N58" s="23"/>
      <c r="O58" s="23"/>
      <c r="P58" s="64" t="str">
        <f t="shared" si="6"/>
        <v/>
      </c>
      <c r="Q58" s="65"/>
      <c r="R58" s="65"/>
      <c r="S58" s="66" t="str">
        <f t="shared" si="7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/>
      <c r="C59" s="22"/>
      <c r="D59" s="266" t="s">
        <v>408</v>
      </c>
      <c r="E59" s="22"/>
      <c r="F59" s="276" t="s">
        <v>408</v>
      </c>
      <c r="G59" s="24"/>
      <c r="H59" s="23"/>
      <c r="I59" s="23"/>
      <c r="J59" s="64" t="str">
        <f t="shared" si="4"/>
        <v/>
      </c>
      <c r="K59" s="65"/>
      <c r="L59" s="65"/>
      <c r="M59" s="66" t="str">
        <f t="shared" si="5"/>
        <v/>
      </c>
      <c r="N59" s="23"/>
      <c r="O59" s="23"/>
      <c r="P59" s="64" t="str">
        <f t="shared" si="6"/>
        <v/>
      </c>
      <c r="Q59" s="65"/>
      <c r="R59" s="65"/>
      <c r="S59" s="66" t="str">
        <f t="shared" si="7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/>
      <c r="C60" s="22"/>
      <c r="D60" s="266" t="s">
        <v>408</v>
      </c>
      <c r="E60" s="22"/>
      <c r="F60" s="276" t="s">
        <v>408</v>
      </c>
      <c r="G60" s="24"/>
      <c r="H60" s="23"/>
      <c r="I60" s="23"/>
      <c r="J60" s="64" t="str">
        <f t="shared" si="4"/>
        <v/>
      </c>
      <c r="K60" s="65"/>
      <c r="L60" s="65"/>
      <c r="M60" s="66" t="str">
        <f t="shared" si="5"/>
        <v/>
      </c>
      <c r="N60" s="23"/>
      <c r="O60" s="23"/>
      <c r="P60" s="64" t="str">
        <f t="shared" si="6"/>
        <v/>
      </c>
      <c r="Q60" s="65"/>
      <c r="R60" s="65"/>
      <c r="S60" s="66" t="str">
        <f t="shared" si="7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/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4"/>
        <v/>
      </c>
      <c r="K61" s="65"/>
      <c r="L61" s="65"/>
      <c r="M61" s="66" t="str">
        <f t="shared" si="5"/>
        <v/>
      </c>
      <c r="N61" s="23"/>
      <c r="O61" s="23"/>
      <c r="P61" s="64" t="str">
        <f t="shared" si="6"/>
        <v/>
      </c>
      <c r="Q61" s="65"/>
      <c r="R61" s="65"/>
      <c r="S61" s="66" t="str">
        <f t="shared" si="7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/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4"/>
        <v/>
      </c>
      <c r="K62" s="65"/>
      <c r="L62" s="65"/>
      <c r="M62" s="66" t="str">
        <f t="shared" si="5"/>
        <v/>
      </c>
      <c r="N62" s="23"/>
      <c r="O62" s="23"/>
      <c r="P62" s="64" t="str">
        <f t="shared" si="6"/>
        <v/>
      </c>
      <c r="Q62" s="65"/>
      <c r="R62" s="65"/>
      <c r="S62" s="66" t="str">
        <f t="shared" si="7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/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4"/>
        <v/>
      </c>
      <c r="K63" s="65"/>
      <c r="L63" s="65"/>
      <c r="M63" s="66" t="str">
        <f t="shared" si="5"/>
        <v/>
      </c>
      <c r="N63" s="23"/>
      <c r="O63" s="23"/>
      <c r="P63" s="64" t="str">
        <f t="shared" si="6"/>
        <v/>
      </c>
      <c r="Q63" s="65"/>
      <c r="R63" s="65"/>
      <c r="S63" s="66" t="str">
        <f t="shared" si="7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/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4"/>
        <v/>
      </c>
      <c r="K64" s="65"/>
      <c r="L64" s="65"/>
      <c r="M64" s="66" t="str">
        <f t="shared" si="5"/>
        <v/>
      </c>
      <c r="N64" s="23"/>
      <c r="O64" s="23"/>
      <c r="P64" s="64" t="str">
        <f t="shared" si="6"/>
        <v/>
      </c>
      <c r="Q64" s="65"/>
      <c r="R64" s="65"/>
      <c r="S64" s="66" t="str">
        <f t="shared" si="7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/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4"/>
        <v/>
      </c>
      <c r="K65" s="65"/>
      <c r="L65" s="65"/>
      <c r="M65" s="66" t="str">
        <f t="shared" si="5"/>
        <v/>
      </c>
      <c r="N65" s="23"/>
      <c r="O65" s="23"/>
      <c r="P65" s="64" t="str">
        <f t="shared" si="6"/>
        <v/>
      </c>
      <c r="Q65" s="65"/>
      <c r="R65" s="65"/>
      <c r="S65" s="66" t="str">
        <f t="shared" si="7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/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4"/>
        <v/>
      </c>
      <c r="K66" s="65"/>
      <c r="L66" s="65"/>
      <c r="M66" s="66" t="str">
        <f t="shared" si="5"/>
        <v/>
      </c>
      <c r="N66" s="23"/>
      <c r="O66" s="23"/>
      <c r="P66" s="64" t="str">
        <f t="shared" si="6"/>
        <v/>
      </c>
      <c r="Q66" s="65"/>
      <c r="R66" s="65"/>
      <c r="S66" s="66" t="str">
        <f t="shared" si="7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/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4"/>
        <v/>
      </c>
      <c r="K67" s="65"/>
      <c r="L67" s="65"/>
      <c r="M67" s="66" t="str">
        <f t="shared" si="5"/>
        <v/>
      </c>
      <c r="N67" s="23"/>
      <c r="O67" s="23"/>
      <c r="P67" s="64" t="str">
        <f t="shared" si="6"/>
        <v/>
      </c>
      <c r="Q67" s="65"/>
      <c r="R67" s="65"/>
      <c r="S67" s="66" t="str">
        <f t="shared" si="7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/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4"/>
        <v/>
      </c>
      <c r="K68" s="65"/>
      <c r="L68" s="65"/>
      <c r="M68" s="66" t="str">
        <f t="shared" si="5"/>
        <v/>
      </c>
      <c r="N68" s="23"/>
      <c r="O68" s="23"/>
      <c r="P68" s="64" t="str">
        <f t="shared" si="6"/>
        <v/>
      </c>
      <c r="Q68" s="65"/>
      <c r="R68" s="65"/>
      <c r="S68" s="66" t="str">
        <f t="shared" si="7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/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4"/>
        <v/>
      </c>
      <c r="K69" s="65"/>
      <c r="L69" s="65"/>
      <c r="M69" s="66" t="str">
        <f t="shared" si="5"/>
        <v/>
      </c>
      <c r="N69" s="23"/>
      <c r="O69" s="23"/>
      <c r="P69" s="64" t="str">
        <f t="shared" si="6"/>
        <v/>
      </c>
      <c r="Q69" s="65"/>
      <c r="R69" s="65"/>
      <c r="S69" s="66" t="str">
        <f t="shared" si="7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/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4"/>
        <v/>
      </c>
      <c r="K70" s="65"/>
      <c r="L70" s="65"/>
      <c r="M70" s="66" t="str">
        <f t="shared" si="5"/>
        <v/>
      </c>
      <c r="N70" s="23"/>
      <c r="O70" s="23"/>
      <c r="P70" s="64" t="str">
        <f t="shared" si="6"/>
        <v/>
      </c>
      <c r="Q70" s="65"/>
      <c r="R70" s="65"/>
      <c r="S70" s="66" t="str">
        <f t="shared" si="7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/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4"/>
        <v/>
      </c>
      <c r="K71" s="65"/>
      <c r="L71" s="65"/>
      <c r="M71" s="66" t="str">
        <f t="shared" si="5"/>
        <v/>
      </c>
      <c r="N71" s="23"/>
      <c r="O71" s="23"/>
      <c r="P71" s="64" t="str">
        <f t="shared" si="6"/>
        <v/>
      </c>
      <c r="Q71" s="65"/>
      <c r="R71" s="65"/>
      <c r="S71" s="66" t="str">
        <f t="shared" si="7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/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4"/>
        <v/>
      </c>
      <c r="K72" s="65"/>
      <c r="L72" s="65"/>
      <c r="M72" s="66" t="str">
        <f t="shared" si="5"/>
        <v/>
      </c>
      <c r="N72" s="23"/>
      <c r="O72" s="23"/>
      <c r="P72" s="64" t="str">
        <f t="shared" si="6"/>
        <v/>
      </c>
      <c r="Q72" s="65"/>
      <c r="R72" s="65"/>
      <c r="S72" s="66" t="str">
        <f t="shared" si="7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/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4"/>
        <v/>
      </c>
      <c r="K73" s="65"/>
      <c r="L73" s="65"/>
      <c r="M73" s="66" t="str">
        <f t="shared" si="5"/>
        <v/>
      </c>
      <c r="N73" s="23"/>
      <c r="O73" s="23"/>
      <c r="P73" s="64" t="str">
        <f t="shared" si="6"/>
        <v/>
      </c>
      <c r="Q73" s="65"/>
      <c r="R73" s="65"/>
      <c r="S73" s="66" t="str">
        <f t="shared" si="7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/>
      <c r="E201" s="71" ph="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7" ht="18" customHeight="1">
      <c r="C209" s="21"/>
      <c r="E209" s="71"/>
      <c r="G209" s="79"/>
    </row>
    <row r="210" spans="3:7" ht="18" customHeight="1">
      <c r="C210" s="21"/>
      <c r="E210" s="71"/>
      <c r="G210" s="79"/>
    </row>
    <row r="211" spans="3:7" ht="18" customHeight="1">
      <c r="C211" s="21"/>
      <c r="E211" s="71"/>
      <c r="G211" s="79"/>
    </row>
    <row r="212" spans="3:7" ht="18" customHeight="1">
      <c r="C212" s="21"/>
      <c r="E212" s="71"/>
      <c r="G212" s="79"/>
    </row>
    <row r="213" spans="3:7" ht="18" customHeight="1">
      <c r="C213" s="21"/>
      <c r="E213" s="71"/>
      <c r="G213" s="79"/>
    </row>
    <row r="214" spans="3:7" ht="18" customHeight="1">
      <c r="C214" s="21"/>
      <c r="E214" s="80"/>
      <c r="G214" s="79"/>
    </row>
    <row r="215" spans="3:7" ht="18" customHeight="1">
      <c r="C215" s="21"/>
      <c r="E215" s="80"/>
      <c r="G215" s="79"/>
    </row>
    <row r="216" spans="3:7" ht="18" customHeight="1">
      <c r="C216" s="79"/>
      <c r="E216" s="80"/>
      <c r="G216" s="79"/>
    </row>
    <row r="217" spans="3:7" ht="18" customHeight="1">
      <c r="C217" s="21"/>
      <c r="E217" s="80"/>
      <c r="G217" s="79"/>
    </row>
    <row r="218" spans="3:7" ht="18" customHeight="1">
      <c r="C218" s="79"/>
      <c r="E218" s="80"/>
      <c r="G218" s="79"/>
    </row>
    <row r="219" spans="3:7" ht="18" customHeight="1">
      <c r="C219" s="21"/>
      <c r="E219" s="80"/>
      <c r="G219" s="79"/>
    </row>
    <row r="220" spans="3:7" ht="18" customHeight="1">
      <c r="C220" s="21"/>
      <c r="E220" s="80"/>
      <c r="G220" s="21"/>
    </row>
    <row r="221" spans="3:7" ht="18" customHeight="1">
      <c r="C221" s="21"/>
      <c r="E221" s="80"/>
      <c r="G221" s="21"/>
    </row>
    <row r="222" spans="3:7" ht="18" customHeight="1">
      <c r="C222" s="21"/>
      <c r="E222" s="80"/>
      <c r="G222" s="21"/>
    </row>
    <row r="223" spans="3:7" ht="18" customHeight="1">
      <c r="C223" s="21"/>
      <c r="E223" s="80"/>
      <c r="G223" s="21"/>
    </row>
  </sheetData>
  <autoFilter ref="A13:AD13" xr:uid="{851EBD75-43E7-4D5B-AE79-A4D120DE969A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G26">
    <sortCondition ref="B14:B26"/>
  </sortState>
  <phoneticPr fontId="6"/>
  <conditionalFormatting sqref="V14:V73">
    <cfRule type="cellIs" dxfId="11" priority="6" stopIfTrue="1" operator="notBetween">
      <formula>"A"</formula>
      <formula>"Ｂ"</formula>
    </cfRule>
  </conditionalFormatting>
  <conditionalFormatting sqref="W14:W73">
    <cfRule type="cellIs" dxfId="10" priority="5" stopIfTrue="1" operator="between">
      <formula>"-"</formula>
      <formula>"申請中"</formula>
    </cfRule>
  </conditionalFormatting>
  <conditionalFormatting sqref="Y14:Z73">
    <cfRule type="expression" dxfId="9" priority="2">
      <formula>Y14&lt;&gt;C14</formula>
    </cfRule>
  </conditionalFormatting>
  <conditionalFormatting sqref="AB14:AC73">
    <cfRule type="expression" dxfId="8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22860</xdr:colOff>
                    <xdr:row>5</xdr:row>
                    <xdr:rowOff>0</xdr:rowOff>
                  </from>
                  <to>
                    <xdr:col>26</xdr:col>
                    <xdr:colOff>198120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DFF98-9D65-4F91-8663-6A193108B839}">
  <sheetPr codeName="Sheet39">
    <tabColor rgb="FFFFC000"/>
  </sheetPr>
  <dimension ref="A1:AE223"/>
  <sheetViews>
    <sheetView zoomScale="98" zoomScaleNormal="98" workbookViewId="0">
      <selection activeCell="A14" sqref="A14:G43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1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1" s="26" customFormat="1" ht="18" customHeight="1">
      <c r="B2" s="27" t="s">
        <v>1</v>
      </c>
      <c r="C2" s="28">
        <v>4100</v>
      </c>
      <c r="E2" s="27" t="s">
        <v>2</v>
      </c>
      <c r="F2" s="31"/>
      <c r="G2" s="182">
        <f>'21'!G2</f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1" s="26" customFormat="1" ht="18" customHeight="1">
      <c r="A3" s="32"/>
      <c r="B3" s="27" t="s">
        <v>4</v>
      </c>
      <c r="C3" s="33" t="s">
        <v>1311</v>
      </c>
      <c r="D3" s="31"/>
      <c r="E3" s="31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1" s="26" customFormat="1" ht="18" customHeight="1">
      <c r="B4" s="27" t="s">
        <v>6</v>
      </c>
      <c r="C4" s="35">
        <v>29</v>
      </c>
      <c r="D4" s="26" t="s">
        <v>7</v>
      </c>
      <c r="E4" s="27" t="s">
        <v>8</v>
      </c>
      <c r="F4" s="268" t="s">
        <v>601</v>
      </c>
      <c r="G4" s="31"/>
      <c r="H4" s="31"/>
      <c r="J4" s="27" t="s">
        <v>9</v>
      </c>
      <c r="K4" s="36" t="s">
        <v>596</v>
      </c>
      <c r="N4" s="27" t="s">
        <v>10</v>
      </c>
      <c r="O4" s="37"/>
      <c r="Y4"/>
      <c r="Z4"/>
      <c r="AA4"/>
      <c r="AB4"/>
      <c r="AC4"/>
      <c r="AD4"/>
    </row>
    <row r="5" spans="1:31" s="26" customFormat="1" ht="18" customHeight="1">
      <c r="C5" s="27" t="s">
        <v>11</v>
      </c>
      <c r="D5" s="28">
        <v>12</v>
      </c>
      <c r="E5" s="27" t="s">
        <v>12</v>
      </c>
      <c r="F5" s="30" t="s">
        <v>1314</v>
      </c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1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1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1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1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1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1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V11" s="26">
        <f>COUNTA(C14:C73)</f>
        <v>30</v>
      </c>
      <c r="W11" s="26">
        <f>COUNTA(E14:E73)</f>
        <v>30</v>
      </c>
      <c r="Y11"/>
      <c r="Z11"/>
      <c r="AA11"/>
      <c r="AB11"/>
      <c r="AC11"/>
      <c r="AD11"/>
    </row>
    <row r="12" spans="1:31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1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1" s="69" customFormat="1" ht="18" customHeight="1">
      <c r="A14" s="62"/>
      <c r="B14" s="63">
        <v>1</v>
      </c>
      <c r="C14" s="127" t="s">
        <v>1142</v>
      </c>
      <c r="D14" s="265">
        <v>18717</v>
      </c>
      <c r="E14" s="160" t="s">
        <v>1507</v>
      </c>
      <c r="F14" s="271">
        <v>61372</v>
      </c>
      <c r="G14" s="127" t="s">
        <v>1342</v>
      </c>
      <c r="H14" s="23"/>
      <c r="I14" s="23"/>
      <c r="J14" s="64" t="str">
        <f t="shared" ref="J14:J34" si="0">IF(H14="","",H14+I14)</f>
        <v/>
      </c>
      <c r="K14" s="65"/>
      <c r="L14" s="65"/>
      <c r="M14" s="66" t="str">
        <f t="shared" ref="M14:M34" si="1">IF(L14="","",K14+L14)</f>
        <v/>
      </c>
      <c r="N14" s="23"/>
      <c r="O14" s="23"/>
      <c r="P14" s="64" t="str">
        <f t="shared" ref="P14:P34" si="2">IF(N14="","",N14+O14)</f>
        <v/>
      </c>
      <c r="Q14" s="65"/>
      <c r="R14" s="65"/>
      <c r="S14" s="66" t="str">
        <f t="shared" ref="S14:S34" si="3"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/>
      <c r="Z14"/>
      <c r="AA14"/>
      <c r="AB14"/>
      <c r="AC14"/>
      <c r="AD14"/>
      <c r="AE14"/>
    </row>
    <row r="15" spans="1:31" s="69" customFormat="1" ht="18" customHeight="1">
      <c r="A15" s="62"/>
      <c r="B15" s="63">
        <v>2</v>
      </c>
      <c r="C15" s="125" t="s">
        <v>1499</v>
      </c>
      <c r="D15" s="265">
        <v>27498</v>
      </c>
      <c r="E15" s="125" t="s">
        <v>391</v>
      </c>
      <c r="F15" s="271">
        <v>57474</v>
      </c>
      <c r="G15" s="122" t="s">
        <v>1396</v>
      </c>
      <c r="H15" s="23"/>
      <c r="I15" s="23"/>
      <c r="J15" s="64" t="str">
        <f t="shared" si="0"/>
        <v/>
      </c>
      <c r="K15" s="65"/>
      <c r="L15" s="65"/>
      <c r="M15" s="66" t="str">
        <f t="shared" si="1"/>
        <v/>
      </c>
      <c r="N15" s="23"/>
      <c r="O15" s="23"/>
      <c r="P15" s="64" t="str">
        <f t="shared" si="2"/>
        <v/>
      </c>
      <c r="Q15" s="65"/>
      <c r="R15" s="65"/>
      <c r="S15" s="66" t="str">
        <f t="shared" si="3"/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/>
      <c r="Z15"/>
      <c r="AA15"/>
      <c r="AB15"/>
      <c r="AC15"/>
      <c r="AD15"/>
      <c r="AE15"/>
    </row>
    <row r="16" spans="1:31" s="69" customFormat="1" ht="18" customHeight="1">
      <c r="A16" s="62"/>
      <c r="B16" s="63">
        <v>3</v>
      </c>
      <c r="C16" s="125" t="s">
        <v>1508</v>
      </c>
      <c r="D16" s="265">
        <v>32313</v>
      </c>
      <c r="E16" s="125" t="s">
        <v>1509</v>
      </c>
      <c r="F16" s="271">
        <v>58633</v>
      </c>
      <c r="G16" s="122" t="s">
        <v>1510</v>
      </c>
      <c r="H16" s="23"/>
      <c r="I16" s="23"/>
      <c r="J16" s="64" t="str">
        <f t="shared" si="0"/>
        <v/>
      </c>
      <c r="K16" s="65"/>
      <c r="L16" s="65"/>
      <c r="M16" s="66" t="str">
        <f t="shared" si="1"/>
        <v/>
      </c>
      <c r="N16" s="23"/>
      <c r="O16" s="23"/>
      <c r="P16" s="64" t="str">
        <f t="shared" si="2"/>
        <v/>
      </c>
      <c r="Q16" s="65"/>
      <c r="R16" s="65"/>
      <c r="S16" s="66" t="str">
        <f t="shared" si="3"/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/>
      <c r="Z16"/>
      <c r="AA16"/>
      <c r="AB16"/>
      <c r="AC16"/>
      <c r="AD16"/>
      <c r="AE16"/>
    </row>
    <row r="17" spans="1:31" s="69" customFormat="1" ht="18" customHeight="1">
      <c r="A17" s="62"/>
      <c r="B17" s="63">
        <v>4</v>
      </c>
      <c r="C17" s="125" t="s">
        <v>702</v>
      </c>
      <c r="D17" s="265">
        <v>13141</v>
      </c>
      <c r="E17" s="125" t="s">
        <v>1511</v>
      </c>
      <c r="F17" s="271">
        <v>62098</v>
      </c>
      <c r="G17" s="122" t="s">
        <v>1396</v>
      </c>
      <c r="H17" s="23"/>
      <c r="I17" s="23"/>
      <c r="J17" s="64" t="str">
        <f t="shared" si="0"/>
        <v/>
      </c>
      <c r="K17" s="65"/>
      <c r="L17" s="65"/>
      <c r="M17" s="66" t="str">
        <f t="shared" si="1"/>
        <v/>
      </c>
      <c r="N17" s="23"/>
      <c r="O17" s="23"/>
      <c r="P17" s="64" t="str">
        <f t="shared" si="2"/>
        <v/>
      </c>
      <c r="Q17" s="65"/>
      <c r="R17" s="65"/>
      <c r="S17" s="66" t="str">
        <f t="shared" si="3"/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/>
      <c r="AC17"/>
      <c r="AD17"/>
      <c r="AE17"/>
    </row>
    <row r="18" spans="1:31" s="69" customFormat="1" ht="18" customHeight="1">
      <c r="A18" s="62"/>
      <c r="B18" s="63">
        <v>5</v>
      </c>
      <c r="C18" s="125" t="s">
        <v>1403</v>
      </c>
      <c r="D18" s="265">
        <v>34060</v>
      </c>
      <c r="E18" s="125" t="s">
        <v>1492</v>
      </c>
      <c r="F18" s="271">
        <v>62130</v>
      </c>
      <c r="G18" s="122" t="s">
        <v>1318</v>
      </c>
      <c r="H18" s="23"/>
      <c r="I18" s="23"/>
      <c r="J18" s="64" t="str">
        <f t="shared" si="0"/>
        <v/>
      </c>
      <c r="K18" s="65"/>
      <c r="L18" s="65"/>
      <c r="M18" s="66" t="str">
        <f t="shared" si="1"/>
        <v/>
      </c>
      <c r="N18" s="23"/>
      <c r="O18" s="23"/>
      <c r="P18" s="64" t="str">
        <f t="shared" si="2"/>
        <v/>
      </c>
      <c r="Q18" s="65"/>
      <c r="R18" s="65"/>
      <c r="S18" s="66" t="str">
        <f t="shared" si="3"/>
        <v/>
      </c>
      <c r="T18" s="67"/>
      <c r="U18" s="68"/>
      <c r="V18" s="18" t="e">
        <f>IF($C18="","",VLOOKUP($C18,#REF!,4,FALSE))</f>
        <v>#REF!</v>
      </c>
      <c r="W18" s="72" t="e">
        <f>IF($E18="","",VLOOKUP($E18,#REF!,4,FALSE))</f>
        <v>#REF!</v>
      </c>
      <c r="Y18"/>
      <c r="Z18"/>
      <c r="AA18"/>
      <c r="AB18"/>
      <c r="AC18"/>
      <c r="AD18"/>
      <c r="AE18"/>
    </row>
    <row r="19" spans="1:31" s="69" customFormat="1" ht="18" customHeight="1">
      <c r="A19" s="62"/>
      <c r="B19" s="63">
        <v>6</v>
      </c>
      <c r="C19" s="125" t="s">
        <v>1512</v>
      </c>
      <c r="D19" s="265">
        <v>26053</v>
      </c>
      <c r="E19" s="125" t="s">
        <v>1513</v>
      </c>
      <c r="F19" s="271">
        <v>61561</v>
      </c>
      <c r="G19" s="122" t="s">
        <v>1363</v>
      </c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e">
        <f>IF($C19="","",VLOOKUP($C19,#REF!,4,FALSE))</f>
        <v>#REF!</v>
      </c>
      <c r="W19" s="72" t="e">
        <f>IF($E19="","",VLOOKUP($E19,#REF!,4,FALSE))</f>
        <v>#REF!</v>
      </c>
      <c r="Y19"/>
      <c r="Z19"/>
      <c r="AA19"/>
      <c r="AB19"/>
      <c r="AC19"/>
      <c r="AD19"/>
      <c r="AE19"/>
    </row>
    <row r="20" spans="1:31" s="69" customFormat="1" ht="18" customHeight="1">
      <c r="A20" s="62"/>
      <c r="B20" s="63">
        <v>7</v>
      </c>
      <c r="C20" s="120" t="s">
        <v>1514</v>
      </c>
      <c r="D20" s="265">
        <v>33558</v>
      </c>
      <c r="E20" s="151" t="s">
        <v>1515</v>
      </c>
      <c r="F20" s="271">
        <v>58736</v>
      </c>
      <c r="G20" s="120" t="s">
        <v>1516</v>
      </c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e">
        <f>IF($C20="","",VLOOKUP($C20,#REF!,4,FALSE))</f>
        <v>#REF!</v>
      </c>
      <c r="W20" s="72" t="e">
        <f>IF($E20="","",VLOOKUP($E20,#REF!,4,FALSE))</f>
        <v>#REF!</v>
      </c>
      <c r="Y20"/>
      <c r="Z20"/>
      <c r="AA20"/>
      <c r="AB20"/>
      <c r="AC20"/>
      <c r="AD20"/>
      <c r="AE20"/>
    </row>
    <row r="21" spans="1:31" s="69" customFormat="1" ht="18" customHeight="1">
      <c r="A21" s="62"/>
      <c r="B21" s="63">
        <v>8</v>
      </c>
      <c r="C21" s="125" t="s">
        <v>1237</v>
      </c>
      <c r="D21" s="265">
        <v>30642</v>
      </c>
      <c r="E21" s="125" t="s">
        <v>1517</v>
      </c>
      <c r="F21" s="271">
        <v>58902</v>
      </c>
      <c r="G21" s="122" t="s">
        <v>1516</v>
      </c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e">
        <f>IF($C21="","",VLOOKUP($C21,#REF!,4,FALSE))</f>
        <v>#REF!</v>
      </c>
      <c r="W21" s="72" t="e">
        <f>IF($E21="","",VLOOKUP($E21,#REF!,4,FALSE))</f>
        <v>#REF!</v>
      </c>
      <c r="Y21"/>
      <c r="Z21"/>
      <c r="AA21"/>
      <c r="AB21"/>
      <c r="AC21"/>
      <c r="AD21"/>
      <c r="AE21"/>
    </row>
    <row r="22" spans="1:31" s="69" customFormat="1" ht="18" customHeight="1">
      <c r="A22" s="62"/>
      <c r="B22" s="63">
        <v>9</v>
      </c>
      <c r="C22" s="127" t="s">
        <v>1518</v>
      </c>
      <c r="D22" s="265">
        <v>33930</v>
      </c>
      <c r="E22" s="160" t="s">
        <v>1519</v>
      </c>
      <c r="F22" s="271">
        <v>61903</v>
      </c>
      <c r="G22" s="127" t="s">
        <v>1516</v>
      </c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e">
        <f>IF($C22="","",VLOOKUP($C22,#REF!,4,FALSE))</f>
        <v>#REF!</v>
      </c>
      <c r="W22" s="72" t="e">
        <f>IF($E22="","",VLOOKUP($E22,#REF!,4,FALSE))</f>
        <v>#REF!</v>
      </c>
      <c r="Y22"/>
      <c r="Z22"/>
      <c r="AA22"/>
      <c r="AB22"/>
      <c r="AC22"/>
      <c r="AD22"/>
      <c r="AE22"/>
    </row>
    <row r="23" spans="1:31" s="69" customFormat="1" ht="18" customHeight="1">
      <c r="A23" s="62"/>
      <c r="B23" s="63">
        <v>10</v>
      </c>
      <c r="C23" s="125" t="s">
        <v>1166</v>
      </c>
      <c r="D23" s="265">
        <v>31991</v>
      </c>
      <c r="E23" s="125" t="s">
        <v>70</v>
      </c>
      <c r="F23" s="271">
        <v>57212</v>
      </c>
      <c r="G23" s="122" t="s">
        <v>1396</v>
      </c>
      <c r="H23" s="23"/>
      <c r="I23" s="23"/>
      <c r="J23" s="64" t="str">
        <f t="shared" si="0"/>
        <v/>
      </c>
      <c r="K23" s="65"/>
      <c r="L23" s="65"/>
      <c r="M23" s="66" t="str">
        <f t="shared" si="1"/>
        <v/>
      </c>
      <c r="N23" s="23"/>
      <c r="O23" s="23"/>
      <c r="P23" s="64" t="str">
        <f t="shared" si="2"/>
        <v/>
      </c>
      <c r="Q23" s="65"/>
      <c r="R23" s="65"/>
      <c r="S23" s="66" t="str">
        <f t="shared" si="3"/>
        <v/>
      </c>
      <c r="T23" s="67"/>
      <c r="U23" s="68"/>
      <c r="V23" s="18" t="e">
        <f>IF($C23="","",VLOOKUP($C23,#REF!,4,FALSE))</f>
        <v>#REF!</v>
      </c>
      <c r="W23" s="72" t="e">
        <f>IF($E23="","",VLOOKUP($E23,#REF!,4,FALSE))</f>
        <v>#REF!</v>
      </c>
      <c r="Y23"/>
      <c r="Z23"/>
      <c r="AA23"/>
      <c r="AB23"/>
      <c r="AC23"/>
      <c r="AD23"/>
      <c r="AE23"/>
    </row>
    <row r="24" spans="1:31" s="69" customFormat="1" ht="18" customHeight="1">
      <c r="A24" s="62"/>
      <c r="B24" s="63">
        <v>11</v>
      </c>
      <c r="C24" s="125" t="s">
        <v>1177</v>
      </c>
      <c r="D24" s="265">
        <v>13449</v>
      </c>
      <c r="E24" s="125" t="s">
        <v>672</v>
      </c>
      <c r="F24" s="271">
        <v>60944</v>
      </c>
      <c r="G24" s="122" t="s">
        <v>1335</v>
      </c>
      <c r="H24" s="23"/>
      <c r="I24" s="23"/>
      <c r="J24" s="64" t="str">
        <f t="shared" si="0"/>
        <v/>
      </c>
      <c r="K24" s="65"/>
      <c r="L24" s="65"/>
      <c r="M24" s="66" t="str">
        <f t="shared" si="1"/>
        <v/>
      </c>
      <c r="N24" s="23"/>
      <c r="O24" s="23"/>
      <c r="P24" s="64" t="str">
        <f t="shared" si="2"/>
        <v/>
      </c>
      <c r="Q24" s="65"/>
      <c r="R24" s="65"/>
      <c r="S24" s="66" t="str">
        <f t="shared" si="3"/>
        <v/>
      </c>
      <c r="T24" s="67"/>
      <c r="U24" s="68"/>
      <c r="V24" s="18" t="e">
        <f>IF($C24="","",VLOOKUP($C24,#REF!,4,FALSE))</f>
        <v>#REF!</v>
      </c>
      <c r="W24" s="72" t="e">
        <f>IF($E24="","",VLOOKUP($E24,#REF!,4,FALSE))</f>
        <v>#REF!</v>
      </c>
      <c r="Y24"/>
      <c r="Z24"/>
      <c r="AA24"/>
      <c r="AB24"/>
      <c r="AC24"/>
      <c r="AD24"/>
      <c r="AE24"/>
    </row>
    <row r="25" spans="1:31" s="69" customFormat="1" ht="18" customHeight="1">
      <c r="A25" s="62"/>
      <c r="B25" s="63">
        <v>12</v>
      </c>
      <c r="C25" s="125" t="s">
        <v>659</v>
      </c>
      <c r="D25" s="265">
        <v>12159</v>
      </c>
      <c r="E25" s="125" t="s">
        <v>1336</v>
      </c>
      <c r="F25" s="271">
        <v>57710</v>
      </c>
      <c r="G25" s="122" t="s">
        <v>1337</v>
      </c>
      <c r="H25" s="23"/>
      <c r="I25" s="23"/>
      <c r="J25" s="64" t="str">
        <f t="shared" si="0"/>
        <v/>
      </c>
      <c r="K25" s="65"/>
      <c r="L25" s="65"/>
      <c r="M25" s="66" t="str">
        <f t="shared" si="1"/>
        <v/>
      </c>
      <c r="N25" s="23"/>
      <c r="O25" s="23"/>
      <c r="P25" s="64" t="str">
        <f t="shared" si="2"/>
        <v/>
      </c>
      <c r="Q25" s="65"/>
      <c r="R25" s="65"/>
      <c r="S25" s="66" t="str">
        <f t="shared" si="3"/>
        <v/>
      </c>
      <c r="T25" s="67"/>
      <c r="U25" s="68"/>
      <c r="V25" s="18" t="e">
        <f>IF($C25="","",VLOOKUP($C25,#REF!,4,FALSE))</f>
        <v>#REF!</v>
      </c>
      <c r="W25" s="72" t="e">
        <f>IF($E25="","",VLOOKUP($E25,#REF!,4,FALSE))</f>
        <v>#REF!</v>
      </c>
      <c r="Y25"/>
      <c r="Z25"/>
      <c r="AA25"/>
      <c r="AB25"/>
      <c r="AC25"/>
      <c r="AD25"/>
      <c r="AE25"/>
    </row>
    <row r="26" spans="1:31" s="69" customFormat="1" ht="18" customHeight="1">
      <c r="A26" s="62"/>
      <c r="B26" s="63">
        <v>13</v>
      </c>
      <c r="C26" s="127" t="s">
        <v>1399</v>
      </c>
      <c r="D26" s="265">
        <v>25219</v>
      </c>
      <c r="E26" s="160" t="s">
        <v>1327</v>
      </c>
      <c r="F26" s="271">
        <v>53892</v>
      </c>
      <c r="G26" s="127" t="s">
        <v>1326</v>
      </c>
      <c r="H26" s="23"/>
      <c r="I26" s="23"/>
      <c r="J26" s="64" t="str">
        <f t="shared" si="0"/>
        <v/>
      </c>
      <c r="K26" s="65"/>
      <c r="L26" s="65"/>
      <c r="M26" s="66" t="str">
        <f t="shared" si="1"/>
        <v/>
      </c>
      <c r="N26" s="23"/>
      <c r="O26" s="23"/>
      <c r="P26" s="64" t="str">
        <f t="shared" si="2"/>
        <v/>
      </c>
      <c r="Q26" s="65"/>
      <c r="R26" s="65"/>
      <c r="S26" s="66" t="str">
        <f t="shared" si="3"/>
        <v/>
      </c>
      <c r="T26" s="67"/>
      <c r="U26" s="68"/>
      <c r="V26" s="18" t="e">
        <f>IF($C26="","",VLOOKUP($C26,#REF!,4,FALSE))</f>
        <v>#REF!</v>
      </c>
      <c r="W26" s="72" t="e">
        <f>IF($E26="","",VLOOKUP($E26,#REF!,4,FALSE))</f>
        <v>#REF!</v>
      </c>
      <c r="Y26"/>
      <c r="Z26"/>
      <c r="AA26"/>
      <c r="AB26"/>
      <c r="AC26"/>
      <c r="AD26"/>
      <c r="AE26"/>
    </row>
    <row r="27" spans="1:31" s="69" customFormat="1" ht="18" customHeight="1">
      <c r="A27" s="62"/>
      <c r="B27" s="63">
        <v>14</v>
      </c>
      <c r="C27" s="125" t="s">
        <v>1400</v>
      </c>
      <c r="D27" s="265">
        <v>32428</v>
      </c>
      <c r="E27" s="125" t="s">
        <v>1320</v>
      </c>
      <c r="F27" s="271">
        <v>60948</v>
      </c>
      <c r="G27" s="122" t="s">
        <v>1318</v>
      </c>
      <c r="H27" s="23"/>
      <c r="I27" s="23"/>
      <c r="J27" s="64" t="str">
        <f t="shared" si="0"/>
        <v/>
      </c>
      <c r="K27" s="65"/>
      <c r="L27" s="65"/>
      <c r="M27" s="66" t="str">
        <f t="shared" si="1"/>
        <v/>
      </c>
      <c r="N27" s="23"/>
      <c r="O27" s="23"/>
      <c r="P27" s="64" t="str">
        <f t="shared" si="2"/>
        <v/>
      </c>
      <c r="Q27" s="65"/>
      <c r="R27" s="65"/>
      <c r="S27" s="66" t="str">
        <f t="shared" si="3"/>
        <v/>
      </c>
      <c r="T27" s="67"/>
      <c r="U27" s="68"/>
      <c r="V27" s="18" t="e">
        <f>IF($C27="","",VLOOKUP($C27,#REF!,4,FALSE))</f>
        <v>#REF!</v>
      </c>
      <c r="W27" s="72" t="e">
        <f>IF($E27="","",VLOOKUP($E27,#REF!,4,FALSE))</f>
        <v>#REF!</v>
      </c>
      <c r="Y27"/>
      <c r="Z27"/>
      <c r="AA27"/>
      <c r="AB27"/>
      <c r="AC27"/>
      <c r="AD27"/>
      <c r="AE27"/>
    </row>
    <row r="28" spans="1:31" s="69" customFormat="1" ht="18" customHeight="1">
      <c r="A28" s="62"/>
      <c r="B28" s="63">
        <v>15</v>
      </c>
      <c r="C28" s="125" t="s">
        <v>1401</v>
      </c>
      <c r="D28" s="265">
        <v>28809</v>
      </c>
      <c r="E28" s="125" t="s">
        <v>1352</v>
      </c>
      <c r="F28" s="271">
        <v>60576</v>
      </c>
      <c r="G28" s="122" t="s">
        <v>1351</v>
      </c>
      <c r="H28" s="23"/>
      <c r="I28" s="23"/>
      <c r="J28" s="64" t="str">
        <f t="shared" si="0"/>
        <v/>
      </c>
      <c r="K28" s="65"/>
      <c r="L28" s="65"/>
      <c r="M28" s="66" t="str">
        <f t="shared" si="1"/>
        <v/>
      </c>
      <c r="N28" s="23"/>
      <c r="O28" s="23"/>
      <c r="P28" s="64" t="str">
        <f t="shared" si="2"/>
        <v/>
      </c>
      <c r="Q28" s="65"/>
      <c r="R28" s="65"/>
      <c r="S28" s="66" t="str">
        <f t="shared" si="3"/>
        <v/>
      </c>
      <c r="T28" s="67"/>
      <c r="U28" s="68"/>
      <c r="V28" s="18" t="e">
        <f>IF($C28="","",VLOOKUP($C28,#REF!,4,FALSE))</f>
        <v>#REF!</v>
      </c>
      <c r="W28" s="72" t="e">
        <f>IF($E28="","",VLOOKUP($E28,#REF!,4,FALSE))</f>
        <v>#REF!</v>
      </c>
      <c r="Y28"/>
      <c r="Z28"/>
      <c r="AA28"/>
      <c r="AB28"/>
      <c r="AC28"/>
      <c r="AD28"/>
      <c r="AE28"/>
    </row>
    <row r="29" spans="1:31" s="69" customFormat="1" ht="18" customHeight="1">
      <c r="A29" s="62"/>
      <c r="B29" s="63">
        <v>16</v>
      </c>
      <c r="C29" s="127" t="s">
        <v>1402</v>
      </c>
      <c r="D29" s="265">
        <v>32418</v>
      </c>
      <c r="E29" s="160" t="s">
        <v>1358</v>
      </c>
      <c r="F29" s="271">
        <v>57969</v>
      </c>
      <c r="G29" s="127" t="s">
        <v>1356</v>
      </c>
      <c r="H29" s="23"/>
      <c r="I29" s="23"/>
      <c r="J29" s="64" t="str">
        <f t="shared" si="0"/>
        <v/>
      </c>
      <c r="K29" s="65"/>
      <c r="L29" s="65"/>
      <c r="M29" s="66" t="str">
        <f t="shared" si="1"/>
        <v/>
      </c>
      <c r="N29" s="23"/>
      <c r="O29" s="23"/>
      <c r="P29" s="64" t="str">
        <f t="shared" si="2"/>
        <v/>
      </c>
      <c r="Q29" s="65"/>
      <c r="R29" s="65"/>
      <c r="S29" s="66" t="str">
        <f t="shared" si="3"/>
        <v/>
      </c>
      <c r="T29" s="67"/>
      <c r="U29" s="68"/>
      <c r="V29" s="18" t="e">
        <f>IF($C29="","",VLOOKUP($C29,#REF!,4,FALSE))</f>
        <v>#REF!</v>
      </c>
      <c r="W29" s="72" t="e">
        <f>IF($E29="","",VLOOKUP($E29,#REF!,4,FALSE))</f>
        <v>#REF!</v>
      </c>
      <c r="Y29"/>
      <c r="Z29"/>
      <c r="AA29"/>
      <c r="AB29"/>
      <c r="AC29"/>
      <c r="AD29"/>
      <c r="AE29"/>
    </row>
    <row r="30" spans="1:31" s="69" customFormat="1" ht="18" customHeight="1">
      <c r="A30" s="62"/>
      <c r="B30" s="63">
        <v>17</v>
      </c>
      <c r="C30" s="127" t="s">
        <v>1520</v>
      </c>
      <c r="D30" s="265">
        <v>33929</v>
      </c>
      <c r="E30" s="160" t="s">
        <v>1340</v>
      </c>
      <c r="F30" s="271">
        <v>58085</v>
      </c>
      <c r="G30" s="127" t="s">
        <v>1342</v>
      </c>
      <c r="H30" s="23"/>
      <c r="I30" s="23"/>
      <c r="J30" s="64" t="str">
        <f t="shared" si="0"/>
        <v/>
      </c>
      <c r="K30" s="65"/>
      <c r="L30" s="65"/>
      <c r="M30" s="66" t="str">
        <f t="shared" si="1"/>
        <v/>
      </c>
      <c r="N30" s="23"/>
      <c r="O30" s="23"/>
      <c r="P30" s="64" t="str">
        <f t="shared" si="2"/>
        <v/>
      </c>
      <c r="Q30" s="65"/>
      <c r="R30" s="65"/>
      <c r="S30" s="66" t="str">
        <f t="shared" si="3"/>
        <v/>
      </c>
      <c r="T30" s="67"/>
      <c r="U30" s="68"/>
      <c r="V30" s="18" t="e">
        <f>IF($C30="","",VLOOKUP($C30,#REF!,4,FALSE))</f>
        <v>#REF!</v>
      </c>
      <c r="W30" s="72" t="e">
        <f>IF($E30="","",VLOOKUP($E30,#REF!,4,FALSE))</f>
        <v>#REF!</v>
      </c>
      <c r="Y30"/>
      <c r="Z30"/>
      <c r="AA30"/>
      <c r="AB30"/>
      <c r="AC30"/>
      <c r="AD30"/>
      <c r="AE30"/>
    </row>
    <row r="31" spans="1:31" s="69" customFormat="1" ht="18" customHeight="1">
      <c r="A31" s="62"/>
      <c r="B31" s="63">
        <v>18</v>
      </c>
      <c r="C31" s="125" t="s">
        <v>1166</v>
      </c>
      <c r="D31" s="265">
        <v>31991</v>
      </c>
      <c r="E31" s="125" t="s">
        <v>654</v>
      </c>
      <c r="F31" s="271">
        <v>57652</v>
      </c>
      <c r="G31" s="122" t="s">
        <v>1431</v>
      </c>
      <c r="H31" s="23"/>
      <c r="I31" s="23"/>
      <c r="J31" s="64" t="str">
        <f t="shared" si="0"/>
        <v/>
      </c>
      <c r="K31" s="65"/>
      <c r="L31" s="65"/>
      <c r="M31" s="66" t="str">
        <f t="shared" si="1"/>
        <v/>
      </c>
      <c r="N31" s="23"/>
      <c r="O31" s="23"/>
      <c r="P31" s="64" t="str">
        <f t="shared" si="2"/>
        <v/>
      </c>
      <c r="Q31" s="65"/>
      <c r="R31" s="65"/>
      <c r="S31" s="66" t="str">
        <f t="shared" si="3"/>
        <v/>
      </c>
      <c r="T31" s="67"/>
      <c r="U31" s="68"/>
      <c r="V31" s="18" t="e">
        <f>IF($C31="","",VLOOKUP($C31,#REF!,4,FALSE))</f>
        <v>#REF!</v>
      </c>
      <c r="W31" s="72" t="e">
        <f>IF($E31="","",VLOOKUP($E31,#REF!,4,FALSE))</f>
        <v>#REF!</v>
      </c>
      <c r="Y31"/>
      <c r="Z31"/>
      <c r="AA31"/>
      <c r="AB31"/>
      <c r="AC31"/>
      <c r="AD31"/>
      <c r="AE31"/>
    </row>
    <row r="32" spans="1:31" s="69" customFormat="1" ht="18" customHeight="1">
      <c r="A32" s="62"/>
      <c r="B32" s="63">
        <v>19</v>
      </c>
      <c r="C32" s="125" t="s">
        <v>1328</v>
      </c>
      <c r="D32" s="265">
        <v>31537</v>
      </c>
      <c r="E32" s="125" t="s">
        <v>1329</v>
      </c>
      <c r="F32" s="271">
        <v>61051</v>
      </c>
      <c r="G32" s="122" t="s">
        <v>1326</v>
      </c>
      <c r="H32" s="23"/>
      <c r="I32" s="23"/>
      <c r="J32" s="64" t="str">
        <f t="shared" si="0"/>
        <v/>
      </c>
      <c r="K32" s="65"/>
      <c r="L32" s="65"/>
      <c r="M32" s="66" t="str">
        <f t="shared" si="1"/>
        <v/>
      </c>
      <c r="N32" s="23"/>
      <c r="O32" s="23"/>
      <c r="P32" s="64" t="str">
        <f t="shared" si="2"/>
        <v/>
      </c>
      <c r="Q32" s="65"/>
      <c r="R32" s="65"/>
      <c r="S32" s="66" t="str">
        <f t="shared" si="3"/>
        <v/>
      </c>
      <c r="T32" s="67"/>
      <c r="U32" s="68"/>
      <c r="V32" s="18" t="e">
        <f>IF($C32="","",VLOOKUP($C32,#REF!,4,FALSE))</f>
        <v>#REF!</v>
      </c>
      <c r="W32" s="72" t="e">
        <f>IF($E32="","",VLOOKUP($E32,#REF!,4,FALSE))</f>
        <v>#REF!</v>
      </c>
      <c r="Y32"/>
      <c r="Z32"/>
      <c r="AA32"/>
      <c r="AB32"/>
      <c r="AC32"/>
      <c r="AD32"/>
      <c r="AE32"/>
    </row>
    <row r="33" spans="1:31" s="69" customFormat="1" ht="18" customHeight="1">
      <c r="A33" s="62"/>
      <c r="B33" s="63">
        <v>20</v>
      </c>
      <c r="C33" s="125" t="s">
        <v>1403</v>
      </c>
      <c r="D33" s="265">
        <v>34060</v>
      </c>
      <c r="E33" s="161" t="s">
        <v>1323</v>
      </c>
      <c r="F33" s="275">
        <v>59772</v>
      </c>
      <c r="G33" s="127" t="s">
        <v>1318</v>
      </c>
      <c r="H33" s="23"/>
      <c r="I33" s="23"/>
      <c r="J33" s="64" t="str">
        <f t="shared" si="0"/>
        <v/>
      </c>
      <c r="K33" s="65"/>
      <c r="L33" s="65"/>
      <c r="M33" s="66" t="str">
        <f t="shared" si="1"/>
        <v/>
      </c>
      <c r="N33" s="23"/>
      <c r="O33" s="23"/>
      <c r="P33" s="64" t="str">
        <f t="shared" si="2"/>
        <v/>
      </c>
      <c r="Q33" s="65"/>
      <c r="R33" s="65"/>
      <c r="S33" s="66" t="str">
        <f t="shared" si="3"/>
        <v/>
      </c>
      <c r="T33" s="67"/>
      <c r="U33" s="68"/>
      <c r="V33" s="18" t="e">
        <f>IF($C33="","",VLOOKUP($C33,#REF!,4,FALSE))</f>
        <v>#REF!</v>
      </c>
      <c r="W33" s="72" t="e">
        <f>IF($E33="","",VLOOKUP($E33,#REF!,4,FALSE))</f>
        <v>#REF!</v>
      </c>
      <c r="Y33"/>
      <c r="Z33"/>
      <c r="AA33"/>
      <c r="AB33"/>
      <c r="AC33"/>
      <c r="AD33"/>
      <c r="AE33"/>
    </row>
    <row r="34" spans="1:31" s="69" customFormat="1" ht="18" customHeight="1">
      <c r="A34" s="62"/>
      <c r="B34" s="63">
        <v>21</v>
      </c>
      <c r="C34" s="125" t="s">
        <v>1404</v>
      </c>
      <c r="D34" s="265">
        <v>20359</v>
      </c>
      <c r="E34" s="161" t="s">
        <v>1360</v>
      </c>
      <c r="F34" s="275">
        <v>61773</v>
      </c>
      <c r="G34" s="127" t="s">
        <v>1361</v>
      </c>
      <c r="H34" s="23"/>
      <c r="I34" s="23"/>
      <c r="J34" s="64" t="str">
        <f t="shared" si="0"/>
        <v/>
      </c>
      <c r="K34" s="65"/>
      <c r="L34" s="65"/>
      <c r="M34" s="66" t="str">
        <f t="shared" si="1"/>
        <v/>
      </c>
      <c r="N34" s="23"/>
      <c r="O34" s="23"/>
      <c r="P34" s="64" t="str">
        <f t="shared" si="2"/>
        <v/>
      </c>
      <c r="Q34" s="65"/>
      <c r="R34" s="65"/>
      <c r="S34" s="66" t="str">
        <f t="shared" si="3"/>
        <v/>
      </c>
      <c r="T34" s="67"/>
      <c r="U34" s="68"/>
      <c r="V34" s="18" t="e">
        <f>IF($C34="","",VLOOKUP($C34,#REF!,4,FALSE))</f>
        <v>#REF!</v>
      </c>
      <c r="W34" s="72" t="e">
        <f>IF($E34="","",VLOOKUP($E34,#REF!,4,FALSE))</f>
        <v>#REF!</v>
      </c>
      <c r="Y34"/>
      <c r="Z34"/>
      <c r="AA34"/>
      <c r="AB34"/>
      <c r="AC34"/>
      <c r="AD34"/>
      <c r="AE34"/>
    </row>
    <row r="35" spans="1:31" s="69" customFormat="1" ht="18" customHeight="1">
      <c r="A35" s="62"/>
      <c r="B35" s="63">
        <v>22</v>
      </c>
      <c r="C35" s="127" t="s">
        <v>1330</v>
      </c>
      <c r="D35" s="265">
        <v>33372</v>
      </c>
      <c r="E35" s="160" t="s">
        <v>1331</v>
      </c>
      <c r="F35" s="271">
        <v>56840</v>
      </c>
      <c r="G35" s="127" t="s">
        <v>1326</v>
      </c>
      <c r="H35" s="23"/>
      <c r="I35" s="23"/>
      <c r="J35" s="64" t="str">
        <f t="shared" ref="J35:J45" si="4">IF(H35="","",H35+I35)</f>
        <v/>
      </c>
      <c r="K35" s="65"/>
      <c r="L35" s="65"/>
      <c r="M35" s="66" t="str">
        <f t="shared" ref="M35:M45" si="5">IF(L35="","",K35+L35)</f>
        <v/>
      </c>
      <c r="N35" s="23"/>
      <c r="O35" s="23"/>
      <c r="P35" s="64" t="str">
        <f t="shared" ref="P35:P45" si="6">IF(N35="","",N35+O35)</f>
        <v/>
      </c>
      <c r="Q35" s="65"/>
      <c r="R35" s="65"/>
      <c r="S35" s="66" t="str">
        <f t="shared" ref="S35:S45" si="7">IF(R35="","",Q35+R35)</f>
        <v/>
      </c>
      <c r="T35" s="67"/>
      <c r="U35" s="68"/>
      <c r="V35" s="18" t="e">
        <f>IF($C35="","",VLOOKUP($C35,#REF!,4,FALSE))</f>
        <v>#REF!</v>
      </c>
      <c r="W35" s="72" t="e">
        <f>IF($E35="","",VLOOKUP($E35,#REF!,4,FALSE))</f>
        <v>#REF!</v>
      </c>
      <c r="Y35"/>
      <c r="Z35"/>
      <c r="AA35"/>
      <c r="AB35"/>
      <c r="AC35"/>
      <c r="AD35"/>
      <c r="AE35"/>
    </row>
    <row r="36" spans="1:31" s="69" customFormat="1" ht="18" customHeight="1">
      <c r="A36" s="62"/>
      <c r="B36" s="63">
        <v>23</v>
      </c>
      <c r="C36" s="125" t="s">
        <v>1512</v>
      </c>
      <c r="D36" s="265">
        <v>19572</v>
      </c>
      <c r="E36" s="125" t="s">
        <v>1364</v>
      </c>
      <c r="F36" s="271">
        <v>59233</v>
      </c>
      <c r="G36" s="122" t="s">
        <v>1363</v>
      </c>
      <c r="H36" s="23"/>
      <c r="I36" s="23"/>
      <c r="J36" s="64" t="str">
        <f t="shared" si="4"/>
        <v/>
      </c>
      <c r="K36" s="65"/>
      <c r="L36" s="65"/>
      <c r="M36" s="66" t="str">
        <f t="shared" si="5"/>
        <v/>
      </c>
      <c r="N36" s="23"/>
      <c r="O36" s="23"/>
      <c r="P36" s="64" t="str">
        <f t="shared" si="6"/>
        <v/>
      </c>
      <c r="Q36" s="65"/>
      <c r="R36" s="65"/>
      <c r="S36" s="66" t="str">
        <f t="shared" si="7"/>
        <v/>
      </c>
      <c r="T36" s="67"/>
      <c r="U36" s="68"/>
      <c r="V36" s="18" t="e">
        <f>IF($C36="","",VLOOKUP($C36,#REF!,4,FALSE))</f>
        <v>#REF!</v>
      </c>
      <c r="W36" s="72" t="e">
        <f>IF($E36="","",VLOOKUP($E36,#REF!,4,FALSE))</f>
        <v>#REF!</v>
      </c>
      <c r="Y36"/>
      <c r="Z36"/>
      <c r="AA36"/>
      <c r="AB36"/>
      <c r="AC36"/>
      <c r="AD36"/>
      <c r="AE36"/>
    </row>
    <row r="37" spans="1:31" s="69" customFormat="1" ht="18" customHeight="1">
      <c r="A37" s="62"/>
      <c r="B37" s="63">
        <v>24</v>
      </c>
      <c r="C37" s="125" t="s">
        <v>1405</v>
      </c>
      <c r="D37" s="265">
        <v>32526</v>
      </c>
      <c r="E37" s="125" t="s">
        <v>1370</v>
      </c>
      <c r="F37" s="271">
        <v>57857</v>
      </c>
      <c r="G37" s="122" t="s">
        <v>1502</v>
      </c>
      <c r="H37" s="23"/>
      <c r="I37" s="23"/>
      <c r="J37" s="64" t="str">
        <f t="shared" si="4"/>
        <v/>
      </c>
      <c r="K37" s="65"/>
      <c r="L37" s="65"/>
      <c r="M37" s="66" t="str">
        <f t="shared" si="5"/>
        <v/>
      </c>
      <c r="N37" s="23"/>
      <c r="O37" s="23"/>
      <c r="P37" s="64" t="str">
        <f t="shared" si="6"/>
        <v/>
      </c>
      <c r="Q37" s="65"/>
      <c r="R37" s="65"/>
      <c r="S37" s="66" t="str">
        <f t="shared" si="7"/>
        <v/>
      </c>
      <c r="T37" s="67"/>
      <c r="U37" s="68"/>
      <c r="V37" s="18" t="e">
        <f>IF($C37="","",VLOOKUP($C37,#REF!,4,FALSE))</f>
        <v>#REF!</v>
      </c>
      <c r="W37" s="72" t="e">
        <f>IF($E37="","",VLOOKUP($E37,#REF!,4,FALSE))</f>
        <v>#REF!</v>
      </c>
      <c r="Y37"/>
      <c r="Z37"/>
      <c r="AA37"/>
      <c r="AB37"/>
      <c r="AC37"/>
      <c r="AD37"/>
      <c r="AE37"/>
    </row>
    <row r="38" spans="1:31" s="69" customFormat="1" ht="18" customHeight="1">
      <c r="A38" s="62"/>
      <c r="B38" s="63">
        <v>25</v>
      </c>
      <c r="C38" s="183" t="s">
        <v>1406</v>
      </c>
      <c r="D38" s="277">
        <v>14546</v>
      </c>
      <c r="E38" s="161" t="s">
        <v>1372</v>
      </c>
      <c r="F38" s="275">
        <v>60834</v>
      </c>
      <c r="G38" s="127" t="s">
        <v>1373</v>
      </c>
      <c r="H38" s="23"/>
      <c r="I38" s="23"/>
      <c r="J38" s="64" t="str">
        <f t="shared" si="4"/>
        <v/>
      </c>
      <c r="K38" s="65"/>
      <c r="L38" s="65"/>
      <c r="M38" s="66" t="str">
        <f t="shared" si="5"/>
        <v/>
      </c>
      <c r="N38" s="23"/>
      <c r="O38" s="23"/>
      <c r="P38" s="64" t="str">
        <f t="shared" si="6"/>
        <v/>
      </c>
      <c r="Q38" s="65"/>
      <c r="R38" s="65"/>
      <c r="S38" s="66" t="str">
        <f t="shared" si="7"/>
        <v/>
      </c>
      <c r="T38" s="67"/>
      <c r="U38" s="68"/>
      <c r="V38" s="18" t="e">
        <f>IF($C38="","",VLOOKUP($C38,#REF!,4,FALSE))</f>
        <v>#REF!</v>
      </c>
      <c r="W38" s="72" t="e">
        <f>IF($E38="","",VLOOKUP($E38,#REF!,4,FALSE))</f>
        <v>#REF!</v>
      </c>
      <c r="Y38"/>
      <c r="Z38"/>
      <c r="AA38"/>
      <c r="AB38"/>
      <c r="AC38"/>
      <c r="AD38"/>
      <c r="AE38"/>
    </row>
    <row r="39" spans="1:31" s="69" customFormat="1" ht="18" customHeight="1">
      <c r="A39" s="62"/>
      <c r="B39" s="63">
        <v>26</v>
      </c>
      <c r="C39" s="125" t="s">
        <v>1407</v>
      </c>
      <c r="D39" s="265">
        <v>26433</v>
      </c>
      <c r="E39" s="125" t="s">
        <v>1376</v>
      </c>
      <c r="F39" s="271">
        <v>61240</v>
      </c>
      <c r="G39" s="122" t="s">
        <v>1373</v>
      </c>
      <c r="H39" s="23"/>
      <c r="I39" s="23"/>
      <c r="J39" s="64" t="str">
        <f t="shared" si="4"/>
        <v/>
      </c>
      <c r="K39" s="65"/>
      <c r="L39" s="65"/>
      <c r="M39" s="66" t="str">
        <f t="shared" si="5"/>
        <v/>
      </c>
      <c r="N39" s="23"/>
      <c r="O39" s="23"/>
      <c r="P39" s="64" t="str">
        <f t="shared" si="6"/>
        <v/>
      </c>
      <c r="Q39" s="65"/>
      <c r="R39" s="65"/>
      <c r="S39" s="66" t="str">
        <f t="shared" si="7"/>
        <v/>
      </c>
      <c r="T39" s="67"/>
      <c r="U39" s="68"/>
      <c r="V39" s="18" t="e">
        <f>IF($C39="","",VLOOKUP($C39,#REF!,4,FALSE))</f>
        <v>#REF!</v>
      </c>
      <c r="W39" s="72" t="e">
        <f>IF($E39="","",VLOOKUP($E39,#REF!,4,FALSE))</f>
        <v>#REF!</v>
      </c>
      <c r="Y39"/>
      <c r="Z39"/>
      <c r="AA39"/>
      <c r="AB39"/>
      <c r="AC39"/>
      <c r="AD39"/>
      <c r="AE39"/>
    </row>
    <row r="40" spans="1:31" s="69" customFormat="1" ht="18" customHeight="1">
      <c r="A40" s="62"/>
      <c r="B40" s="63">
        <v>27</v>
      </c>
      <c r="C40" s="127" t="s">
        <v>1409</v>
      </c>
      <c r="D40" s="265">
        <v>28295</v>
      </c>
      <c r="E40" s="160" t="s">
        <v>1386</v>
      </c>
      <c r="F40" s="271">
        <v>59349</v>
      </c>
      <c r="G40" s="127" t="s">
        <v>1384</v>
      </c>
      <c r="H40" s="23"/>
      <c r="I40" s="23"/>
      <c r="J40" s="64" t="str">
        <f t="shared" si="4"/>
        <v/>
      </c>
      <c r="K40" s="65"/>
      <c r="L40" s="65"/>
      <c r="M40" s="66" t="str">
        <f t="shared" si="5"/>
        <v/>
      </c>
      <c r="N40" s="23"/>
      <c r="O40" s="23"/>
      <c r="P40" s="64" t="str">
        <f t="shared" si="6"/>
        <v/>
      </c>
      <c r="Q40" s="65"/>
      <c r="R40" s="65"/>
      <c r="S40" s="66" t="str">
        <f t="shared" si="7"/>
        <v/>
      </c>
      <c r="T40" s="67"/>
      <c r="U40" s="68"/>
      <c r="V40" s="18" t="e">
        <f>IF($C40="","",VLOOKUP($C40,#REF!,4,FALSE))</f>
        <v>#REF!</v>
      </c>
      <c r="W40" s="72" t="e">
        <f>IF($E40="","",VLOOKUP($E40,#REF!,4,FALSE))</f>
        <v>#REF!</v>
      </c>
      <c r="Y40"/>
      <c r="Z40"/>
      <c r="AA40"/>
      <c r="AB40"/>
      <c r="AC40"/>
      <c r="AD40"/>
      <c r="AE40"/>
    </row>
    <row r="41" spans="1:31" s="69" customFormat="1" ht="18" customHeight="1">
      <c r="A41" s="62"/>
      <c r="B41" s="63">
        <v>28</v>
      </c>
      <c r="C41" s="125" t="s">
        <v>1410</v>
      </c>
      <c r="D41" s="265">
        <v>32525</v>
      </c>
      <c r="E41" s="125" t="s">
        <v>1411</v>
      </c>
      <c r="F41" s="271">
        <v>61841</v>
      </c>
      <c r="G41" s="122" t="s">
        <v>1502</v>
      </c>
      <c r="H41" s="23"/>
      <c r="I41" s="23"/>
      <c r="J41" s="64" t="str">
        <f t="shared" si="4"/>
        <v/>
      </c>
      <c r="K41" s="65"/>
      <c r="L41" s="65"/>
      <c r="M41" s="66" t="str">
        <f t="shared" si="5"/>
        <v/>
      </c>
      <c r="N41" s="23"/>
      <c r="O41" s="23"/>
      <c r="P41" s="64" t="str">
        <f t="shared" si="6"/>
        <v/>
      </c>
      <c r="Q41" s="65"/>
      <c r="R41" s="65"/>
      <c r="S41" s="66" t="str">
        <f t="shared" si="7"/>
        <v/>
      </c>
      <c r="T41" s="67"/>
      <c r="U41" s="68"/>
      <c r="V41" s="18" t="e">
        <f>IF($C41="","",VLOOKUP($C41,#REF!,4,FALSE))</f>
        <v>#REF!</v>
      </c>
      <c r="W41" s="72" t="e">
        <f>IF($E41="","",VLOOKUP($E41,#REF!,4,FALSE))</f>
        <v>#REF!</v>
      </c>
      <c r="Y41"/>
      <c r="Z41"/>
      <c r="AA41"/>
      <c r="AB41"/>
      <c r="AC41"/>
      <c r="AD41"/>
      <c r="AE41"/>
    </row>
    <row r="42" spans="1:31" s="69" customFormat="1" ht="18" customHeight="1">
      <c r="A42" s="62"/>
      <c r="B42" s="63">
        <v>29</v>
      </c>
      <c r="C42" s="125" t="s">
        <v>1166</v>
      </c>
      <c r="D42" s="265">
        <v>31991</v>
      </c>
      <c r="E42" s="125" t="s">
        <v>1332</v>
      </c>
      <c r="F42" s="271">
        <v>60825</v>
      </c>
      <c r="G42" s="122" t="s">
        <v>1431</v>
      </c>
      <c r="H42" s="23"/>
      <c r="I42" s="23"/>
      <c r="J42" s="64" t="str">
        <f t="shared" si="4"/>
        <v/>
      </c>
      <c r="K42" s="65"/>
      <c r="L42" s="65"/>
      <c r="M42" s="66" t="str">
        <f t="shared" si="5"/>
        <v/>
      </c>
      <c r="N42" s="23"/>
      <c r="O42" s="23"/>
      <c r="P42" s="64" t="str">
        <f t="shared" si="6"/>
        <v/>
      </c>
      <c r="Q42" s="65"/>
      <c r="R42" s="65"/>
      <c r="S42" s="66" t="str">
        <f t="shared" si="7"/>
        <v/>
      </c>
      <c r="T42" s="67"/>
      <c r="U42" s="68"/>
      <c r="V42" s="18" t="e">
        <f>IF($C42="","",VLOOKUP($C42,#REF!,4,FALSE))</f>
        <v>#REF!</v>
      </c>
      <c r="W42" s="72" t="e">
        <f>IF($E42="","",VLOOKUP($E42,#REF!,4,FALSE))</f>
        <v>#REF!</v>
      </c>
      <c r="Y42"/>
      <c r="Z42"/>
      <c r="AA42"/>
      <c r="AB42"/>
      <c r="AC42"/>
      <c r="AD42"/>
      <c r="AE42"/>
    </row>
    <row r="43" spans="1:31" s="69" customFormat="1" ht="18" customHeight="1">
      <c r="A43" s="62"/>
      <c r="B43" s="63">
        <v>30</v>
      </c>
      <c r="C43" s="127" t="s">
        <v>1142</v>
      </c>
      <c r="D43" s="265">
        <v>18717</v>
      </c>
      <c r="E43" s="160" t="s">
        <v>1521</v>
      </c>
      <c r="F43" s="271">
        <v>62148</v>
      </c>
      <c r="G43" s="127" t="s">
        <v>1342</v>
      </c>
      <c r="H43" s="23"/>
      <c r="I43" s="23"/>
      <c r="J43" s="64" t="str">
        <f t="shared" si="4"/>
        <v/>
      </c>
      <c r="K43" s="65"/>
      <c r="L43" s="65"/>
      <c r="M43" s="66" t="str">
        <f t="shared" si="5"/>
        <v/>
      </c>
      <c r="N43" s="23"/>
      <c r="O43" s="23"/>
      <c r="P43" s="64" t="str">
        <f t="shared" si="6"/>
        <v/>
      </c>
      <c r="Q43" s="65"/>
      <c r="R43" s="65"/>
      <c r="S43" s="66" t="str">
        <f t="shared" si="7"/>
        <v/>
      </c>
      <c r="T43" s="67"/>
      <c r="U43" s="68"/>
      <c r="V43" s="18" t="e">
        <f>IF($C43="","",VLOOKUP($C43,#REF!,4,FALSE))</f>
        <v>#REF!</v>
      </c>
      <c r="W43" s="72" t="e">
        <f>IF($E43="","",VLOOKUP($E43,#REF!,4,FALSE))</f>
        <v>#REF!</v>
      </c>
      <c r="Y43"/>
      <c r="Z43"/>
      <c r="AA43"/>
      <c r="AB43"/>
      <c r="AC43"/>
      <c r="AD43"/>
      <c r="AE43"/>
    </row>
    <row r="44" spans="1:31" s="69" customFormat="1" ht="18" customHeight="1">
      <c r="A44" s="62"/>
      <c r="B44" s="63">
        <v>31</v>
      </c>
      <c r="C44" s="125"/>
      <c r="D44" s="265"/>
      <c r="E44" s="125"/>
      <c r="F44" s="271"/>
      <c r="G44" s="122"/>
      <c r="H44" s="23"/>
      <c r="I44" s="23"/>
      <c r="J44" s="64" t="str">
        <f t="shared" si="4"/>
        <v/>
      </c>
      <c r="K44" s="65"/>
      <c r="L44" s="65"/>
      <c r="M44" s="66" t="str">
        <f t="shared" si="5"/>
        <v/>
      </c>
      <c r="N44" s="23"/>
      <c r="O44" s="23"/>
      <c r="P44" s="64" t="str">
        <f t="shared" si="6"/>
        <v/>
      </c>
      <c r="Q44" s="65"/>
      <c r="R44" s="65"/>
      <c r="S44" s="66" t="str">
        <f t="shared" si="7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  <c r="AE44"/>
    </row>
    <row r="45" spans="1:31" s="69" customFormat="1" ht="18" customHeight="1">
      <c r="A45" s="62"/>
      <c r="B45" s="63">
        <v>32</v>
      </c>
      <c r="C45" s="155"/>
      <c r="D45" s="264"/>
      <c r="E45" s="155"/>
      <c r="F45" s="274"/>
      <c r="G45" s="157"/>
      <c r="H45" s="23"/>
      <c r="I45" s="23"/>
      <c r="J45" s="64" t="str">
        <f t="shared" si="4"/>
        <v/>
      </c>
      <c r="K45" s="65"/>
      <c r="L45" s="65"/>
      <c r="M45" s="66" t="str">
        <f t="shared" si="5"/>
        <v/>
      </c>
      <c r="N45" s="23"/>
      <c r="O45" s="23"/>
      <c r="P45" s="64" t="str">
        <f t="shared" si="6"/>
        <v/>
      </c>
      <c r="Q45" s="65"/>
      <c r="R45" s="65"/>
      <c r="S45" s="66" t="str">
        <f t="shared" si="7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  <c r="AE45"/>
    </row>
    <row r="46" spans="1:31" s="69" customFormat="1" ht="18" customHeight="1">
      <c r="A46" s="62"/>
      <c r="B46" s="63">
        <v>33</v>
      </c>
      <c r="C46" s="154"/>
      <c r="D46" s="264"/>
      <c r="E46" s="156"/>
      <c r="F46" s="274"/>
      <c r="G46" s="165"/>
      <c r="H46" s="23"/>
      <c r="I46" s="23"/>
      <c r="J46" s="64" t="str">
        <f t="shared" ref="J46:J73" si="8">IF(H46="","",H46+I46)</f>
        <v/>
      </c>
      <c r="K46" s="65"/>
      <c r="L46" s="65"/>
      <c r="M46" s="66" t="str">
        <f t="shared" ref="M46:M73" si="9">IF(L46="","",K46+L46)</f>
        <v/>
      </c>
      <c r="N46" s="23"/>
      <c r="O46" s="23"/>
      <c r="P46" s="64" t="str">
        <f t="shared" ref="P46:P73" si="10">IF(N46="","",N46+O46)</f>
        <v/>
      </c>
      <c r="Q46" s="65"/>
      <c r="R46" s="65"/>
      <c r="S46" s="66" t="str">
        <f t="shared" ref="S46:S73" si="11">IF(R46="","",Q46+R46)</f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  <c r="AE46"/>
    </row>
    <row r="47" spans="1:31" s="69" customFormat="1" ht="18" customHeight="1">
      <c r="A47" s="62"/>
      <c r="B47" s="63">
        <v>34</v>
      </c>
      <c r="C47" s="183" ph="1"/>
      <c r="D47" s="277"/>
      <c r="E47" s="160"/>
      <c r="F47" s="275"/>
      <c r="G47" s="127"/>
      <c r="H47" s="23"/>
      <c r="I47" s="23"/>
      <c r="J47" s="64" t="str">
        <f t="shared" si="8"/>
        <v/>
      </c>
      <c r="K47" s="65"/>
      <c r="L47" s="65"/>
      <c r="M47" s="66" t="str">
        <f t="shared" si="9"/>
        <v/>
      </c>
      <c r="N47" s="23"/>
      <c r="O47" s="23"/>
      <c r="P47" s="64" t="str">
        <f t="shared" si="10"/>
        <v/>
      </c>
      <c r="Q47" s="65"/>
      <c r="R47" s="65"/>
      <c r="S47" s="66" t="str">
        <f t="shared" si="11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  <c r="AE47"/>
    </row>
    <row r="48" spans="1:31" s="69" customFormat="1" ht="18" customHeight="1">
      <c r="A48" s="62"/>
      <c r="B48" s="63">
        <v>35</v>
      </c>
      <c r="C48" s="127"/>
      <c r="D48" s="265"/>
      <c r="E48" s="160"/>
      <c r="F48" s="271"/>
      <c r="G48" s="127"/>
      <c r="H48" s="23"/>
      <c r="I48" s="23"/>
      <c r="J48" s="64" t="str">
        <f t="shared" si="8"/>
        <v/>
      </c>
      <c r="K48" s="65"/>
      <c r="L48" s="65"/>
      <c r="M48" s="66" t="str">
        <f t="shared" si="9"/>
        <v/>
      </c>
      <c r="N48" s="23"/>
      <c r="O48" s="23"/>
      <c r="P48" s="64" t="str">
        <f t="shared" si="10"/>
        <v/>
      </c>
      <c r="Q48" s="65"/>
      <c r="R48" s="65"/>
      <c r="S48" s="66" t="str">
        <f t="shared" si="11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  <c r="AE48"/>
    </row>
    <row r="49" spans="1:31" s="69" customFormat="1" ht="18" customHeight="1">
      <c r="A49" s="62"/>
      <c r="B49" s="63">
        <v>36</v>
      </c>
      <c r="C49" s="127"/>
      <c r="D49" s="265"/>
      <c r="E49" s="160"/>
      <c r="F49" s="271"/>
      <c r="G49" s="127"/>
      <c r="H49" s="23"/>
      <c r="I49" s="23"/>
      <c r="J49" s="64" t="str">
        <f t="shared" si="8"/>
        <v/>
      </c>
      <c r="K49" s="65"/>
      <c r="L49" s="65"/>
      <c r="M49" s="66" t="str">
        <f t="shared" si="9"/>
        <v/>
      </c>
      <c r="N49" s="23"/>
      <c r="O49" s="23"/>
      <c r="P49" s="64" t="str">
        <f t="shared" si="10"/>
        <v/>
      </c>
      <c r="Q49" s="65"/>
      <c r="R49" s="65"/>
      <c r="S49" s="66" t="str">
        <f t="shared" si="11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  <c r="AE49"/>
    </row>
    <row r="50" spans="1:31" s="69" customFormat="1" ht="18" customHeight="1">
      <c r="A50" s="62"/>
      <c r="B50" s="63">
        <v>37</v>
      </c>
      <c r="C50" s="125"/>
      <c r="D50" s="265"/>
      <c r="E50" s="125"/>
      <c r="F50" s="271"/>
      <c r="G50" s="122"/>
      <c r="H50" s="23"/>
      <c r="I50" s="23"/>
      <c r="J50" s="64" t="str">
        <f t="shared" si="8"/>
        <v/>
      </c>
      <c r="K50" s="65"/>
      <c r="L50" s="65"/>
      <c r="M50" s="66" t="str">
        <f t="shared" si="9"/>
        <v/>
      </c>
      <c r="N50" s="23"/>
      <c r="O50" s="23"/>
      <c r="P50" s="64" t="str">
        <f t="shared" si="10"/>
        <v/>
      </c>
      <c r="Q50" s="65"/>
      <c r="R50" s="65"/>
      <c r="S50" s="66" t="str">
        <f t="shared" si="11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  <c r="AE50"/>
    </row>
    <row r="51" spans="1:31" s="69" customFormat="1" ht="18" customHeight="1">
      <c r="A51" s="62"/>
      <c r="B51" s="63">
        <v>38</v>
      </c>
      <c r="C51" s="125"/>
      <c r="D51" s="265"/>
      <c r="E51" s="160"/>
      <c r="F51" s="275"/>
      <c r="G51" s="127"/>
      <c r="H51" s="23"/>
      <c r="I51" s="23"/>
      <c r="J51" s="64" t="str">
        <f t="shared" si="8"/>
        <v/>
      </c>
      <c r="K51" s="65"/>
      <c r="L51" s="65"/>
      <c r="M51" s="66" t="str">
        <f t="shared" si="9"/>
        <v/>
      </c>
      <c r="N51" s="23"/>
      <c r="O51" s="23"/>
      <c r="P51" s="64" t="str">
        <f t="shared" si="10"/>
        <v/>
      </c>
      <c r="Q51" s="65"/>
      <c r="R51" s="65"/>
      <c r="S51" s="66" t="str">
        <f t="shared" si="11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  <c r="AE51"/>
    </row>
    <row r="52" spans="1:31" s="69" customFormat="1" ht="18" customHeight="1">
      <c r="A52" s="62"/>
      <c r="B52" s="63">
        <v>39</v>
      </c>
      <c r="C52" s="125"/>
      <c r="D52" s="265"/>
      <c r="E52" s="125"/>
      <c r="F52" s="271"/>
      <c r="G52" s="122"/>
      <c r="H52" s="23"/>
      <c r="I52" s="23"/>
      <c r="J52" s="64" t="str">
        <f t="shared" si="8"/>
        <v/>
      </c>
      <c r="K52" s="65"/>
      <c r="L52" s="65"/>
      <c r="M52" s="66" t="str">
        <f t="shared" si="9"/>
        <v/>
      </c>
      <c r="N52" s="23"/>
      <c r="O52" s="23"/>
      <c r="P52" s="64" t="str">
        <f t="shared" si="10"/>
        <v/>
      </c>
      <c r="Q52" s="65"/>
      <c r="R52" s="65"/>
      <c r="S52" s="66" t="str">
        <f t="shared" si="11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  <c r="AE52"/>
    </row>
    <row r="53" spans="1:31" s="69" customFormat="1" ht="18" customHeight="1">
      <c r="A53" s="62"/>
      <c r="B53" s="63">
        <v>40</v>
      </c>
      <c r="C53" s="125"/>
      <c r="D53" s="265"/>
      <c r="E53" s="125"/>
      <c r="F53" s="271"/>
      <c r="G53" s="122"/>
      <c r="H53" s="23"/>
      <c r="I53" s="23"/>
      <c r="J53" s="64" t="str">
        <f t="shared" si="8"/>
        <v/>
      </c>
      <c r="K53" s="65"/>
      <c r="L53" s="65"/>
      <c r="M53" s="66" t="str">
        <f t="shared" si="9"/>
        <v/>
      </c>
      <c r="N53" s="23"/>
      <c r="O53" s="23"/>
      <c r="P53" s="64" t="str">
        <f t="shared" si="10"/>
        <v/>
      </c>
      <c r="Q53" s="65"/>
      <c r="R53" s="65"/>
      <c r="S53" s="66" t="str">
        <f t="shared" si="11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  <c r="AE53"/>
    </row>
    <row r="54" spans="1:31" s="69" customFormat="1" ht="18" customHeight="1">
      <c r="A54" s="62"/>
      <c r="B54" s="63">
        <v>41</v>
      </c>
      <c r="C54" s="125"/>
      <c r="D54" s="265"/>
      <c r="E54" s="125"/>
      <c r="F54" s="271"/>
      <c r="G54" s="122"/>
      <c r="H54" s="23"/>
      <c r="I54" s="23"/>
      <c r="J54" s="64" t="str">
        <f t="shared" si="8"/>
        <v/>
      </c>
      <c r="K54" s="65"/>
      <c r="L54" s="65"/>
      <c r="M54" s="66" t="str">
        <f t="shared" si="9"/>
        <v/>
      </c>
      <c r="N54" s="23"/>
      <c r="O54" s="23"/>
      <c r="P54" s="64" t="str">
        <f t="shared" si="10"/>
        <v/>
      </c>
      <c r="Q54" s="65"/>
      <c r="R54" s="65"/>
      <c r="S54" s="66" t="str">
        <f t="shared" si="11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  <c r="AE54"/>
    </row>
    <row r="55" spans="1:31" s="69" customFormat="1" ht="18" customHeight="1">
      <c r="A55" s="62"/>
      <c r="B55" s="63">
        <v>42</v>
      </c>
      <c r="C55" s="125"/>
      <c r="D55" s="265"/>
      <c r="E55" s="125"/>
      <c r="F55" s="271"/>
      <c r="G55" s="122"/>
      <c r="H55" s="23"/>
      <c r="I55" s="23"/>
      <c r="J55" s="64" t="str">
        <f t="shared" si="8"/>
        <v/>
      </c>
      <c r="K55" s="65"/>
      <c r="L55" s="65"/>
      <c r="M55" s="66" t="str">
        <f t="shared" si="9"/>
        <v/>
      </c>
      <c r="N55" s="23"/>
      <c r="O55" s="23"/>
      <c r="P55" s="64" t="str">
        <f t="shared" si="10"/>
        <v/>
      </c>
      <c r="Q55" s="65"/>
      <c r="R55" s="65"/>
      <c r="S55" s="66" t="str">
        <f t="shared" si="11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  <c r="AE55"/>
    </row>
    <row r="56" spans="1:31" s="69" customFormat="1" ht="18" customHeight="1">
      <c r="A56" s="62"/>
      <c r="B56" s="63">
        <v>43</v>
      </c>
      <c r="C56" s="127"/>
      <c r="D56" s="265"/>
      <c r="E56" s="160"/>
      <c r="F56" s="271"/>
      <c r="G56" s="127"/>
      <c r="H56" s="23"/>
      <c r="I56" s="23"/>
      <c r="J56" s="64" t="str">
        <f t="shared" si="8"/>
        <v/>
      </c>
      <c r="K56" s="65"/>
      <c r="L56" s="65"/>
      <c r="M56" s="66" t="str">
        <f t="shared" si="9"/>
        <v/>
      </c>
      <c r="N56" s="23"/>
      <c r="O56" s="23"/>
      <c r="P56" s="64" t="str">
        <f t="shared" si="10"/>
        <v/>
      </c>
      <c r="Q56" s="65"/>
      <c r="R56" s="65"/>
      <c r="S56" s="66" t="str">
        <f t="shared" si="11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  <c r="AE56"/>
    </row>
    <row r="57" spans="1:31" s="69" customFormat="1" ht="18" customHeight="1">
      <c r="A57" s="62"/>
      <c r="B57" s="63">
        <v>44</v>
      </c>
      <c r="C57" s="125"/>
      <c r="D57" s="265"/>
      <c r="E57" s="125"/>
      <c r="F57" s="271"/>
      <c r="G57" s="122"/>
      <c r="H57" s="23"/>
      <c r="I57" s="23"/>
      <c r="J57" s="64" t="str">
        <f t="shared" si="8"/>
        <v/>
      </c>
      <c r="K57" s="65"/>
      <c r="L57" s="65"/>
      <c r="M57" s="66" t="str">
        <f t="shared" si="9"/>
        <v/>
      </c>
      <c r="N57" s="23"/>
      <c r="O57" s="23"/>
      <c r="P57" s="64" t="str">
        <f t="shared" si="10"/>
        <v/>
      </c>
      <c r="Q57" s="65"/>
      <c r="R57" s="65"/>
      <c r="S57" s="66" t="str">
        <f t="shared" si="11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  <c r="AE57"/>
    </row>
    <row r="58" spans="1:31" s="69" customFormat="1" ht="18" customHeight="1">
      <c r="A58" s="62"/>
      <c r="B58" s="63">
        <v>45</v>
      </c>
      <c r="C58" s="125"/>
      <c r="D58" s="265"/>
      <c r="E58" s="125"/>
      <c r="F58" s="271"/>
      <c r="G58" s="122"/>
      <c r="H58" s="23"/>
      <c r="I58" s="23"/>
      <c r="J58" s="64" t="str">
        <f t="shared" si="8"/>
        <v/>
      </c>
      <c r="K58" s="65"/>
      <c r="L58" s="65"/>
      <c r="M58" s="66" t="str">
        <f t="shared" si="9"/>
        <v/>
      </c>
      <c r="N58" s="23"/>
      <c r="O58" s="23"/>
      <c r="P58" s="64" t="str">
        <f t="shared" si="10"/>
        <v/>
      </c>
      <c r="Q58" s="65"/>
      <c r="R58" s="65"/>
      <c r="S58" s="66" t="str">
        <f t="shared" si="11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  <c r="AE58"/>
    </row>
    <row r="59" spans="1:31" s="69" customFormat="1" ht="18" customHeight="1">
      <c r="A59" s="62"/>
      <c r="B59" s="63">
        <v>46</v>
      </c>
      <c r="C59" s="125"/>
      <c r="D59" s="265"/>
      <c r="E59" s="125"/>
      <c r="F59" s="271"/>
      <c r="G59" s="122"/>
      <c r="H59" s="23"/>
      <c r="I59" s="23"/>
      <c r="J59" s="64" t="str">
        <f t="shared" si="8"/>
        <v/>
      </c>
      <c r="K59" s="65"/>
      <c r="L59" s="65"/>
      <c r="M59" s="66" t="str">
        <f t="shared" si="9"/>
        <v/>
      </c>
      <c r="N59" s="23"/>
      <c r="O59" s="23"/>
      <c r="P59" s="64" t="str">
        <f t="shared" si="10"/>
        <v/>
      </c>
      <c r="Q59" s="65"/>
      <c r="R59" s="65"/>
      <c r="S59" s="66" t="str">
        <f t="shared" si="11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  <c r="AE59"/>
    </row>
    <row r="60" spans="1:31" s="69" customFormat="1" ht="18" customHeight="1">
      <c r="A60" s="62"/>
      <c r="B60" s="63">
        <v>47</v>
      </c>
      <c r="C60" s="125"/>
      <c r="D60" s="265"/>
      <c r="E60" s="125"/>
      <c r="F60" s="271"/>
      <c r="G60" s="122"/>
      <c r="H60" s="23"/>
      <c r="I60" s="23"/>
      <c r="J60" s="64" t="str">
        <f t="shared" si="8"/>
        <v/>
      </c>
      <c r="K60" s="65"/>
      <c r="L60" s="65"/>
      <c r="M60" s="66" t="str">
        <f t="shared" si="9"/>
        <v/>
      </c>
      <c r="N60" s="23"/>
      <c r="O60" s="23"/>
      <c r="P60" s="64" t="str">
        <f t="shared" si="10"/>
        <v/>
      </c>
      <c r="Q60" s="65"/>
      <c r="R60" s="65"/>
      <c r="S60" s="66" t="str">
        <f t="shared" si="11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  <c r="AE60"/>
    </row>
    <row r="61" spans="1:31" s="69" customFormat="1" ht="18" customHeight="1">
      <c r="A61" s="62"/>
      <c r="B61" s="63">
        <v>48</v>
      </c>
      <c r="C61" s="127"/>
      <c r="D61" s="265"/>
      <c r="E61" s="160"/>
      <c r="F61" s="271"/>
      <c r="G61" s="127"/>
      <c r="H61" s="23"/>
      <c r="I61" s="23"/>
      <c r="J61" s="64" t="str">
        <f t="shared" si="8"/>
        <v/>
      </c>
      <c r="K61" s="65"/>
      <c r="L61" s="65"/>
      <c r="M61" s="66" t="str">
        <f t="shared" si="9"/>
        <v/>
      </c>
      <c r="N61" s="23"/>
      <c r="O61" s="23"/>
      <c r="P61" s="64" t="str">
        <f t="shared" si="10"/>
        <v/>
      </c>
      <c r="Q61" s="65"/>
      <c r="R61" s="65"/>
      <c r="S61" s="66" t="str">
        <f t="shared" si="11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  <c r="AE61"/>
    </row>
    <row r="62" spans="1:31" s="69" customFormat="1" ht="18" customHeight="1">
      <c r="A62" s="62"/>
      <c r="B62" s="63">
        <v>49</v>
      </c>
      <c r="C62" s="127"/>
      <c r="D62" s="265"/>
      <c r="E62" s="160"/>
      <c r="F62" s="271"/>
      <c r="G62" s="127"/>
      <c r="H62" s="23"/>
      <c r="I62" s="23"/>
      <c r="J62" s="64" t="str">
        <f t="shared" si="8"/>
        <v/>
      </c>
      <c r="K62" s="65"/>
      <c r="L62" s="65"/>
      <c r="M62" s="66" t="str">
        <f t="shared" si="9"/>
        <v/>
      </c>
      <c r="N62" s="23"/>
      <c r="O62" s="23"/>
      <c r="P62" s="64" t="str">
        <f t="shared" si="10"/>
        <v/>
      </c>
      <c r="Q62" s="65"/>
      <c r="R62" s="65"/>
      <c r="S62" s="66" t="str">
        <f t="shared" si="11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  <c r="AE62"/>
    </row>
    <row r="63" spans="1:31" s="69" customFormat="1" ht="18" customHeight="1">
      <c r="A63" s="62"/>
      <c r="B63" s="63">
        <v>50</v>
      </c>
      <c r="C63" s="127"/>
      <c r="D63" s="265"/>
      <c r="E63" s="160"/>
      <c r="F63" s="271"/>
      <c r="G63" s="127"/>
      <c r="H63" s="23"/>
      <c r="I63" s="23"/>
      <c r="J63" s="64" t="str">
        <f t="shared" si="8"/>
        <v/>
      </c>
      <c r="K63" s="65"/>
      <c r="L63" s="65"/>
      <c r="M63" s="66" t="str">
        <f t="shared" si="9"/>
        <v/>
      </c>
      <c r="N63" s="23"/>
      <c r="O63" s="23"/>
      <c r="P63" s="64" t="str">
        <f t="shared" si="10"/>
        <v/>
      </c>
      <c r="Q63" s="65"/>
      <c r="R63" s="65"/>
      <c r="S63" s="66" t="str">
        <f t="shared" si="11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  <c r="AE63"/>
    </row>
    <row r="64" spans="1:31" s="69" customFormat="1" ht="18" customHeight="1">
      <c r="A64" s="62"/>
      <c r="B64" s="63">
        <v>51</v>
      </c>
      <c r="C64" s="125"/>
      <c r="D64" s="265"/>
      <c r="E64" s="125"/>
      <c r="F64" s="271"/>
      <c r="G64" s="122"/>
      <c r="H64" s="23"/>
      <c r="I64" s="23"/>
      <c r="J64" s="64" t="str">
        <f t="shared" si="8"/>
        <v/>
      </c>
      <c r="K64" s="65"/>
      <c r="L64" s="65"/>
      <c r="M64" s="66" t="str">
        <f t="shared" si="9"/>
        <v/>
      </c>
      <c r="N64" s="23"/>
      <c r="O64" s="23"/>
      <c r="P64" s="64" t="str">
        <f t="shared" si="10"/>
        <v/>
      </c>
      <c r="Q64" s="65"/>
      <c r="R64" s="65"/>
      <c r="S64" s="66" t="str">
        <f t="shared" si="11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  <c r="AE64"/>
    </row>
    <row r="65" spans="1:31" s="69" customFormat="1" ht="18" customHeight="1">
      <c r="A65" s="62"/>
      <c r="B65" s="63">
        <v>52</v>
      </c>
      <c r="C65" s="125"/>
      <c r="D65" s="265"/>
      <c r="E65" s="155"/>
      <c r="F65" s="274"/>
      <c r="G65" s="157"/>
      <c r="H65" s="23"/>
      <c r="I65" s="23"/>
      <c r="J65" s="64" t="str">
        <f t="shared" si="8"/>
        <v/>
      </c>
      <c r="K65" s="65"/>
      <c r="L65" s="65"/>
      <c r="M65" s="66" t="str">
        <f t="shared" si="9"/>
        <v/>
      </c>
      <c r="N65" s="23"/>
      <c r="O65" s="23"/>
      <c r="P65" s="64" t="str">
        <f t="shared" si="10"/>
        <v/>
      </c>
      <c r="Q65" s="65"/>
      <c r="R65" s="65"/>
      <c r="S65" s="66" t="str">
        <f t="shared" si="11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  <c r="AE65"/>
    </row>
    <row r="66" spans="1:31" s="69" customFormat="1" ht="18" customHeight="1">
      <c r="A66" s="62"/>
      <c r="B66" s="63">
        <v>53</v>
      </c>
      <c r="C66" s="125"/>
      <c r="D66" s="265"/>
      <c r="E66" s="125"/>
      <c r="F66" s="271"/>
      <c r="G66" s="122"/>
      <c r="H66" s="23"/>
      <c r="I66" s="23"/>
      <c r="J66" s="64" t="str">
        <f t="shared" si="8"/>
        <v/>
      </c>
      <c r="K66" s="65"/>
      <c r="L66" s="65"/>
      <c r="M66" s="66" t="str">
        <f t="shared" si="9"/>
        <v/>
      </c>
      <c r="N66" s="23"/>
      <c r="O66" s="23"/>
      <c r="P66" s="64" t="str">
        <f t="shared" si="10"/>
        <v/>
      </c>
      <c r="Q66" s="65"/>
      <c r="R66" s="65"/>
      <c r="S66" s="66" t="str">
        <f t="shared" si="11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  <c r="AE66"/>
    </row>
    <row r="67" spans="1:31" s="69" customFormat="1" ht="18" customHeight="1">
      <c r="A67" s="62"/>
      <c r="B67" s="63">
        <v>54</v>
      </c>
      <c r="C67" s="125"/>
      <c r="D67" s="265"/>
      <c r="E67" s="125"/>
      <c r="F67" s="271"/>
      <c r="G67" s="122"/>
      <c r="H67" s="23"/>
      <c r="I67" s="23"/>
      <c r="J67" s="64" t="str">
        <f t="shared" si="8"/>
        <v/>
      </c>
      <c r="K67" s="65"/>
      <c r="L67" s="65"/>
      <c r="M67" s="66" t="str">
        <f t="shared" si="9"/>
        <v/>
      </c>
      <c r="N67" s="23"/>
      <c r="O67" s="23"/>
      <c r="P67" s="64" t="str">
        <f t="shared" si="10"/>
        <v/>
      </c>
      <c r="Q67" s="65"/>
      <c r="R67" s="65"/>
      <c r="S67" s="66" t="str">
        <f t="shared" si="11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  <c r="AE67"/>
    </row>
    <row r="68" spans="1:31" s="69" customFormat="1" ht="18" customHeight="1">
      <c r="A68" s="62"/>
      <c r="B68" s="63">
        <v>55</v>
      </c>
      <c r="C68" s="125"/>
      <c r="D68" s="265"/>
      <c r="E68" s="125"/>
      <c r="F68" s="271"/>
      <c r="G68" s="122"/>
      <c r="H68" s="23"/>
      <c r="I68" s="23"/>
      <c r="J68" s="64" t="str">
        <f t="shared" si="8"/>
        <v/>
      </c>
      <c r="K68" s="65"/>
      <c r="L68" s="65"/>
      <c r="M68" s="66" t="str">
        <f t="shared" si="9"/>
        <v/>
      </c>
      <c r="N68" s="23"/>
      <c r="O68" s="23"/>
      <c r="P68" s="64" t="str">
        <f t="shared" si="10"/>
        <v/>
      </c>
      <c r="Q68" s="65"/>
      <c r="R68" s="65"/>
      <c r="S68" s="66" t="str">
        <f t="shared" si="11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  <c r="AE68"/>
    </row>
    <row r="69" spans="1:31" s="69" customFormat="1" ht="18" customHeight="1">
      <c r="A69" s="62"/>
      <c r="B69" s="63">
        <v>56</v>
      </c>
      <c r="C69" s="125"/>
      <c r="D69" s="265"/>
      <c r="E69" s="125"/>
      <c r="F69" s="271"/>
      <c r="G69" s="122"/>
      <c r="H69" s="23"/>
      <c r="I69" s="23"/>
      <c r="J69" s="64" t="str">
        <f t="shared" si="8"/>
        <v/>
      </c>
      <c r="K69" s="65"/>
      <c r="L69" s="65"/>
      <c r="M69" s="66" t="str">
        <f t="shared" si="9"/>
        <v/>
      </c>
      <c r="N69" s="23"/>
      <c r="O69" s="23"/>
      <c r="P69" s="64" t="str">
        <f t="shared" si="10"/>
        <v/>
      </c>
      <c r="Q69" s="65"/>
      <c r="R69" s="65"/>
      <c r="S69" s="66" t="str">
        <f t="shared" si="11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  <c r="AE69"/>
    </row>
    <row r="70" spans="1:31" s="69" customFormat="1" ht="18" customHeight="1">
      <c r="A70" s="62"/>
      <c r="B70" s="63">
        <v>57</v>
      </c>
      <c r="C70" s="125"/>
      <c r="D70" s="265"/>
      <c r="E70" s="125"/>
      <c r="F70" s="271"/>
      <c r="G70" s="122"/>
      <c r="H70" s="23"/>
      <c r="I70" s="23"/>
      <c r="J70" s="64" t="str">
        <f t="shared" si="8"/>
        <v/>
      </c>
      <c r="K70" s="65"/>
      <c r="L70" s="65"/>
      <c r="M70" s="66" t="str">
        <f t="shared" si="9"/>
        <v/>
      </c>
      <c r="N70" s="23"/>
      <c r="O70" s="23"/>
      <c r="P70" s="64" t="str">
        <f t="shared" si="10"/>
        <v/>
      </c>
      <c r="Q70" s="65"/>
      <c r="R70" s="65"/>
      <c r="S70" s="66" t="str">
        <f t="shared" si="11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  <c r="AE70"/>
    </row>
    <row r="71" spans="1:31" s="69" customFormat="1" ht="18" customHeight="1">
      <c r="A71" s="62"/>
      <c r="B71" s="63">
        <v>58</v>
      </c>
      <c r="C71" s="125"/>
      <c r="D71" s="265"/>
      <c r="E71" s="155"/>
      <c r="F71" s="274"/>
      <c r="G71" s="152"/>
      <c r="H71" s="23"/>
      <c r="I71" s="23"/>
      <c r="J71" s="64" t="str">
        <f t="shared" si="8"/>
        <v/>
      </c>
      <c r="K71" s="65"/>
      <c r="L71" s="65"/>
      <c r="M71" s="66" t="str">
        <f t="shared" si="9"/>
        <v/>
      </c>
      <c r="N71" s="23"/>
      <c r="O71" s="23"/>
      <c r="P71" s="64" t="str">
        <f t="shared" si="10"/>
        <v/>
      </c>
      <c r="Q71" s="65"/>
      <c r="R71" s="65"/>
      <c r="S71" s="66" t="str">
        <f t="shared" si="11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  <c r="AE71"/>
    </row>
    <row r="72" spans="1:31" s="69" customFormat="1" ht="18" customHeight="1">
      <c r="A72" s="62"/>
      <c r="B72" s="63">
        <v>59</v>
      </c>
      <c r="C72" s="125"/>
      <c r="D72" s="265"/>
      <c r="E72" s="125"/>
      <c r="F72" s="271"/>
      <c r="G72" s="122"/>
      <c r="H72" s="23"/>
      <c r="I72" s="23"/>
      <c r="J72" s="64" t="str">
        <f t="shared" si="8"/>
        <v/>
      </c>
      <c r="K72" s="65"/>
      <c r="L72" s="65"/>
      <c r="M72" s="66" t="str">
        <f t="shared" si="9"/>
        <v/>
      </c>
      <c r="N72" s="23"/>
      <c r="O72" s="23"/>
      <c r="P72" s="64" t="str">
        <f t="shared" si="10"/>
        <v/>
      </c>
      <c r="Q72" s="65"/>
      <c r="R72" s="65"/>
      <c r="S72" s="66" t="str">
        <f t="shared" si="11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  <c r="AE72"/>
    </row>
    <row r="73" spans="1:31" s="69" customFormat="1" ht="18" customHeight="1">
      <c r="A73" s="62"/>
      <c r="B73" s="63">
        <v>60</v>
      </c>
      <c r="C73" s="125"/>
      <c r="D73" s="265"/>
      <c r="E73" s="125"/>
      <c r="F73" s="271"/>
      <c r="G73" s="122"/>
      <c r="H73" s="23"/>
      <c r="I73" s="23"/>
      <c r="J73" s="64" t="str">
        <f t="shared" si="8"/>
        <v/>
      </c>
      <c r="K73" s="65"/>
      <c r="L73" s="65"/>
      <c r="M73" s="66" t="str">
        <f t="shared" si="9"/>
        <v/>
      </c>
      <c r="N73" s="23"/>
      <c r="O73" s="23"/>
      <c r="P73" s="64" t="str">
        <f t="shared" si="10"/>
        <v/>
      </c>
      <c r="Q73" s="65"/>
      <c r="R73" s="65"/>
      <c r="S73" s="66" t="str">
        <f t="shared" si="11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  <c r="AE73"/>
    </row>
    <row r="74" spans="1:31" ht="18" customHeight="1">
      <c r="C74" s="21"/>
      <c r="E74" s="71"/>
      <c r="G74" s="21"/>
      <c r="AE74"/>
    </row>
    <row r="75" spans="1:31" ht="18" customHeight="1">
      <c r="C75" s="21"/>
      <c r="E75" s="71"/>
      <c r="G75" s="21"/>
      <c r="AE75"/>
    </row>
    <row r="76" spans="1:31" ht="18" customHeight="1">
      <c r="C76" s="21"/>
      <c r="E76" s="71"/>
      <c r="G76" s="21"/>
      <c r="AE76"/>
    </row>
    <row r="77" spans="1:31" ht="18" customHeight="1">
      <c r="C77" s="21"/>
      <c r="E77" s="71"/>
      <c r="G77" s="21"/>
      <c r="AE77"/>
    </row>
    <row r="78" spans="1:31" ht="18" customHeight="1">
      <c r="C78" s="21"/>
      <c r="E78" s="71"/>
      <c r="G78" s="21"/>
      <c r="AE78"/>
    </row>
    <row r="79" spans="1:31" ht="18" customHeight="1">
      <c r="C79" s="21"/>
      <c r="E79" s="71"/>
      <c r="G79" s="21"/>
      <c r="AE79"/>
    </row>
    <row r="80" spans="1:31" ht="18" customHeight="1">
      <c r="C80" s="21"/>
      <c r="E80" s="71"/>
      <c r="G80" s="21"/>
      <c r="AE80"/>
    </row>
    <row r="81" spans="3:31" ht="18" customHeight="1">
      <c r="C81" s="21"/>
      <c r="E81" s="71"/>
      <c r="G81" s="21"/>
      <c r="AE81"/>
    </row>
    <row r="82" spans="3:31" ht="18" customHeight="1">
      <c r="C82" s="21"/>
      <c r="E82" s="71"/>
      <c r="G82" s="21"/>
      <c r="AE82"/>
    </row>
    <row r="83" spans="3:31" ht="18" customHeight="1">
      <c r="C83" s="21"/>
      <c r="E83" s="71"/>
      <c r="G83" s="21"/>
      <c r="AE83"/>
    </row>
    <row r="84" spans="3:31" ht="18" customHeight="1">
      <c r="C84" s="21"/>
      <c r="E84" s="71"/>
      <c r="G84" s="21"/>
      <c r="AE84"/>
    </row>
    <row r="85" spans="3:31" ht="18" customHeight="1">
      <c r="C85" s="21"/>
      <c r="E85" s="71"/>
      <c r="G85" s="21"/>
    </row>
    <row r="86" spans="3:31" ht="18" customHeight="1">
      <c r="C86" s="21"/>
      <c r="E86" s="71"/>
      <c r="G86" s="21"/>
    </row>
    <row r="87" spans="3:31" ht="18" customHeight="1">
      <c r="C87" s="21"/>
      <c r="E87" s="71"/>
      <c r="G87" s="21"/>
    </row>
    <row r="88" spans="3:31" ht="18" customHeight="1">
      <c r="C88" s="21"/>
      <c r="E88" s="71"/>
      <c r="G88" s="21"/>
    </row>
    <row r="89" spans="3:31" ht="18" customHeight="1">
      <c r="C89" s="21"/>
      <c r="E89" s="71"/>
      <c r="G89" s="21"/>
    </row>
    <row r="90" spans="3:31" ht="18" customHeight="1">
      <c r="C90" s="21"/>
      <c r="E90" s="71"/>
      <c r="G90" s="21"/>
    </row>
    <row r="91" spans="3:31" ht="18" customHeight="1">
      <c r="C91" s="21"/>
      <c r="E91" s="71"/>
      <c r="G91" s="21"/>
    </row>
    <row r="92" spans="3:31" ht="18" customHeight="1">
      <c r="C92" s="21"/>
      <c r="E92" s="71"/>
      <c r="G92" s="21"/>
    </row>
    <row r="93" spans="3:31" ht="18" customHeight="1">
      <c r="C93" s="21"/>
      <c r="E93" s="71"/>
      <c r="G93" s="21"/>
    </row>
    <row r="94" spans="3:31" ht="18" customHeight="1">
      <c r="C94" s="21"/>
      <c r="E94" s="71"/>
      <c r="G94" s="21"/>
    </row>
    <row r="95" spans="3:31" ht="18" customHeight="1">
      <c r="C95" s="21"/>
      <c r="E95" s="71"/>
      <c r="G95" s="21"/>
    </row>
    <row r="96" spans="3:31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/>
      <c r="E201" s="71" ph="1"/>
      <c r="G201" s="21"/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7" ht="18" customHeight="1">
      <c r="C209" s="21"/>
      <c r="E209" s="71"/>
      <c r="G209" s="79"/>
    </row>
    <row r="210" spans="3:7" ht="18" customHeight="1">
      <c r="C210" s="21"/>
      <c r="E210" s="71"/>
      <c r="G210" s="79"/>
    </row>
    <row r="211" spans="3:7" ht="18" customHeight="1">
      <c r="C211" s="21"/>
      <c r="E211" s="71"/>
      <c r="G211" s="79"/>
    </row>
    <row r="212" spans="3:7" ht="18" customHeight="1">
      <c r="C212" s="21"/>
      <c r="E212" s="71"/>
      <c r="G212" s="79"/>
    </row>
    <row r="213" spans="3:7" ht="18" customHeight="1">
      <c r="C213" s="21"/>
      <c r="E213" s="71"/>
      <c r="G213" s="79"/>
    </row>
    <row r="214" spans="3:7" ht="18" customHeight="1">
      <c r="C214" s="21"/>
      <c r="E214" s="80"/>
      <c r="G214" s="79"/>
    </row>
    <row r="215" spans="3:7" ht="18" customHeight="1">
      <c r="C215" s="21"/>
      <c r="E215" s="80"/>
      <c r="G215" s="79"/>
    </row>
    <row r="216" spans="3:7" ht="18" customHeight="1">
      <c r="C216" s="79"/>
      <c r="E216" s="80"/>
      <c r="G216" s="79"/>
    </row>
    <row r="217" spans="3:7" ht="18" customHeight="1">
      <c r="C217" s="21"/>
      <c r="E217" s="80"/>
      <c r="G217" s="79"/>
    </row>
    <row r="218" spans="3:7" ht="18" customHeight="1">
      <c r="C218" s="79"/>
      <c r="E218" s="80"/>
      <c r="G218" s="79"/>
    </row>
    <row r="219" spans="3:7" ht="18" customHeight="1">
      <c r="C219" s="21"/>
      <c r="E219" s="80"/>
      <c r="G219" s="79"/>
    </row>
    <row r="220" spans="3:7" ht="18" customHeight="1">
      <c r="C220" s="21"/>
      <c r="E220" s="80"/>
      <c r="G220" s="21"/>
    </row>
    <row r="221" spans="3:7" ht="18" customHeight="1">
      <c r="C221" s="21"/>
      <c r="E221" s="80"/>
      <c r="G221" s="21"/>
    </row>
    <row r="222" spans="3:7" ht="18" customHeight="1">
      <c r="C222" s="21"/>
      <c r="E222" s="80"/>
      <c r="G222" s="21"/>
    </row>
    <row r="223" spans="3:7" ht="18" customHeight="1">
      <c r="C223" s="21"/>
      <c r="E223" s="80"/>
      <c r="G223" s="21"/>
    </row>
  </sheetData>
  <autoFilter ref="A13:AE13" xr:uid="{5CADFF98-9D65-4F91-8663-6A193108B839}">
    <sortState xmlns:xlrd2="http://schemas.microsoft.com/office/spreadsheetml/2017/richdata2" ref="A14:AE73">
      <sortCondition ref="B13"/>
    </sortState>
  </autoFilter>
  <sortState xmlns:xlrd2="http://schemas.microsoft.com/office/spreadsheetml/2017/richdata2" ref="A14:AE34">
    <sortCondition ref="B14:B34"/>
  </sortState>
  <phoneticPr fontId="6"/>
  <conditionalFormatting sqref="V14:V73">
    <cfRule type="cellIs" dxfId="7" priority="6" stopIfTrue="1" operator="notBetween">
      <formula>"A"</formula>
      <formula>"Ｂ"</formula>
    </cfRule>
  </conditionalFormatting>
  <conditionalFormatting sqref="W14:W73">
    <cfRule type="cellIs" dxfId="6" priority="5" stopIfTrue="1" operator="between">
      <formula>"-"</formula>
      <formula>"申請中"</formula>
    </cfRule>
  </conditionalFormatting>
  <conditionalFormatting sqref="C14:C73">
    <cfRule type="duplicateValues" dxfId="5" priority="2"/>
  </conditionalFormatting>
  <conditionalFormatting sqref="E14:E73">
    <cfRule type="duplicateValues" dxfId="4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22860</xdr:colOff>
                    <xdr:row>5</xdr:row>
                    <xdr:rowOff>0</xdr:rowOff>
                  </from>
                  <to>
                    <xdr:col>27</xdr:col>
                    <xdr:colOff>198120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14267-9302-48C6-8116-7EFC7F060564}">
  <sheetPr codeName="Sheet40">
    <tabColor rgb="FFFFC000"/>
  </sheetPr>
  <dimension ref="A1:AD223"/>
  <sheetViews>
    <sheetView zoomScale="98" zoomScaleNormal="98" workbookViewId="0">
      <selection activeCell="C20" sqref="C2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6" customFormat="1" ht="18" customHeight="1">
      <c r="A1" s="25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6" customFormat="1" ht="18" customHeight="1">
      <c r="B2" s="27" t="s">
        <v>1</v>
      </c>
      <c r="C2" s="28"/>
      <c r="E2" s="186" t="s">
        <v>2</v>
      </c>
      <c r="F2" s="267"/>
      <c r="G2" s="182">
        <v>46278</v>
      </c>
      <c r="L2" s="29"/>
      <c r="N2" s="27" t="s">
        <v>3</v>
      </c>
      <c r="O2" s="30"/>
      <c r="P2" s="31"/>
      <c r="Q2" s="31"/>
      <c r="R2" s="31"/>
      <c r="S2" s="31"/>
      <c r="T2" s="31"/>
      <c r="Y2"/>
      <c r="Z2"/>
      <c r="AA2"/>
      <c r="AB2"/>
      <c r="AC2"/>
      <c r="AD2"/>
    </row>
    <row r="3" spans="1:30" s="26" customFormat="1" ht="18" customHeight="1">
      <c r="A3" s="32"/>
      <c r="B3" s="27" t="s">
        <v>4</v>
      </c>
      <c r="C3" s="33" t="s">
        <v>1312</v>
      </c>
      <c r="D3" s="31"/>
      <c r="E3" s="187"/>
      <c r="F3" s="31"/>
      <c r="G3" s="162"/>
      <c r="Q3" s="27" t="s">
        <v>5</v>
      </c>
      <c r="R3" s="30"/>
      <c r="S3" s="31"/>
      <c r="T3" s="31"/>
      <c r="U3" s="34"/>
      <c r="Y3"/>
      <c r="Z3"/>
      <c r="AA3"/>
      <c r="AB3"/>
      <c r="AC3"/>
      <c r="AD3"/>
    </row>
    <row r="4" spans="1:30" s="26" customFormat="1" ht="18" customHeight="1">
      <c r="B4" s="27" t="s">
        <v>6</v>
      </c>
      <c r="C4" s="35">
        <v>30</v>
      </c>
      <c r="D4" s="26" t="s">
        <v>7</v>
      </c>
      <c r="E4" s="27" t="s">
        <v>8</v>
      </c>
      <c r="F4" s="268" t="s">
        <v>703</v>
      </c>
      <c r="G4" s="31"/>
      <c r="H4" s="31"/>
      <c r="J4" s="27" t="s">
        <v>9</v>
      </c>
      <c r="K4" s="36" t="s">
        <v>596</v>
      </c>
      <c r="N4" s="27" t="s">
        <v>10</v>
      </c>
      <c r="O4" s="37"/>
      <c r="Y4"/>
      <c r="Z4"/>
      <c r="AA4"/>
      <c r="AB4"/>
      <c r="AC4"/>
      <c r="AD4"/>
    </row>
    <row r="5" spans="1:30" s="26" customFormat="1" ht="18" customHeight="1">
      <c r="C5" s="27" t="s">
        <v>11</v>
      </c>
      <c r="D5" s="28" t="s">
        <v>603</v>
      </c>
      <c r="E5" s="27" t="s">
        <v>12</v>
      </c>
      <c r="F5" s="30"/>
      <c r="G5" s="27" t="s">
        <v>13</v>
      </c>
      <c r="H5" s="73"/>
      <c r="I5" s="38"/>
      <c r="J5" s="39" t="s">
        <v>14</v>
      </c>
      <c r="K5" s="40"/>
      <c r="L5" s="27" t="s">
        <v>15</v>
      </c>
      <c r="M5" s="41"/>
      <c r="O5" s="27" t="s">
        <v>16</v>
      </c>
      <c r="P5" s="41"/>
      <c r="R5" s="27" t="s">
        <v>17</v>
      </c>
      <c r="S5" s="41"/>
      <c r="Y5"/>
      <c r="Z5"/>
      <c r="AA5"/>
      <c r="AB5"/>
      <c r="AC5"/>
      <c r="AD5"/>
    </row>
    <row r="6" spans="1:30" s="26" customFormat="1" ht="35.1" customHeight="1">
      <c r="C6" s="42" t="s">
        <v>18</v>
      </c>
      <c r="D6" s="262" t="s">
        <v>39</v>
      </c>
      <c r="E6" s="27" t="s">
        <v>19</v>
      </c>
      <c r="F6" s="269" t="s">
        <v>20</v>
      </c>
      <c r="I6" s="27" t="s">
        <v>21</v>
      </c>
      <c r="J6" s="39" t="s">
        <v>14</v>
      </c>
      <c r="K6" s="43"/>
      <c r="L6" s="27" t="s">
        <v>22</v>
      </c>
      <c r="M6" s="43"/>
      <c r="O6" s="27" t="s">
        <v>16</v>
      </c>
      <c r="P6" s="43"/>
      <c r="R6" s="27" t="s">
        <v>17</v>
      </c>
      <c r="S6" s="43"/>
      <c r="Y6"/>
      <c r="Z6"/>
      <c r="AA6"/>
      <c r="AB6"/>
      <c r="AC6"/>
      <c r="AD6"/>
    </row>
    <row r="7" spans="1:30" s="26" customFormat="1" ht="15" customHeight="1">
      <c r="A7" s="27" t="s">
        <v>356</v>
      </c>
      <c r="B7" s="76" t="s">
        <v>0</v>
      </c>
      <c r="C7" s="82"/>
      <c r="D7" s="27" t="s">
        <v>357</v>
      </c>
      <c r="E7" s="77"/>
      <c r="F7" s="34"/>
      <c r="I7" s="27"/>
      <c r="J7" s="39"/>
      <c r="K7" s="34"/>
      <c r="L7" s="27"/>
      <c r="M7" s="34"/>
      <c r="N7" s="27"/>
      <c r="O7" s="44"/>
      <c r="Q7" s="27"/>
      <c r="R7" s="45"/>
      <c r="Y7"/>
      <c r="Z7"/>
      <c r="AA7"/>
      <c r="AB7"/>
      <c r="AC7"/>
      <c r="AD7"/>
    </row>
    <row r="8" spans="1:30" s="26" customFormat="1" ht="15" customHeight="1">
      <c r="A8" s="27" t="s">
        <v>358</v>
      </c>
      <c r="B8" s="76" t="s">
        <v>0</v>
      </c>
      <c r="C8" s="75"/>
      <c r="D8" s="27" t="s">
        <v>357</v>
      </c>
      <c r="E8" s="78"/>
      <c r="F8" s="34"/>
      <c r="I8" s="27"/>
      <c r="J8" s="39"/>
      <c r="K8" s="34"/>
      <c r="L8" s="27"/>
      <c r="M8" s="34"/>
      <c r="N8" s="27"/>
      <c r="O8" s="44"/>
      <c r="Q8" s="27"/>
      <c r="R8" s="45"/>
      <c r="S8" s="44"/>
      <c r="T8" s="44"/>
      <c r="Y8"/>
      <c r="Z8"/>
      <c r="AA8"/>
      <c r="AB8"/>
      <c r="AC8"/>
      <c r="AD8"/>
    </row>
    <row r="9" spans="1:30" s="26" customFormat="1" ht="15" customHeight="1">
      <c r="A9" s="27" t="s">
        <v>359</v>
      </c>
      <c r="B9" s="76" t="s">
        <v>0</v>
      </c>
      <c r="C9" s="75"/>
      <c r="D9" s="27" t="s">
        <v>357</v>
      </c>
      <c r="E9" s="78"/>
      <c r="F9" s="34"/>
      <c r="I9" s="27"/>
      <c r="J9" s="39"/>
      <c r="K9" s="34"/>
      <c r="L9" s="27"/>
      <c r="M9" s="34"/>
      <c r="N9" s="27"/>
      <c r="O9" s="44"/>
      <c r="Q9" s="27"/>
      <c r="R9" s="45"/>
      <c r="S9" s="44"/>
      <c r="T9" s="44"/>
      <c r="Y9"/>
      <c r="Z9"/>
      <c r="AA9"/>
      <c r="AB9"/>
      <c r="AC9"/>
      <c r="AD9"/>
    </row>
    <row r="10" spans="1:30" s="26" customFormat="1" ht="15" customHeight="1">
      <c r="A10" s="27" t="s">
        <v>360</v>
      </c>
      <c r="B10" s="76" t="s">
        <v>0</v>
      </c>
      <c r="C10" s="75"/>
      <c r="D10" s="27" t="s">
        <v>357</v>
      </c>
      <c r="E10" s="78"/>
      <c r="F10" s="34"/>
      <c r="I10" s="27"/>
      <c r="J10" s="39"/>
      <c r="K10" s="34"/>
      <c r="L10" s="27"/>
      <c r="M10" s="34"/>
      <c r="N10" s="27"/>
      <c r="O10" s="44"/>
      <c r="Q10" s="27"/>
      <c r="R10" s="45"/>
      <c r="S10" s="44"/>
      <c r="T10" s="44"/>
      <c r="Y10"/>
      <c r="Z10"/>
      <c r="AA10"/>
      <c r="AB10"/>
      <c r="AC10"/>
      <c r="AD10"/>
    </row>
    <row r="11" spans="1:30" s="26" customFormat="1" ht="15" customHeight="1">
      <c r="A11" s="27" t="s">
        <v>361</v>
      </c>
      <c r="B11" s="76" t="s">
        <v>0</v>
      </c>
      <c r="C11" s="75"/>
      <c r="D11" s="27" t="s">
        <v>357</v>
      </c>
      <c r="E11" s="78"/>
      <c r="F11" s="34"/>
      <c r="I11" s="27"/>
      <c r="J11" s="39"/>
      <c r="K11" s="34"/>
      <c r="L11" s="27"/>
      <c r="M11" s="34"/>
      <c r="N11" s="27"/>
      <c r="O11" s="44"/>
      <c r="Q11" s="27"/>
      <c r="R11" s="45"/>
      <c r="S11" s="44"/>
      <c r="T11" s="44"/>
      <c r="V11" s="26">
        <f>COUNTA(C14:C73)</f>
        <v>4</v>
      </c>
      <c r="W11" s="26">
        <f>COUNTA(E14:E73)</f>
        <v>4</v>
      </c>
      <c r="Y11"/>
      <c r="Z11"/>
      <c r="AA11"/>
      <c r="AB11"/>
      <c r="AC11"/>
      <c r="AD11"/>
    </row>
    <row r="12" spans="1:30" ht="15" customHeight="1">
      <c r="A12" s="46"/>
      <c r="B12" s="46"/>
      <c r="C12" s="47"/>
      <c r="D12" s="47"/>
      <c r="E12" s="47"/>
      <c r="F12" s="47"/>
      <c r="G12" s="46"/>
      <c r="H12" s="46"/>
      <c r="I12" s="46"/>
      <c r="J12" s="46"/>
      <c r="K12" s="46"/>
      <c r="L12" s="46"/>
      <c r="M12" s="48"/>
      <c r="N12" s="49"/>
      <c r="O12" s="50"/>
      <c r="P12" s="50"/>
      <c r="Q12" s="51" t="s">
        <v>23</v>
      </c>
      <c r="R12" s="50"/>
      <c r="S12" s="52"/>
      <c r="T12" s="53"/>
      <c r="V12" s="15" t="s">
        <v>50</v>
      </c>
      <c r="W12" s="15" t="s">
        <v>51</v>
      </c>
    </row>
    <row r="13" spans="1:30" ht="35.1" customHeight="1">
      <c r="A13" s="54" t="s">
        <v>24</v>
      </c>
      <c r="B13" s="54" t="s">
        <v>25</v>
      </c>
      <c r="C13" s="55" t="s">
        <v>26</v>
      </c>
      <c r="D13" s="263" t="s">
        <v>0</v>
      </c>
      <c r="E13" s="55" t="s">
        <v>27</v>
      </c>
      <c r="F13" s="263" t="s">
        <v>28</v>
      </c>
      <c r="G13" s="55" t="s">
        <v>29</v>
      </c>
      <c r="H13" s="56" t="s">
        <v>30</v>
      </c>
      <c r="I13" s="55" t="s">
        <v>31</v>
      </c>
      <c r="J13" s="56" t="s">
        <v>32</v>
      </c>
      <c r="K13" s="56" t="s">
        <v>33</v>
      </c>
      <c r="L13" s="56" t="s">
        <v>34</v>
      </c>
      <c r="M13" s="55" t="s">
        <v>35</v>
      </c>
      <c r="N13" s="57" t="s">
        <v>30</v>
      </c>
      <c r="O13" s="58" t="s">
        <v>31</v>
      </c>
      <c r="P13" s="57" t="s">
        <v>32</v>
      </c>
      <c r="Q13" s="57" t="s">
        <v>33</v>
      </c>
      <c r="R13" s="59" t="s">
        <v>36</v>
      </c>
      <c r="S13" s="60" t="s">
        <v>37</v>
      </c>
      <c r="T13" s="61" t="s">
        <v>38</v>
      </c>
      <c r="V13" s="15" t="s">
        <v>56</v>
      </c>
      <c r="W13" s="15" t="s">
        <v>57</v>
      </c>
    </row>
    <row r="14" spans="1:30" s="69" customFormat="1" ht="18" customHeight="1">
      <c r="A14" s="62"/>
      <c r="B14" s="63">
        <v>1</v>
      </c>
      <c r="C14" s="127" t="s">
        <v>659</v>
      </c>
      <c r="D14" s="277">
        <v>12159</v>
      </c>
      <c r="E14" s="160" t="s">
        <v>1338</v>
      </c>
      <c r="F14" s="271">
        <v>61134</v>
      </c>
      <c r="G14" s="127" t="s">
        <v>1337</v>
      </c>
      <c r="H14" s="23"/>
      <c r="I14" s="23"/>
      <c r="J14" s="64" t="str">
        <f>IF(H14="","",H14+I14)</f>
        <v/>
      </c>
      <c r="K14" s="65"/>
      <c r="L14" s="65"/>
      <c r="M14" s="66" t="str">
        <f>IF(L14="","",K14+L14)</f>
        <v/>
      </c>
      <c r="N14" s="23"/>
      <c r="O14" s="23"/>
      <c r="P14" s="64" t="str">
        <f>IF(N14="","",N14+O14)</f>
        <v/>
      </c>
      <c r="Q14" s="65"/>
      <c r="R14" s="65"/>
      <c r="S14" s="66" t="str">
        <f>IF(R14="","",Q14+R14)</f>
        <v/>
      </c>
      <c r="T14" s="67"/>
      <c r="U14" s="68"/>
      <c r="V14" s="18" t="e">
        <f>IF($C14="","",VLOOKUP($C14,#REF!,4,FALSE))</f>
        <v>#REF!</v>
      </c>
      <c r="W14" s="72" t="e">
        <f>IF($E14="","",VLOOKUP($E14,#REF!,4,FALSE))</f>
        <v>#REF!</v>
      </c>
      <c r="Y14" t="s">
        <v>1267</v>
      </c>
      <c r="Z14">
        <v>29554</v>
      </c>
      <c r="AA14" t="s">
        <v>1078</v>
      </c>
      <c r="AB14"/>
      <c r="AC14"/>
      <c r="AD14"/>
    </row>
    <row r="15" spans="1:30" s="69" customFormat="1" ht="18" customHeight="1">
      <c r="A15" s="62"/>
      <c r="B15" s="63">
        <v>2</v>
      </c>
      <c r="C15" s="125" t="s">
        <v>1488</v>
      </c>
      <c r="D15" s="265">
        <v>25255</v>
      </c>
      <c r="E15" s="125" t="s">
        <v>1522</v>
      </c>
      <c r="F15" s="271">
        <v>59824</v>
      </c>
      <c r="G15" s="122" t="s">
        <v>1490</v>
      </c>
      <c r="H15" s="23"/>
      <c r="I15" s="23"/>
      <c r="J15" s="64" t="str">
        <f>IF(H15="","",H15+I15)</f>
        <v/>
      </c>
      <c r="K15" s="65"/>
      <c r="L15" s="65"/>
      <c r="M15" s="66" t="str">
        <f>IF(L15="","",K15+L15)</f>
        <v/>
      </c>
      <c r="N15" s="23"/>
      <c r="O15" s="23"/>
      <c r="P15" s="64" t="str">
        <f>IF(N15="","",N15+O15)</f>
        <v/>
      </c>
      <c r="Q15" s="65"/>
      <c r="R15" s="65"/>
      <c r="S15" s="66" t="str">
        <f>IF(R15="","",Q15+R15)</f>
        <v/>
      </c>
      <c r="T15" s="67"/>
      <c r="U15" s="68"/>
      <c r="V15" s="18" t="e">
        <f>IF($C15="","",VLOOKUP($C15,#REF!,4,FALSE))</f>
        <v>#REF!</v>
      </c>
      <c r="W15" s="72" t="e">
        <f>IF($E15="","",VLOOKUP($E15,#REF!,4,FALSE))</f>
        <v>#REF!</v>
      </c>
      <c r="Y15" t="s">
        <v>1172</v>
      </c>
      <c r="Z15">
        <v>31794</v>
      </c>
      <c r="AA15" t="s">
        <v>861</v>
      </c>
      <c r="AB15" t="s">
        <v>636</v>
      </c>
      <c r="AC15">
        <v>53980</v>
      </c>
      <c r="AD15" t="s">
        <v>869</v>
      </c>
    </row>
    <row r="16" spans="1:30" s="69" customFormat="1" ht="18" customHeight="1">
      <c r="A16" s="62"/>
      <c r="B16" s="63">
        <v>3</v>
      </c>
      <c r="C16" s="121" t="s">
        <v>1436</v>
      </c>
      <c r="D16" s="278">
        <v>28108</v>
      </c>
      <c r="E16" s="148" t="s">
        <v>1525</v>
      </c>
      <c r="F16" s="282">
        <v>60249</v>
      </c>
      <c r="G16" s="167" t="s">
        <v>1417</v>
      </c>
      <c r="H16" s="23"/>
      <c r="I16" s="23"/>
      <c r="J16" s="64" t="str">
        <f>IF(H16="","",H16+I16)</f>
        <v/>
      </c>
      <c r="K16" s="65"/>
      <c r="L16" s="65"/>
      <c r="M16" s="66" t="str">
        <f>IF(L16="","",K16+L16)</f>
        <v/>
      </c>
      <c r="N16" s="23"/>
      <c r="O16" s="23"/>
      <c r="P16" s="64" t="str">
        <f>IF(N16="","",N16+O16)</f>
        <v/>
      </c>
      <c r="Q16" s="65"/>
      <c r="R16" s="65"/>
      <c r="S16" s="66" t="str">
        <f>IF(R16="","",Q16+R16)</f>
        <v/>
      </c>
      <c r="T16" s="67"/>
      <c r="U16" s="68"/>
      <c r="V16" s="18" t="e">
        <f>IF($C16="","",VLOOKUP($C16,#REF!,4,FALSE))</f>
        <v>#REF!</v>
      </c>
      <c r="W16" s="72" t="e">
        <f>IF($E16="","",VLOOKUP($E16,#REF!,4,FALSE))</f>
        <v>#REF!</v>
      </c>
      <c r="Y16" t="s">
        <v>1264</v>
      </c>
      <c r="Z16">
        <v>33099</v>
      </c>
      <c r="AA16" t="s">
        <v>1072</v>
      </c>
      <c r="AB16" t="s">
        <v>652</v>
      </c>
      <c r="AC16">
        <v>60545</v>
      </c>
      <c r="AD16" t="s">
        <v>1075</v>
      </c>
    </row>
    <row r="17" spans="1:30" s="69" customFormat="1" ht="18" customHeight="1">
      <c r="A17" s="62" t="s">
        <v>1465</v>
      </c>
      <c r="B17" s="63">
        <v>4</v>
      </c>
      <c r="C17" s="125" t="s">
        <v>1487</v>
      </c>
      <c r="D17" s="265" t="s">
        <v>1324</v>
      </c>
      <c r="E17" s="125" t="s">
        <v>1408</v>
      </c>
      <c r="F17" s="271">
        <v>58208</v>
      </c>
      <c r="G17" s="122" t="s">
        <v>1397</v>
      </c>
      <c r="H17" s="23"/>
      <c r="I17" s="23"/>
      <c r="J17" s="64" t="str">
        <f>IF(H17="","",H17+I17)</f>
        <v/>
      </c>
      <c r="K17" s="65"/>
      <c r="L17" s="65"/>
      <c r="M17" s="66" t="str">
        <f>IF(L17="","",K17+L17)</f>
        <v/>
      </c>
      <c r="N17" s="23"/>
      <c r="O17" s="23"/>
      <c r="P17" s="64" t="str">
        <f>IF(N17="","",N17+O17)</f>
        <v/>
      </c>
      <c r="Q17" s="65"/>
      <c r="R17" s="65"/>
      <c r="S17" s="66" t="str">
        <f>IF(R17="","",Q17+R17)</f>
        <v/>
      </c>
      <c r="T17" s="67"/>
      <c r="U17" s="68"/>
      <c r="V17" s="18" t="e">
        <f>IF($C17="","",VLOOKUP($C17,#REF!,4,FALSE))</f>
        <v>#REF!</v>
      </c>
      <c r="W17" s="72" t="e">
        <f>IF($E17="","",VLOOKUP($E17,#REF!,4,FALSE))</f>
        <v>#REF!</v>
      </c>
      <c r="Y17"/>
      <c r="Z17"/>
      <c r="AA17"/>
      <c r="AB17" t="s">
        <v>647</v>
      </c>
      <c r="AC17">
        <v>60987</v>
      </c>
      <c r="AD17" t="s">
        <v>850</v>
      </c>
    </row>
    <row r="18" spans="1:30" s="69" customFormat="1" ht="18" customHeight="1">
      <c r="A18" s="62"/>
      <c r="B18" s="63">
        <v>5</v>
      </c>
      <c r="C18" s="121"/>
      <c r="D18" s="278"/>
      <c r="E18" s="148"/>
      <c r="F18" s="282"/>
      <c r="G18" s="184"/>
      <c r="H18" s="23"/>
      <c r="I18" s="23"/>
      <c r="J18" s="64" t="str">
        <f t="shared" ref="J18:J22" si="0">IF(H18="","",H18+I18)</f>
        <v/>
      </c>
      <c r="K18" s="65"/>
      <c r="L18" s="65"/>
      <c r="M18" s="66" t="str">
        <f t="shared" ref="M18:M22" si="1">IF(L18="","",K18+L18)</f>
        <v/>
      </c>
      <c r="N18" s="23"/>
      <c r="O18" s="23"/>
      <c r="P18" s="64" t="str">
        <f t="shared" ref="P18:P22" si="2">IF(N18="","",N18+O18)</f>
        <v/>
      </c>
      <c r="Q18" s="65"/>
      <c r="R18" s="65"/>
      <c r="S18" s="66" t="str">
        <f t="shared" ref="S18:S22" si="3">IF(R18="","",Q18+R18)</f>
        <v/>
      </c>
      <c r="T18" s="67"/>
      <c r="U18" s="68"/>
      <c r="V18" s="18" t="str">
        <f>IF($C18="","",VLOOKUP($C18,#REF!,4,FALSE))</f>
        <v/>
      </c>
      <c r="W18" s="72" t="str">
        <f>IF($E18="","",VLOOKUP($E18,#REF!,4,FALSE))</f>
        <v/>
      </c>
      <c r="Y18" t="s">
        <v>1268</v>
      </c>
      <c r="Z18">
        <v>30746</v>
      </c>
      <c r="AA18" t="s">
        <v>1079</v>
      </c>
      <c r="AB18"/>
      <c r="AC18"/>
      <c r="AD18"/>
    </row>
    <row r="19" spans="1:30" s="69" customFormat="1" ht="18" customHeight="1">
      <c r="A19" s="62"/>
      <c r="B19" s="63">
        <v>6</v>
      </c>
      <c r="C19" s="127"/>
      <c r="D19" s="277"/>
      <c r="E19" s="160"/>
      <c r="F19" s="283"/>
      <c r="G19" s="127"/>
      <c r="H19" s="23"/>
      <c r="I19" s="23"/>
      <c r="J19" s="64" t="str">
        <f t="shared" si="0"/>
        <v/>
      </c>
      <c r="K19" s="65"/>
      <c r="L19" s="65"/>
      <c r="M19" s="66" t="str">
        <f t="shared" si="1"/>
        <v/>
      </c>
      <c r="N19" s="23"/>
      <c r="O19" s="23"/>
      <c r="P19" s="64" t="str">
        <f t="shared" si="2"/>
        <v/>
      </c>
      <c r="Q19" s="65"/>
      <c r="R19" s="65"/>
      <c r="S19" s="66" t="str">
        <f t="shared" si="3"/>
        <v/>
      </c>
      <c r="T19" s="67"/>
      <c r="U19" s="68"/>
      <c r="V19" s="18" t="str">
        <f>IF($C19="","",VLOOKUP($C19,#REF!,4,FALSE))</f>
        <v/>
      </c>
      <c r="W19" s="72" t="str">
        <f>IF($E19="","",VLOOKUP($E19,#REF!,4,FALSE))</f>
        <v/>
      </c>
      <c r="Y19" t="s">
        <v>1081</v>
      </c>
      <c r="Z19">
        <v>30169</v>
      </c>
      <c r="AA19" t="s">
        <v>706</v>
      </c>
      <c r="AB19" t="s">
        <v>694</v>
      </c>
      <c r="AC19">
        <v>60449</v>
      </c>
      <c r="AD19" t="s">
        <v>1080</v>
      </c>
    </row>
    <row r="20" spans="1:30" s="69" customFormat="1" ht="18" customHeight="1">
      <c r="A20" s="62"/>
      <c r="B20" s="63">
        <v>7</v>
      </c>
      <c r="C20" s="114"/>
      <c r="D20" s="279"/>
      <c r="E20" s="110"/>
      <c r="F20" s="284"/>
      <c r="G20" s="117"/>
      <c r="H20" s="23"/>
      <c r="I20" s="23"/>
      <c r="J20" s="64" t="str">
        <f t="shared" si="0"/>
        <v/>
      </c>
      <c r="K20" s="65"/>
      <c r="L20" s="65"/>
      <c r="M20" s="66" t="str">
        <f t="shared" si="1"/>
        <v/>
      </c>
      <c r="N20" s="23"/>
      <c r="O20" s="23"/>
      <c r="P20" s="64" t="str">
        <f t="shared" si="2"/>
        <v/>
      </c>
      <c r="Q20" s="65"/>
      <c r="R20" s="65"/>
      <c r="S20" s="66" t="str">
        <f t="shared" si="3"/>
        <v/>
      </c>
      <c r="T20" s="67"/>
      <c r="U20" s="68"/>
      <c r="V20" s="18" t="str">
        <f>IF($C20="","",VLOOKUP($C20,#REF!,4,FALSE))</f>
        <v/>
      </c>
      <c r="W20" s="72" t="str">
        <f>IF($E20="","",VLOOKUP($E20,#REF!,4,FALSE))</f>
        <v/>
      </c>
      <c r="Y20"/>
      <c r="Z20"/>
      <c r="AA20"/>
      <c r="AB20"/>
      <c r="AC20"/>
      <c r="AD20"/>
    </row>
    <row r="21" spans="1:30" s="69" customFormat="1" ht="18" customHeight="1">
      <c r="A21" s="62"/>
      <c r="B21" s="63">
        <v>8</v>
      </c>
      <c r="C21" s="111"/>
      <c r="D21" s="280"/>
      <c r="E21" s="112"/>
      <c r="F21" s="284"/>
      <c r="G21" s="113"/>
      <c r="H21" s="23"/>
      <c r="I21" s="23"/>
      <c r="J21" s="64" t="str">
        <f t="shared" si="0"/>
        <v/>
      </c>
      <c r="K21" s="65"/>
      <c r="L21" s="65"/>
      <c r="M21" s="66" t="str">
        <f t="shared" si="1"/>
        <v/>
      </c>
      <c r="N21" s="23"/>
      <c r="O21" s="23"/>
      <c r="P21" s="64" t="str">
        <f t="shared" si="2"/>
        <v/>
      </c>
      <c r="Q21" s="65"/>
      <c r="R21" s="65"/>
      <c r="S21" s="66" t="str">
        <f t="shared" si="3"/>
        <v/>
      </c>
      <c r="T21" s="67"/>
      <c r="U21" s="68"/>
      <c r="V21" s="18" t="str">
        <f>IF($C21="","",VLOOKUP($C21,#REF!,4,FALSE))</f>
        <v/>
      </c>
      <c r="W21" s="72" t="str">
        <f>IF($E21="","",VLOOKUP($E21,#REF!,4,FALSE))</f>
        <v/>
      </c>
      <c r="Y21"/>
      <c r="Z21"/>
      <c r="AA21"/>
      <c r="AB21"/>
      <c r="AC21"/>
      <c r="AD21"/>
    </row>
    <row r="22" spans="1:30" s="69" customFormat="1" ht="18" customHeight="1">
      <c r="A22" s="62"/>
      <c r="B22" s="63">
        <v>9</v>
      </c>
      <c r="C22" s="109"/>
      <c r="D22" s="281"/>
      <c r="E22" s="110"/>
      <c r="F22" s="285"/>
      <c r="G22" s="109"/>
      <c r="H22" s="23"/>
      <c r="I22" s="23"/>
      <c r="J22" s="64" t="str">
        <f t="shared" si="0"/>
        <v/>
      </c>
      <c r="K22" s="65"/>
      <c r="L22" s="65"/>
      <c r="M22" s="66" t="str">
        <f t="shared" si="1"/>
        <v/>
      </c>
      <c r="N22" s="23"/>
      <c r="O22" s="23"/>
      <c r="P22" s="64" t="str">
        <f t="shared" si="2"/>
        <v/>
      </c>
      <c r="Q22" s="65"/>
      <c r="R22" s="65"/>
      <c r="S22" s="66" t="str">
        <f t="shared" si="3"/>
        <v/>
      </c>
      <c r="T22" s="67"/>
      <c r="U22" s="68"/>
      <c r="V22" s="18" t="str">
        <f>IF($C22="","",VLOOKUP($C22,#REF!,4,FALSE))</f>
        <v/>
      </c>
      <c r="W22" s="72" t="str">
        <f>IF($E22="","",VLOOKUP($E22,#REF!,4,FALSE))</f>
        <v/>
      </c>
      <c r="Y22"/>
      <c r="Z22"/>
      <c r="AA22"/>
      <c r="AB22"/>
      <c r="AC22"/>
      <c r="AD22"/>
    </row>
    <row r="23" spans="1:30" s="69" customFormat="1" ht="18" customHeight="1">
      <c r="A23" s="62"/>
      <c r="B23" s="63">
        <v>10</v>
      </c>
      <c r="C23" s="109"/>
      <c r="D23" s="281"/>
      <c r="E23" s="110"/>
      <c r="F23" s="285"/>
      <c r="G23" s="115"/>
      <c r="H23" s="23"/>
      <c r="I23" s="23"/>
      <c r="J23" s="64" t="str">
        <f t="shared" ref="J23" si="4">IF(H23="","",H23+I23)</f>
        <v/>
      </c>
      <c r="K23" s="65"/>
      <c r="L23" s="65"/>
      <c r="M23" s="66" t="str">
        <f t="shared" ref="M23" si="5">IF(L23="","",K23+L23)</f>
        <v/>
      </c>
      <c r="N23" s="23"/>
      <c r="O23" s="23"/>
      <c r="P23" s="64" t="str">
        <f t="shared" ref="P23" si="6">IF(N23="","",N23+O23)</f>
        <v/>
      </c>
      <c r="Q23" s="65"/>
      <c r="R23" s="65"/>
      <c r="S23" s="66" t="str">
        <f t="shared" ref="S23" si="7">IF(R23="","",Q23+R23)</f>
        <v/>
      </c>
      <c r="T23" s="67"/>
      <c r="U23" s="68"/>
      <c r="V23" s="18" t="str">
        <f>IF($C23="","",VLOOKUP($C23,#REF!,4,FALSE))</f>
        <v/>
      </c>
      <c r="W23" s="72" t="str">
        <f>IF($E23="","",VLOOKUP($E23,#REF!,4,FALSE))</f>
        <v/>
      </c>
      <c r="Y23"/>
      <c r="Z23"/>
      <c r="AA23"/>
      <c r="AB23"/>
      <c r="AC23"/>
      <c r="AD23"/>
    </row>
    <row r="24" spans="1:30" s="69" customFormat="1" ht="18" customHeight="1">
      <c r="A24" s="62"/>
      <c r="B24" s="63">
        <v>11</v>
      </c>
      <c r="C24" s="111"/>
      <c r="D24" s="280"/>
      <c r="E24" s="112"/>
      <c r="F24" s="284"/>
      <c r="G24" s="111"/>
      <c r="H24" s="23"/>
      <c r="I24" s="23"/>
      <c r="J24" s="64" t="str">
        <f t="shared" ref="J24:J73" si="8">IF(H24="","",H24+I24)</f>
        <v/>
      </c>
      <c r="K24" s="65"/>
      <c r="L24" s="65"/>
      <c r="M24" s="66" t="str">
        <f t="shared" ref="M24:M73" si="9">IF(L24="","",K24+L24)</f>
        <v/>
      </c>
      <c r="N24" s="23"/>
      <c r="O24" s="23"/>
      <c r="P24" s="64" t="str">
        <f t="shared" ref="P24:P73" si="10">IF(N24="","",N24+O24)</f>
        <v/>
      </c>
      <c r="Q24" s="65"/>
      <c r="R24" s="65"/>
      <c r="S24" s="66" t="str">
        <f t="shared" ref="S24:S73" si="11">IF(R24="","",Q24+R24)</f>
        <v/>
      </c>
      <c r="T24" s="67"/>
      <c r="U24" s="68"/>
      <c r="V24" s="18" t="str">
        <f>IF($C24="","",VLOOKUP($C24,#REF!,4,FALSE))</f>
        <v/>
      </c>
      <c r="W24" s="72" t="str">
        <f>IF($E24="","",VLOOKUP($E24,#REF!,4,FALSE))</f>
        <v/>
      </c>
      <c r="Y24"/>
      <c r="Z24"/>
      <c r="AA24"/>
      <c r="AB24"/>
      <c r="AC24"/>
      <c r="AD24"/>
    </row>
    <row r="25" spans="1:30" s="69" customFormat="1" ht="18" customHeight="1">
      <c r="A25" s="62"/>
      <c r="B25" s="63">
        <v>12</v>
      </c>
      <c r="C25" s="22"/>
      <c r="D25" s="266"/>
      <c r="E25" s="22"/>
      <c r="F25" s="276"/>
      <c r="G25" s="24"/>
      <c r="H25" s="23"/>
      <c r="I25" s="23"/>
      <c r="J25" s="64" t="str">
        <f t="shared" si="8"/>
        <v/>
      </c>
      <c r="K25" s="65"/>
      <c r="L25" s="65"/>
      <c r="M25" s="66" t="str">
        <f t="shared" si="9"/>
        <v/>
      </c>
      <c r="N25" s="23"/>
      <c r="O25" s="23"/>
      <c r="P25" s="64" t="str">
        <f t="shared" si="10"/>
        <v/>
      </c>
      <c r="Q25" s="65"/>
      <c r="R25" s="65"/>
      <c r="S25" s="66" t="str">
        <f t="shared" si="11"/>
        <v/>
      </c>
      <c r="T25" s="67"/>
      <c r="U25" s="68"/>
      <c r="V25" s="18" t="str">
        <f>IF($C25="","",VLOOKUP($C25,#REF!,4,FALSE))</f>
        <v/>
      </c>
      <c r="W25" s="72" t="str">
        <f>IF($E25="","",VLOOKUP($E25,#REF!,4,FALSE))</f>
        <v/>
      </c>
      <c r="Y25"/>
      <c r="Z25"/>
      <c r="AA25"/>
      <c r="AB25"/>
      <c r="AC25"/>
      <c r="AD25"/>
    </row>
    <row r="26" spans="1:30" s="69" customFormat="1" ht="18" customHeight="1">
      <c r="A26" s="62"/>
      <c r="B26" s="63">
        <v>13</v>
      </c>
      <c r="C26" s="22"/>
      <c r="D26" s="266"/>
      <c r="E26" s="22"/>
      <c r="F26" s="276"/>
      <c r="G26" s="24"/>
      <c r="H26" s="23"/>
      <c r="I26" s="23"/>
      <c r="J26" s="64" t="str">
        <f t="shared" si="8"/>
        <v/>
      </c>
      <c r="K26" s="65"/>
      <c r="L26" s="65"/>
      <c r="M26" s="66" t="str">
        <f t="shared" si="9"/>
        <v/>
      </c>
      <c r="N26" s="23"/>
      <c r="O26" s="23"/>
      <c r="P26" s="64" t="str">
        <f t="shared" si="10"/>
        <v/>
      </c>
      <c r="Q26" s="65"/>
      <c r="R26" s="65"/>
      <c r="S26" s="66" t="str">
        <f t="shared" si="11"/>
        <v/>
      </c>
      <c r="T26" s="67"/>
      <c r="U26" s="68"/>
      <c r="V26" s="18" t="str">
        <f>IF($C26="","",VLOOKUP($C26,#REF!,4,FALSE))</f>
        <v/>
      </c>
      <c r="W26" s="72" t="str">
        <f>IF($E26="","",VLOOKUP($E26,#REF!,4,FALSE))</f>
        <v/>
      </c>
      <c r="Y26"/>
      <c r="Z26"/>
      <c r="AA26"/>
      <c r="AB26"/>
      <c r="AC26"/>
      <c r="AD26"/>
    </row>
    <row r="27" spans="1:30" s="69" customFormat="1" ht="18" customHeight="1">
      <c r="A27" s="62"/>
      <c r="B27" s="63">
        <v>14</v>
      </c>
      <c r="C27" s="22"/>
      <c r="D27" s="266" t="s">
        <v>408</v>
      </c>
      <c r="E27" s="22"/>
      <c r="F27" s="276" t="s">
        <v>408</v>
      </c>
      <c r="G27" s="24"/>
      <c r="H27" s="23"/>
      <c r="I27" s="23"/>
      <c r="J27" s="64" t="str">
        <f t="shared" si="8"/>
        <v/>
      </c>
      <c r="K27" s="65"/>
      <c r="L27" s="65"/>
      <c r="M27" s="66" t="str">
        <f t="shared" si="9"/>
        <v/>
      </c>
      <c r="N27" s="23"/>
      <c r="O27" s="23"/>
      <c r="P27" s="64" t="str">
        <f t="shared" si="10"/>
        <v/>
      </c>
      <c r="Q27" s="65"/>
      <c r="R27" s="65"/>
      <c r="S27" s="66" t="str">
        <f t="shared" si="11"/>
        <v/>
      </c>
      <c r="T27" s="67"/>
      <c r="U27" s="68"/>
      <c r="V27" s="18" t="str">
        <f>IF($C27="","",VLOOKUP($C27,#REF!,4,FALSE))</f>
        <v/>
      </c>
      <c r="W27" s="72" t="str">
        <f>IF($E27="","",VLOOKUP($E27,#REF!,4,FALSE))</f>
        <v/>
      </c>
      <c r="Y27"/>
      <c r="Z27"/>
      <c r="AA27"/>
      <c r="AB27"/>
      <c r="AC27"/>
      <c r="AD27"/>
    </row>
    <row r="28" spans="1:30" s="69" customFormat="1" ht="18" customHeight="1">
      <c r="A28" s="62"/>
      <c r="B28" s="63">
        <v>15</v>
      </c>
      <c r="C28" s="22"/>
      <c r="D28" s="266" t="s">
        <v>408</v>
      </c>
      <c r="E28" s="22"/>
      <c r="F28" s="276" t="s">
        <v>408</v>
      </c>
      <c r="G28" s="24"/>
      <c r="H28" s="23"/>
      <c r="I28" s="23"/>
      <c r="J28" s="64" t="str">
        <f t="shared" si="8"/>
        <v/>
      </c>
      <c r="K28" s="65"/>
      <c r="L28" s="65"/>
      <c r="M28" s="66" t="str">
        <f t="shared" si="9"/>
        <v/>
      </c>
      <c r="N28" s="23"/>
      <c r="O28" s="23"/>
      <c r="P28" s="64" t="str">
        <f t="shared" si="10"/>
        <v/>
      </c>
      <c r="Q28" s="65"/>
      <c r="R28" s="65"/>
      <c r="S28" s="66" t="str">
        <f t="shared" si="11"/>
        <v/>
      </c>
      <c r="T28" s="67"/>
      <c r="U28" s="68"/>
      <c r="V28" s="18" t="str">
        <f>IF($C28="","",VLOOKUP($C28,#REF!,4,FALSE))</f>
        <v/>
      </c>
      <c r="W28" s="72" t="str">
        <f>IF($E28="","",VLOOKUP($E28,#REF!,4,FALSE))</f>
        <v/>
      </c>
      <c r="Y28"/>
      <c r="Z28"/>
      <c r="AA28"/>
      <c r="AB28"/>
      <c r="AC28"/>
      <c r="AD28"/>
    </row>
    <row r="29" spans="1:30" s="69" customFormat="1" ht="18" customHeight="1">
      <c r="A29" s="62"/>
      <c r="B29" s="63">
        <v>16</v>
      </c>
      <c r="C29" s="22"/>
      <c r="D29" s="266" t="s">
        <v>408</v>
      </c>
      <c r="E29" s="22"/>
      <c r="F29" s="276" t="s">
        <v>408</v>
      </c>
      <c r="G29" s="24"/>
      <c r="H29" s="23"/>
      <c r="I29" s="23"/>
      <c r="J29" s="64" t="str">
        <f t="shared" si="8"/>
        <v/>
      </c>
      <c r="K29" s="65"/>
      <c r="L29" s="65"/>
      <c r="M29" s="66" t="str">
        <f t="shared" si="9"/>
        <v/>
      </c>
      <c r="N29" s="23"/>
      <c r="O29" s="23"/>
      <c r="P29" s="64" t="str">
        <f t="shared" si="10"/>
        <v/>
      </c>
      <c r="Q29" s="65"/>
      <c r="R29" s="65"/>
      <c r="S29" s="66" t="str">
        <f t="shared" si="11"/>
        <v/>
      </c>
      <c r="T29" s="67"/>
      <c r="U29" s="68"/>
      <c r="V29" s="18" t="str">
        <f>IF($C29="","",VLOOKUP($C29,#REF!,4,FALSE))</f>
        <v/>
      </c>
      <c r="W29" s="72" t="str">
        <f>IF($E29="","",VLOOKUP($E29,#REF!,4,FALSE))</f>
        <v/>
      </c>
      <c r="Y29"/>
      <c r="Z29"/>
      <c r="AA29"/>
      <c r="AB29"/>
      <c r="AC29"/>
      <c r="AD29"/>
    </row>
    <row r="30" spans="1:30" s="69" customFormat="1" ht="18" customHeight="1">
      <c r="A30" s="62"/>
      <c r="B30" s="63">
        <v>17</v>
      </c>
      <c r="C30" s="22"/>
      <c r="D30" s="266" t="s">
        <v>408</v>
      </c>
      <c r="E30" s="22"/>
      <c r="F30" s="284"/>
      <c r="G30" s="24"/>
      <c r="H30" s="23"/>
      <c r="I30" s="23"/>
      <c r="J30" s="64" t="str">
        <f t="shared" si="8"/>
        <v/>
      </c>
      <c r="K30" s="65"/>
      <c r="L30" s="65"/>
      <c r="M30" s="66" t="str">
        <f t="shared" si="9"/>
        <v/>
      </c>
      <c r="N30" s="23"/>
      <c r="O30" s="23"/>
      <c r="P30" s="64" t="str">
        <f t="shared" si="10"/>
        <v/>
      </c>
      <c r="Q30" s="65"/>
      <c r="R30" s="65"/>
      <c r="S30" s="66" t="str">
        <f t="shared" si="11"/>
        <v/>
      </c>
      <c r="T30" s="67"/>
      <c r="U30" s="68"/>
      <c r="V30" s="18" t="str">
        <f>IF($C30="","",VLOOKUP($C30,#REF!,4,FALSE))</f>
        <v/>
      </c>
      <c r="W30" s="72" t="str">
        <f>IF($E30="","",VLOOKUP($E30,#REF!,4,FALSE))</f>
        <v/>
      </c>
      <c r="Y30"/>
      <c r="Z30"/>
      <c r="AA30"/>
      <c r="AB30"/>
      <c r="AC30"/>
      <c r="AD30"/>
    </row>
    <row r="31" spans="1:30" s="69" customFormat="1" ht="18" customHeight="1">
      <c r="A31" s="62"/>
      <c r="B31" s="63">
        <v>18</v>
      </c>
      <c r="C31" s="22"/>
      <c r="D31" s="266" t="s">
        <v>408</v>
      </c>
      <c r="E31" s="22"/>
      <c r="F31" s="276" t="s">
        <v>408</v>
      </c>
      <c r="G31" s="24"/>
      <c r="H31" s="23"/>
      <c r="I31" s="23"/>
      <c r="J31" s="64" t="str">
        <f t="shared" si="8"/>
        <v/>
      </c>
      <c r="K31" s="65"/>
      <c r="L31" s="65"/>
      <c r="M31" s="66" t="str">
        <f t="shared" si="9"/>
        <v/>
      </c>
      <c r="N31" s="23"/>
      <c r="O31" s="23"/>
      <c r="P31" s="64" t="str">
        <f t="shared" si="10"/>
        <v/>
      </c>
      <c r="Q31" s="65"/>
      <c r="R31" s="65"/>
      <c r="S31" s="66" t="str">
        <f t="shared" si="11"/>
        <v/>
      </c>
      <c r="T31" s="67"/>
      <c r="U31" s="68"/>
      <c r="V31" s="18" t="str">
        <f>IF($C31="","",VLOOKUP($C31,#REF!,4,FALSE))</f>
        <v/>
      </c>
      <c r="W31" s="72" t="str">
        <f>IF($E31="","",VLOOKUP($E31,#REF!,4,FALSE))</f>
        <v/>
      </c>
      <c r="Y31"/>
      <c r="Z31"/>
      <c r="AA31"/>
      <c r="AB31"/>
      <c r="AC31"/>
      <c r="AD31"/>
    </row>
    <row r="32" spans="1:30" s="69" customFormat="1" ht="18" customHeight="1">
      <c r="A32" s="62"/>
      <c r="B32" s="63">
        <v>19</v>
      </c>
      <c r="C32" s="22"/>
      <c r="D32" s="266" t="s">
        <v>408</v>
      </c>
      <c r="E32" s="22"/>
      <c r="F32" s="276" t="s">
        <v>408</v>
      </c>
      <c r="G32" s="24"/>
      <c r="H32" s="23"/>
      <c r="I32" s="23"/>
      <c r="J32" s="64" t="str">
        <f t="shared" si="8"/>
        <v/>
      </c>
      <c r="K32" s="65"/>
      <c r="L32" s="65"/>
      <c r="M32" s="66" t="str">
        <f t="shared" si="9"/>
        <v/>
      </c>
      <c r="N32" s="23"/>
      <c r="O32" s="23"/>
      <c r="P32" s="64" t="str">
        <f t="shared" si="10"/>
        <v/>
      </c>
      <c r="Q32" s="65"/>
      <c r="R32" s="65"/>
      <c r="S32" s="66" t="str">
        <f t="shared" si="11"/>
        <v/>
      </c>
      <c r="T32" s="67"/>
      <c r="U32" s="68"/>
      <c r="V32" s="18" t="str">
        <f>IF($C32="","",VLOOKUP($C32,#REF!,4,FALSE))</f>
        <v/>
      </c>
      <c r="W32" s="72" t="str">
        <f>IF($E32="","",VLOOKUP($E32,#REF!,4,FALSE))</f>
        <v/>
      </c>
      <c r="Y32"/>
      <c r="Z32"/>
      <c r="AA32"/>
      <c r="AB32"/>
      <c r="AC32"/>
      <c r="AD32"/>
    </row>
    <row r="33" spans="1:30" s="69" customFormat="1" ht="18" customHeight="1">
      <c r="A33" s="62"/>
      <c r="B33" s="63">
        <v>20</v>
      </c>
      <c r="C33" s="22"/>
      <c r="D33" s="266" t="s">
        <v>408</v>
      </c>
      <c r="E33" s="22"/>
      <c r="F33" s="276" t="s">
        <v>408</v>
      </c>
      <c r="G33" s="24"/>
      <c r="H33" s="23"/>
      <c r="I33" s="23"/>
      <c r="J33" s="64" t="str">
        <f t="shared" si="8"/>
        <v/>
      </c>
      <c r="K33" s="65"/>
      <c r="L33" s="65"/>
      <c r="M33" s="66" t="str">
        <f t="shared" si="9"/>
        <v/>
      </c>
      <c r="N33" s="23"/>
      <c r="O33" s="23"/>
      <c r="P33" s="64" t="str">
        <f t="shared" si="10"/>
        <v/>
      </c>
      <c r="Q33" s="65"/>
      <c r="R33" s="65"/>
      <c r="S33" s="66" t="str">
        <f t="shared" si="11"/>
        <v/>
      </c>
      <c r="T33" s="67"/>
      <c r="U33" s="68"/>
      <c r="V33" s="18" t="str">
        <f>IF($C33="","",VLOOKUP($C33,#REF!,4,FALSE))</f>
        <v/>
      </c>
      <c r="W33" s="72" t="str">
        <f>IF($E33="","",VLOOKUP($E33,#REF!,4,FALSE))</f>
        <v/>
      </c>
      <c r="Y33"/>
      <c r="Z33"/>
      <c r="AA33"/>
      <c r="AB33"/>
      <c r="AC33"/>
      <c r="AD33"/>
    </row>
    <row r="34" spans="1:30" s="69" customFormat="1" ht="18" customHeight="1">
      <c r="A34" s="62"/>
      <c r="B34" s="63">
        <v>21</v>
      </c>
      <c r="C34" s="22"/>
      <c r="D34" s="266" t="s">
        <v>408</v>
      </c>
      <c r="E34" s="22"/>
      <c r="F34" s="276" t="s">
        <v>408</v>
      </c>
      <c r="G34" s="24"/>
      <c r="H34" s="23"/>
      <c r="I34" s="23"/>
      <c r="J34" s="64" t="str">
        <f t="shared" si="8"/>
        <v/>
      </c>
      <c r="K34" s="65"/>
      <c r="L34" s="65"/>
      <c r="M34" s="66" t="str">
        <f t="shared" si="9"/>
        <v/>
      </c>
      <c r="N34" s="23"/>
      <c r="O34" s="23"/>
      <c r="P34" s="64" t="str">
        <f t="shared" si="10"/>
        <v/>
      </c>
      <c r="Q34" s="65"/>
      <c r="R34" s="65"/>
      <c r="S34" s="66" t="str">
        <f t="shared" si="11"/>
        <v/>
      </c>
      <c r="T34" s="67"/>
      <c r="U34" s="68"/>
      <c r="V34" s="18" t="str">
        <f>IF($C34="","",VLOOKUP($C34,#REF!,4,FALSE))</f>
        <v/>
      </c>
      <c r="W34" s="72" t="str">
        <f>IF($E34="","",VLOOKUP($E34,#REF!,4,FALSE))</f>
        <v/>
      </c>
      <c r="Y34"/>
      <c r="Z34"/>
      <c r="AA34"/>
      <c r="AB34"/>
      <c r="AC34"/>
      <c r="AD34"/>
    </row>
    <row r="35" spans="1:30" s="69" customFormat="1" ht="18" customHeight="1">
      <c r="A35" s="62"/>
      <c r="B35" s="63">
        <v>22</v>
      </c>
      <c r="C35" s="22"/>
      <c r="D35" s="266" t="s">
        <v>408</v>
      </c>
      <c r="E35" s="22"/>
      <c r="F35" s="276" t="s">
        <v>408</v>
      </c>
      <c r="G35" s="24"/>
      <c r="H35" s="23"/>
      <c r="I35" s="23"/>
      <c r="J35" s="64" t="str">
        <f t="shared" si="8"/>
        <v/>
      </c>
      <c r="K35" s="65"/>
      <c r="L35" s="65"/>
      <c r="M35" s="66" t="str">
        <f t="shared" si="9"/>
        <v/>
      </c>
      <c r="N35" s="23"/>
      <c r="O35" s="23"/>
      <c r="P35" s="64" t="str">
        <f t="shared" si="10"/>
        <v/>
      </c>
      <c r="Q35" s="65"/>
      <c r="R35" s="65"/>
      <c r="S35" s="66" t="str">
        <f t="shared" si="11"/>
        <v/>
      </c>
      <c r="T35" s="67"/>
      <c r="U35" s="68"/>
      <c r="V35" s="18" t="str">
        <f>IF($C35="","",VLOOKUP($C35,#REF!,4,FALSE))</f>
        <v/>
      </c>
      <c r="W35" s="72" t="str">
        <f>IF($E35="","",VLOOKUP($E35,#REF!,4,FALSE))</f>
        <v/>
      </c>
      <c r="Y35"/>
      <c r="Z35"/>
      <c r="AA35"/>
      <c r="AB35"/>
      <c r="AC35"/>
      <c r="AD35"/>
    </row>
    <row r="36" spans="1:30" s="69" customFormat="1" ht="18" customHeight="1">
      <c r="A36" s="62"/>
      <c r="B36" s="63">
        <v>23</v>
      </c>
      <c r="C36" s="22"/>
      <c r="D36" s="266" t="s">
        <v>408</v>
      </c>
      <c r="E36" s="22"/>
      <c r="F36" s="276" t="s">
        <v>408</v>
      </c>
      <c r="G36" s="24"/>
      <c r="H36" s="23"/>
      <c r="I36" s="23"/>
      <c r="J36" s="64" t="str">
        <f t="shared" si="8"/>
        <v/>
      </c>
      <c r="K36" s="65"/>
      <c r="L36" s="65"/>
      <c r="M36" s="66" t="str">
        <f t="shared" si="9"/>
        <v/>
      </c>
      <c r="N36" s="23"/>
      <c r="O36" s="23"/>
      <c r="P36" s="64" t="str">
        <f t="shared" si="10"/>
        <v/>
      </c>
      <c r="Q36" s="65"/>
      <c r="R36" s="65"/>
      <c r="S36" s="66" t="str">
        <f t="shared" si="11"/>
        <v/>
      </c>
      <c r="T36" s="67"/>
      <c r="U36" s="68"/>
      <c r="V36" s="18" t="str">
        <f>IF($C36="","",VLOOKUP($C36,#REF!,4,FALSE))</f>
        <v/>
      </c>
      <c r="W36" s="72" t="str">
        <f>IF($E36="","",VLOOKUP($E36,#REF!,4,FALSE))</f>
        <v/>
      </c>
      <c r="Y36"/>
      <c r="Z36"/>
      <c r="AA36"/>
      <c r="AB36"/>
      <c r="AC36"/>
      <c r="AD36"/>
    </row>
    <row r="37" spans="1:30" s="69" customFormat="1" ht="18" customHeight="1">
      <c r="A37" s="62"/>
      <c r="B37" s="63">
        <v>24</v>
      </c>
      <c r="C37" s="22"/>
      <c r="D37" s="266" t="s">
        <v>408</v>
      </c>
      <c r="E37" s="22"/>
      <c r="F37" s="276" t="s">
        <v>408</v>
      </c>
      <c r="G37" s="24"/>
      <c r="H37" s="23"/>
      <c r="I37" s="23"/>
      <c r="J37" s="64" t="str">
        <f t="shared" si="8"/>
        <v/>
      </c>
      <c r="K37" s="65"/>
      <c r="L37" s="65"/>
      <c r="M37" s="66" t="str">
        <f t="shared" si="9"/>
        <v/>
      </c>
      <c r="N37" s="23"/>
      <c r="O37" s="23"/>
      <c r="P37" s="64" t="str">
        <f t="shared" si="10"/>
        <v/>
      </c>
      <c r="Q37" s="65"/>
      <c r="R37" s="65"/>
      <c r="S37" s="66" t="str">
        <f t="shared" si="11"/>
        <v/>
      </c>
      <c r="T37" s="67"/>
      <c r="U37" s="68"/>
      <c r="V37" s="18" t="str">
        <f>IF($C37="","",VLOOKUP($C37,#REF!,4,FALSE))</f>
        <v/>
      </c>
      <c r="W37" s="72" t="str">
        <f>IF($E37="","",VLOOKUP($E37,#REF!,4,FALSE))</f>
        <v/>
      </c>
      <c r="Y37"/>
      <c r="Z37"/>
      <c r="AA37"/>
      <c r="AB37"/>
      <c r="AC37"/>
      <c r="AD37"/>
    </row>
    <row r="38" spans="1:30" s="69" customFormat="1" ht="18" customHeight="1">
      <c r="A38" s="62"/>
      <c r="B38" s="63">
        <v>25</v>
      </c>
      <c r="C38" s="22"/>
      <c r="D38" s="266" t="s">
        <v>408</v>
      </c>
      <c r="E38" s="22"/>
      <c r="F38" s="276" t="s">
        <v>408</v>
      </c>
      <c r="G38" s="24"/>
      <c r="H38" s="23"/>
      <c r="I38" s="23"/>
      <c r="J38" s="64" t="str">
        <f t="shared" si="8"/>
        <v/>
      </c>
      <c r="K38" s="65"/>
      <c r="L38" s="65"/>
      <c r="M38" s="66" t="str">
        <f t="shared" si="9"/>
        <v/>
      </c>
      <c r="N38" s="23"/>
      <c r="O38" s="23"/>
      <c r="P38" s="64" t="str">
        <f t="shared" si="10"/>
        <v/>
      </c>
      <c r="Q38" s="65"/>
      <c r="R38" s="65"/>
      <c r="S38" s="66" t="str">
        <f t="shared" si="11"/>
        <v/>
      </c>
      <c r="T38" s="67"/>
      <c r="U38" s="68"/>
      <c r="V38" s="18" t="str">
        <f>IF($C38="","",VLOOKUP($C38,#REF!,4,FALSE))</f>
        <v/>
      </c>
      <c r="W38" s="72" t="str">
        <f>IF($E38="","",VLOOKUP($E38,#REF!,4,FALSE))</f>
        <v/>
      </c>
      <c r="Y38"/>
      <c r="Z38"/>
      <c r="AA38"/>
      <c r="AB38"/>
      <c r="AC38"/>
      <c r="AD38"/>
    </row>
    <row r="39" spans="1:30" s="69" customFormat="1" ht="18" customHeight="1">
      <c r="A39" s="62"/>
      <c r="B39" s="63">
        <v>26</v>
      </c>
      <c r="C39" s="22"/>
      <c r="D39" s="266" t="s">
        <v>408</v>
      </c>
      <c r="E39" s="22"/>
      <c r="F39" s="276" t="s">
        <v>408</v>
      </c>
      <c r="G39" s="24"/>
      <c r="H39" s="23"/>
      <c r="I39" s="23"/>
      <c r="J39" s="64" t="str">
        <f t="shared" si="8"/>
        <v/>
      </c>
      <c r="K39" s="65"/>
      <c r="L39" s="65"/>
      <c r="M39" s="66" t="str">
        <f t="shared" si="9"/>
        <v/>
      </c>
      <c r="N39" s="23"/>
      <c r="O39" s="23"/>
      <c r="P39" s="64" t="str">
        <f t="shared" si="10"/>
        <v/>
      </c>
      <c r="Q39" s="65"/>
      <c r="R39" s="65"/>
      <c r="S39" s="66" t="str">
        <f t="shared" si="11"/>
        <v/>
      </c>
      <c r="T39" s="67"/>
      <c r="U39" s="68"/>
      <c r="V39" s="18" t="str">
        <f>IF($C39="","",VLOOKUP($C39,#REF!,4,FALSE))</f>
        <v/>
      </c>
      <c r="W39" s="72" t="str">
        <f>IF($E39="","",VLOOKUP($E39,#REF!,4,FALSE))</f>
        <v/>
      </c>
      <c r="Y39"/>
      <c r="Z39"/>
      <c r="AA39"/>
      <c r="AB39"/>
      <c r="AC39"/>
      <c r="AD39"/>
    </row>
    <row r="40" spans="1:30" s="69" customFormat="1" ht="18" customHeight="1">
      <c r="A40" s="62"/>
      <c r="B40" s="63">
        <v>27</v>
      </c>
      <c r="C40" s="22"/>
      <c r="D40" s="266" t="s">
        <v>408</v>
      </c>
      <c r="E40" s="22"/>
      <c r="F40" s="276" t="s">
        <v>408</v>
      </c>
      <c r="G40" s="24"/>
      <c r="H40" s="23"/>
      <c r="I40" s="23"/>
      <c r="J40" s="64" t="str">
        <f t="shared" si="8"/>
        <v/>
      </c>
      <c r="K40" s="65"/>
      <c r="L40" s="65"/>
      <c r="M40" s="66" t="str">
        <f t="shared" si="9"/>
        <v/>
      </c>
      <c r="N40" s="23"/>
      <c r="O40" s="23"/>
      <c r="P40" s="64" t="str">
        <f t="shared" si="10"/>
        <v/>
      </c>
      <c r="Q40" s="65"/>
      <c r="R40" s="65"/>
      <c r="S40" s="66" t="str">
        <f t="shared" si="11"/>
        <v/>
      </c>
      <c r="T40" s="67"/>
      <c r="U40" s="68"/>
      <c r="V40" s="18" t="str">
        <f>IF($C40="","",VLOOKUP($C40,#REF!,4,FALSE))</f>
        <v/>
      </c>
      <c r="W40" s="72" t="str">
        <f>IF($E40="","",VLOOKUP($E40,#REF!,4,FALSE))</f>
        <v/>
      </c>
      <c r="Y40"/>
      <c r="Z40"/>
      <c r="AA40"/>
      <c r="AB40"/>
      <c r="AC40"/>
      <c r="AD40"/>
    </row>
    <row r="41" spans="1:30" s="69" customFormat="1" ht="18" customHeight="1">
      <c r="A41" s="62"/>
      <c r="B41" s="63">
        <v>28</v>
      </c>
      <c r="C41" s="22"/>
      <c r="D41" s="266" t="s">
        <v>408</v>
      </c>
      <c r="E41" s="22"/>
      <c r="F41" s="276" t="s">
        <v>408</v>
      </c>
      <c r="G41" s="24"/>
      <c r="H41" s="23"/>
      <c r="I41" s="23"/>
      <c r="J41" s="64" t="str">
        <f t="shared" si="8"/>
        <v/>
      </c>
      <c r="K41" s="65"/>
      <c r="L41" s="65"/>
      <c r="M41" s="66" t="str">
        <f t="shared" si="9"/>
        <v/>
      </c>
      <c r="N41" s="23"/>
      <c r="O41" s="23"/>
      <c r="P41" s="64" t="str">
        <f t="shared" si="10"/>
        <v/>
      </c>
      <c r="Q41" s="65"/>
      <c r="R41" s="65"/>
      <c r="S41" s="66" t="str">
        <f t="shared" si="11"/>
        <v/>
      </c>
      <c r="T41" s="67"/>
      <c r="U41" s="68"/>
      <c r="V41" s="18" t="str">
        <f>IF($C41="","",VLOOKUP($C41,#REF!,4,FALSE))</f>
        <v/>
      </c>
      <c r="W41" s="72" t="str">
        <f>IF($E41="","",VLOOKUP($E41,#REF!,4,FALSE))</f>
        <v/>
      </c>
      <c r="Y41"/>
      <c r="Z41"/>
      <c r="AA41"/>
      <c r="AB41"/>
      <c r="AC41"/>
      <c r="AD41"/>
    </row>
    <row r="42" spans="1:30" s="69" customFormat="1" ht="18" customHeight="1">
      <c r="A42" s="62"/>
      <c r="B42" s="63">
        <v>29</v>
      </c>
      <c r="C42" s="22"/>
      <c r="D42" s="266" t="s">
        <v>408</v>
      </c>
      <c r="E42" s="22"/>
      <c r="F42" s="276" t="s">
        <v>408</v>
      </c>
      <c r="G42" s="24"/>
      <c r="H42" s="23"/>
      <c r="I42" s="23"/>
      <c r="J42" s="64" t="str">
        <f t="shared" si="8"/>
        <v/>
      </c>
      <c r="K42" s="65"/>
      <c r="L42" s="65"/>
      <c r="M42" s="66" t="str">
        <f t="shared" si="9"/>
        <v/>
      </c>
      <c r="N42" s="23"/>
      <c r="O42" s="23"/>
      <c r="P42" s="64" t="str">
        <f t="shared" si="10"/>
        <v/>
      </c>
      <c r="Q42" s="65"/>
      <c r="R42" s="65"/>
      <c r="S42" s="66" t="str">
        <f t="shared" si="11"/>
        <v/>
      </c>
      <c r="T42" s="67"/>
      <c r="U42" s="68"/>
      <c r="V42" s="18" t="str">
        <f>IF($C42="","",VLOOKUP($C42,#REF!,4,FALSE))</f>
        <v/>
      </c>
      <c r="W42" s="72" t="str">
        <f>IF($E42="","",VLOOKUP($E42,#REF!,4,FALSE))</f>
        <v/>
      </c>
      <c r="Y42"/>
      <c r="Z42"/>
      <c r="AA42"/>
      <c r="AB42"/>
      <c r="AC42"/>
      <c r="AD42"/>
    </row>
    <row r="43" spans="1:30" s="69" customFormat="1" ht="18" customHeight="1">
      <c r="A43" s="62"/>
      <c r="B43" s="63">
        <v>30</v>
      </c>
      <c r="C43" s="22"/>
      <c r="D43" s="266" t="s">
        <v>408</v>
      </c>
      <c r="E43" s="22"/>
      <c r="F43" s="276" t="s">
        <v>408</v>
      </c>
      <c r="G43" s="24"/>
      <c r="H43" s="23"/>
      <c r="I43" s="23"/>
      <c r="J43" s="64" t="str">
        <f t="shared" si="8"/>
        <v/>
      </c>
      <c r="K43" s="65"/>
      <c r="L43" s="65"/>
      <c r="M43" s="66" t="str">
        <f t="shared" si="9"/>
        <v/>
      </c>
      <c r="N43" s="23"/>
      <c r="O43" s="23"/>
      <c r="P43" s="64" t="str">
        <f t="shared" si="10"/>
        <v/>
      </c>
      <c r="Q43" s="65"/>
      <c r="R43" s="65"/>
      <c r="S43" s="66" t="str">
        <f t="shared" si="11"/>
        <v/>
      </c>
      <c r="T43" s="67"/>
      <c r="U43" s="68"/>
      <c r="V43" s="18" t="str">
        <f>IF($C43="","",VLOOKUP($C43,#REF!,4,FALSE))</f>
        <v/>
      </c>
      <c r="W43" s="72" t="str">
        <f>IF($E43="","",VLOOKUP($E43,#REF!,4,FALSE))</f>
        <v/>
      </c>
      <c r="Y43"/>
      <c r="Z43"/>
      <c r="AA43"/>
      <c r="AB43"/>
      <c r="AC43"/>
      <c r="AD43"/>
    </row>
    <row r="44" spans="1:30" s="69" customFormat="1" ht="18" customHeight="1">
      <c r="A44" s="62"/>
      <c r="B44" s="63">
        <v>31</v>
      </c>
      <c r="C44" s="22"/>
      <c r="D44" s="266" t="s">
        <v>408</v>
      </c>
      <c r="E44" s="22"/>
      <c r="F44" s="276" t="s">
        <v>408</v>
      </c>
      <c r="G44" s="24"/>
      <c r="H44" s="23"/>
      <c r="I44" s="23"/>
      <c r="J44" s="64" t="str">
        <f t="shared" si="8"/>
        <v/>
      </c>
      <c r="K44" s="65"/>
      <c r="L44" s="65"/>
      <c r="M44" s="66" t="str">
        <f t="shared" si="9"/>
        <v/>
      </c>
      <c r="N44" s="23"/>
      <c r="O44" s="23"/>
      <c r="P44" s="64" t="str">
        <f t="shared" si="10"/>
        <v/>
      </c>
      <c r="Q44" s="65"/>
      <c r="R44" s="65"/>
      <c r="S44" s="66" t="str">
        <f t="shared" si="11"/>
        <v/>
      </c>
      <c r="T44" s="67"/>
      <c r="U44" s="68"/>
      <c r="V44" s="18" t="str">
        <f>IF($C44="","",VLOOKUP($C44,#REF!,4,FALSE))</f>
        <v/>
      </c>
      <c r="W44" s="72" t="str">
        <f>IF($E44="","",VLOOKUP($E44,#REF!,4,FALSE))</f>
        <v/>
      </c>
      <c r="Y44"/>
      <c r="Z44"/>
      <c r="AA44"/>
      <c r="AB44"/>
      <c r="AC44"/>
      <c r="AD44"/>
    </row>
    <row r="45" spans="1:30" s="69" customFormat="1" ht="18" customHeight="1">
      <c r="A45" s="62"/>
      <c r="B45" s="63">
        <v>32</v>
      </c>
      <c r="C45" s="22"/>
      <c r="D45" s="266" t="s">
        <v>408</v>
      </c>
      <c r="E45" s="22"/>
      <c r="F45" s="276" t="s">
        <v>408</v>
      </c>
      <c r="G45" s="24"/>
      <c r="H45" s="23"/>
      <c r="I45" s="23"/>
      <c r="J45" s="64" t="str">
        <f t="shared" si="8"/>
        <v/>
      </c>
      <c r="K45" s="65"/>
      <c r="L45" s="65"/>
      <c r="M45" s="66" t="str">
        <f t="shared" si="9"/>
        <v/>
      </c>
      <c r="N45" s="23"/>
      <c r="O45" s="23"/>
      <c r="P45" s="64" t="str">
        <f t="shared" si="10"/>
        <v/>
      </c>
      <c r="Q45" s="65"/>
      <c r="R45" s="65"/>
      <c r="S45" s="66" t="str">
        <f t="shared" si="11"/>
        <v/>
      </c>
      <c r="T45" s="67"/>
      <c r="U45" s="68"/>
      <c r="V45" s="18" t="str">
        <f>IF($C45="","",VLOOKUP($C45,#REF!,4,FALSE))</f>
        <v/>
      </c>
      <c r="W45" s="72" t="str">
        <f>IF($E45="","",VLOOKUP($E45,#REF!,4,FALSE))</f>
        <v/>
      </c>
      <c r="Y45"/>
      <c r="Z45"/>
      <c r="AA45"/>
      <c r="AB45"/>
      <c r="AC45"/>
      <c r="AD45"/>
    </row>
    <row r="46" spans="1:30" s="69" customFormat="1" ht="18" customHeight="1">
      <c r="A46" s="62"/>
      <c r="B46" s="63">
        <v>33</v>
      </c>
      <c r="C46" s="22"/>
      <c r="D46" s="266" t="s">
        <v>408</v>
      </c>
      <c r="E46" s="22"/>
      <c r="F46" s="276" t="s">
        <v>408</v>
      </c>
      <c r="G46" s="24"/>
      <c r="H46" s="23"/>
      <c r="I46" s="23"/>
      <c r="J46" s="64" t="str">
        <f t="shared" si="8"/>
        <v/>
      </c>
      <c r="K46" s="65"/>
      <c r="L46" s="65"/>
      <c r="M46" s="66" t="str">
        <f t="shared" si="9"/>
        <v/>
      </c>
      <c r="N46" s="23"/>
      <c r="O46" s="23"/>
      <c r="P46" s="64" t="str">
        <f t="shared" si="10"/>
        <v/>
      </c>
      <c r="Q46" s="65"/>
      <c r="R46" s="65"/>
      <c r="S46" s="66" t="str">
        <f t="shared" si="11"/>
        <v/>
      </c>
      <c r="T46" s="67"/>
      <c r="U46" s="68"/>
      <c r="V46" s="18" t="str">
        <f>IF($C46="","",VLOOKUP($C46,#REF!,4,FALSE))</f>
        <v/>
      </c>
      <c r="W46" s="72" t="str">
        <f>IF($E46="","",VLOOKUP($E46,#REF!,4,FALSE))</f>
        <v/>
      </c>
      <c r="Y46"/>
      <c r="Z46"/>
      <c r="AA46"/>
      <c r="AB46"/>
      <c r="AC46"/>
      <c r="AD46"/>
    </row>
    <row r="47" spans="1:30" s="69" customFormat="1" ht="18" customHeight="1">
      <c r="A47" s="62"/>
      <c r="B47" s="63">
        <v>34</v>
      </c>
      <c r="C47" s="22"/>
      <c r="D47" s="266" t="s">
        <v>408</v>
      </c>
      <c r="E47" s="22"/>
      <c r="F47" s="276" t="s">
        <v>408</v>
      </c>
      <c r="G47" s="24"/>
      <c r="H47" s="23"/>
      <c r="I47" s="23"/>
      <c r="J47" s="64" t="str">
        <f t="shared" si="8"/>
        <v/>
      </c>
      <c r="K47" s="65"/>
      <c r="L47" s="65"/>
      <c r="M47" s="66" t="str">
        <f t="shared" si="9"/>
        <v/>
      </c>
      <c r="N47" s="23"/>
      <c r="O47" s="23"/>
      <c r="P47" s="64" t="str">
        <f t="shared" si="10"/>
        <v/>
      </c>
      <c r="Q47" s="65"/>
      <c r="R47" s="65"/>
      <c r="S47" s="66" t="str">
        <f t="shared" si="11"/>
        <v/>
      </c>
      <c r="T47" s="67"/>
      <c r="U47" s="68"/>
      <c r="V47" s="18" t="str">
        <f>IF($C47="","",VLOOKUP($C47,#REF!,4,FALSE))</f>
        <v/>
      </c>
      <c r="W47" s="72" t="str">
        <f>IF($E47="","",VLOOKUP($E47,#REF!,4,FALSE))</f>
        <v/>
      </c>
      <c r="Y47"/>
      <c r="Z47"/>
      <c r="AA47"/>
      <c r="AB47"/>
      <c r="AC47"/>
      <c r="AD47"/>
    </row>
    <row r="48" spans="1:30" s="69" customFormat="1" ht="18" customHeight="1">
      <c r="A48" s="62"/>
      <c r="B48" s="63">
        <v>35</v>
      </c>
      <c r="C48" s="22"/>
      <c r="D48" s="266" t="s">
        <v>408</v>
      </c>
      <c r="E48" s="22"/>
      <c r="F48" s="276" t="s">
        <v>408</v>
      </c>
      <c r="G48" s="24"/>
      <c r="H48" s="23"/>
      <c r="I48" s="23"/>
      <c r="J48" s="64" t="str">
        <f t="shared" si="8"/>
        <v/>
      </c>
      <c r="K48" s="65"/>
      <c r="L48" s="65"/>
      <c r="M48" s="66" t="str">
        <f t="shared" si="9"/>
        <v/>
      </c>
      <c r="N48" s="23"/>
      <c r="O48" s="23"/>
      <c r="P48" s="64" t="str">
        <f t="shared" si="10"/>
        <v/>
      </c>
      <c r="Q48" s="65"/>
      <c r="R48" s="65"/>
      <c r="S48" s="66" t="str">
        <f t="shared" si="11"/>
        <v/>
      </c>
      <c r="T48" s="67"/>
      <c r="U48" s="68"/>
      <c r="V48" s="18" t="str">
        <f>IF($C48="","",VLOOKUP($C48,#REF!,4,FALSE))</f>
        <v/>
      </c>
      <c r="W48" s="72" t="str">
        <f>IF($E48="","",VLOOKUP($E48,#REF!,4,FALSE))</f>
        <v/>
      </c>
      <c r="Y48"/>
      <c r="Z48"/>
      <c r="AA48"/>
      <c r="AB48"/>
      <c r="AC48"/>
      <c r="AD48"/>
    </row>
    <row r="49" spans="1:30" s="69" customFormat="1" ht="18" customHeight="1">
      <c r="A49" s="62"/>
      <c r="B49" s="63"/>
      <c r="C49" s="22"/>
      <c r="D49" s="266" t="s">
        <v>408</v>
      </c>
      <c r="E49" s="22"/>
      <c r="F49" s="276" t="s">
        <v>408</v>
      </c>
      <c r="G49" s="24"/>
      <c r="H49" s="23"/>
      <c r="I49" s="23"/>
      <c r="J49" s="64" t="str">
        <f t="shared" si="8"/>
        <v/>
      </c>
      <c r="K49" s="65"/>
      <c r="L49" s="65"/>
      <c r="M49" s="66" t="str">
        <f t="shared" si="9"/>
        <v/>
      </c>
      <c r="N49" s="23"/>
      <c r="O49" s="23"/>
      <c r="P49" s="64" t="str">
        <f t="shared" si="10"/>
        <v/>
      </c>
      <c r="Q49" s="65"/>
      <c r="R49" s="65"/>
      <c r="S49" s="66" t="str">
        <f t="shared" si="11"/>
        <v/>
      </c>
      <c r="T49" s="67"/>
      <c r="U49" s="68"/>
      <c r="V49" s="18" t="str">
        <f>IF($C49="","",VLOOKUP($C49,#REF!,4,FALSE))</f>
        <v/>
      </c>
      <c r="W49" s="72" t="str">
        <f>IF($E49="","",VLOOKUP($E49,#REF!,4,FALSE))</f>
        <v/>
      </c>
      <c r="Y49"/>
      <c r="Z49"/>
      <c r="AA49"/>
      <c r="AB49"/>
      <c r="AC49"/>
      <c r="AD49"/>
    </row>
    <row r="50" spans="1:30" s="69" customFormat="1" ht="18" customHeight="1">
      <c r="A50" s="62"/>
      <c r="B50" s="63"/>
      <c r="C50" s="22"/>
      <c r="D50" s="266" t="s">
        <v>408</v>
      </c>
      <c r="E50" s="22"/>
      <c r="F50" s="276" t="s">
        <v>408</v>
      </c>
      <c r="G50" s="24"/>
      <c r="H50" s="23"/>
      <c r="I50" s="23"/>
      <c r="J50" s="64" t="str">
        <f t="shared" si="8"/>
        <v/>
      </c>
      <c r="K50" s="65"/>
      <c r="L50" s="65"/>
      <c r="M50" s="66" t="str">
        <f t="shared" si="9"/>
        <v/>
      </c>
      <c r="N50" s="23"/>
      <c r="O50" s="23"/>
      <c r="P50" s="64" t="str">
        <f t="shared" si="10"/>
        <v/>
      </c>
      <c r="Q50" s="65"/>
      <c r="R50" s="65"/>
      <c r="S50" s="66" t="str">
        <f t="shared" si="11"/>
        <v/>
      </c>
      <c r="T50" s="67"/>
      <c r="U50" s="68"/>
      <c r="V50" s="18" t="str">
        <f>IF($C50="","",VLOOKUP($C50,#REF!,4,FALSE))</f>
        <v/>
      </c>
      <c r="W50" s="72" t="str">
        <f>IF($E50="","",VLOOKUP($E50,#REF!,4,FALSE))</f>
        <v/>
      </c>
      <c r="Y50"/>
      <c r="Z50"/>
      <c r="AA50"/>
      <c r="AB50"/>
      <c r="AC50"/>
      <c r="AD50"/>
    </row>
    <row r="51" spans="1:30" s="69" customFormat="1" ht="18" customHeight="1">
      <c r="A51" s="62"/>
      <c r="B51" s="63"/>
      <c r="C51" s="22"/>
      <c r="D51" s="266" t="s">
        <v>408</v>
      </c>
      <c r="E51" s="22"/>
      <c r="F51" s="276" t="s">
        <v>408</v>
      </c>
      <c r="G51" s="24"/>
      <c r="H51" s="23"/>
      <c r="I51" s="23"/>
      <c r="J51" s="64" t="str">
        <f t="shared" si="8"/>
        <v/>
      </c>
      <c r="K51" s="65"/>
      <c r="L51" s="65"/>
      <c r="M51" s="66" t="str">
        <f t="shared" si="9"/>
        <v/>
      </c>
      <c r="N51" s="23"/>
      <c r="O51" s="23"/>
      <c r="P51" s="64" t="str">
        <f t="shared" si="10"/>
        <v/>
      </c>
      <c r="Q51" s="65"/>
      <c r="R51" s="65"/>
      <c r="S51" s="66" t="str">
        <f t="shared" si="11"/>
        <v/>
      </c>
      <c r="T51" s="67"/>
      <c r="U51" s="68"/>
      <c r="V51" s="18" t="str">
        <f>IF($C51="","",VLOOKUP($C51,#REF!,4,FALSE))</f>
        <v/>
      </c>
      <c r="W51" s="72" t="str">
        <f>IF($E51="","",VLOOKUP($E51,#REF!,4,FALSE))</f>
        <v/>
      </c>
      <c r="Y51"/>
      <c r="Z51"/>
      <c r="AA51"/>
      <c r="AB51"/>
      <c r="AC51"/>
      <c r="AD51"/>
    </row>
    <row r="52" spans="1:30" s="69" customFormat="1" ht="18" customHeight="1">
      <c r="A52" s="62"/>
      <c r="B52" s="63"/>
      <c r="C52" s="22"/>
      <c r="D52" s="266" t="s">
        <v>408</v>
      </c>
      <c r="E52" s="22"/>
      <c r="F52" s="276" t="s">
        <v>408</v>
      </c>
      <c r="G52" s="24"/>
      <c r="H52" s="23"/>
      <c r="I52" s="23"/>
      <c r="J52" s="64" t="str">
        <f t="shared" si="8"/>
        <v/>
      </c>
      <c r="K52" s="65"/>
      <c r="L52" s="65"/>
      <c r="M52" s="66" t="str">
        <f t="shared" si="9"/>
        <v/>
      </c>
      <c r="N52" s="23"/>
      <c r="O52" s="23"/>
      <c r="P52" s="64" t="str">
        <f t="shared" si="10"/>
        <v/>
      </c>
      <c r="Q52" s="65"/>
      <c r="R52" s="65"/>
      <c r="S52" s="66" t="str">
        <f t="shared" si="11"/>
        <v/>
      </c>
      <c r="T52" s="67"/>
      <c r="U52" s="68"/>
      <c r="V52" s="18" t="str">
        <f>IF($C52="","",VLOOKUP($C52,#REF!,4,FALSE))</f>
        <v/>
      </c>
      <c r="W52" s="72" t="str">
        <f>IF($E52="","",VLOOKUP($E52,#REF!,4,FALSE))</f>
        <v/>
      </c>
      <c r="Y52"/>
      <c r="Z52"/>
      <c r="AA52"/>
      <c r="AB52"/>
      <c r="AC52"/>
      <c r="AD52"/>
    </row>
    <row r="53" spans="1:30" s="69" customFormat="1" ht="18" customHeight="1">
      <c r="A53" s="62"/>
      <c r="B53" s="63"/>
      <c r="C53" s="22"/>
      <c r="D53" s="266" t="s">
        <v>408</v>
      </c>
      <c r="E53" s="22"/>
      <c r="F53" s="276" t="s">
        <v>408</v>
      </c>
      <c r="G53" s="24"/>
      <c r="H53" s="23"/>
      <c r="I53" s="23"/>
      <c r="J53" s="64" t="str">
        <f t="shared" si="8"/>
        <v/>
      </c>
      <c r="K53" s="65"/>
      <c r="L53" s="65"/>
      <c r="M53" s="66" t="str">
        <f t="shared" si="9"/>
        <v/>
      </c>
      <c r="N53" s="23"/>
      <c r="O53" s="23"/>
      <c r="P53" s="64" t="str">
        <f t="shared" si="10"/>
        <v/>
      </c>
      <c r="Q53" s="65"/>
      <c r="R53" s="65"/>
      <c r="S53" s="66" t="str">
        <f t="shared" si="11"/>
        <v/>
      </c>
      <c r="T53" s="67"/>
      <c r="U53" s="68"/>
      <c r="V53" s="18" t="str">
        <f>IF($C53="","",VLOOKUP($C53,#REF!,4,FALSE))</f>
        <v/>
      </c>
      <c r="W53" s="72" t="str">
        <f>IF($E53="","",VLOOKUP($E53,#REF!,4,FALSE))</f>
        <v/>
      </c>
      <c r="Y53"/>
      <c r="Z53"/>
      <c r="AA53"/>
      <c r="AB53"/>
      <c r="AC53"/>
      <c r="AD53"/>
    </row>
    <row r="54" spans="1:30" s="69" customFormat="1" ht="18" customHeight="1">
      <c r="A54" s="62"/>
      <c r="B54" s="63"/>
      <c r="C54" s="22"/>
      <c r="D54" s="266" t="s">
        <v>408</v>
      </c>
      <c r="E54" s="22"/>
      <c r="F54" s="276" t="s">
        <v>408</v>
      </c>
      <c r="G54" s="24"/>
      <c r="H54" s="23"/>
      <c r="I54" s="23"/>
      <c r="J54" s="64" t="str">
        <f t="shared" si="8"/>
        <v/>
      </c>
      <c r="K54" s="65"/>
      <c r="L54" s="65"/>
      <c r="M54" s="66" t="str">
        <f t="shared" si="9"/>
        <v/>
      </c>
      <c r="N54" s="23"/>
      <c r="O54" s="23"/>
      <c r="P54" s="64" t="str">
        <f t="shared" si="10"/>
        <v/>
      </c>
      <c r="Q54" s="65"/>
      <c r="R54" s="65"/>
      <c r="S54" s="66" t="str">
        <f t="shared" si="11"/>
        <v/>
      </c>
      <c r="T54" s="67"/>
      <c r="U54" s="68"/>
      <c r="V54" s="18" t="str">
        <f>IF($C54="","",VLOOKUP($C54,#REF!,4,FALSE))</f>
        <v/>
      </c>
      <c r="W54" s="72" t="str">
        <f>IF($E54="","",VLOOKUP($E54,#REF!,4,FALSE))</f>
        <v/>
      </c>
      <c r="Y54"/>
      <c r="Z54"/>
      <c r="AA54"/>
      <c r="AB54"/>
      <c r="AC54"/>
      <c r="AD54"/>
    </row>
    <row r="55" spans="1:30" s="69" customFormat="1" ht="18" customHeight="1">
      <c r="A55" s="62"/>
      <c r="B55" s="63"/>
      <c r="C55" s="22"/>
      <c r="D55" s="266" t="s">
        <v>408</v>
      </c>
      <c r="E55" s="22"/>
      <c r="F55" s="276" t="s">
        <v>408</v>
      </c>
      <c r="G55" s="24"/>
      <c r="H55" s="23"/>
      <c r="I55" s="23"/>
      <c r="J55" s="64" t="str">
        <f t="shared" si="8"/>
        <v/>
      </c>
      <c r="K55" s="65"/>
      <c r="L55" s="65"/>
      <c r="M55" s="66" t="str">
        <f t="shared" si="9"/>
        <v/>
      </c>
      <c r="N55" s="23"/>
      <c r="O55" s="23"/>
      <c r="P55" s="64" t="str">
        <f t="shared" si="10"/>
        <v/>
      </c>
      <c r="Q55" s="65"/>
      <c r="R55" s="65"/>
      <c r="S55" s="66" t="str">
        <f t="shared" si="11"/>
        <v/>
      </c>
      <c r="T55" s="67"/>
      <c r="U55" s="68"/>
      <c r="V55" s="18" t="str">
        <f>IF($C55="","",VLOOKUP($C55,#REF!,4,FALSE))</f>
        <v/>
      </c>
      <c r="W55" s="72" t="str">
        <f>IF($E55="","",VLOOKUP($E55,#REF!,4,FALSE))</f>
        <v/>
      </c>
      <c r="Y55"/>
      <c r="Z55"/>
      <c r="AA55"/>
      <c r="AB55"/>
      <c r="AC55"/>
      <c r="AD55"/>
    </row>
    <row r="56" spans="1:30" s="69" customFormat="1" ht="18" customHeight="1">
      <c r="A56" s="62"/>
      <c r="B56" s="63"/>
      <c r="C56" s="22"/>
      <c r="D56" s="266" t="s">
        <v>408</v>
      </c>
      <c r="E56" s="22"/>
      <c r="F56" s="276" t="s">
        <v>408</v>
      </c>
      <c r="G56" s="24"/>
      <c r="H56" s="23"/>
      <c r="I56" s="23"/>
      <c r="J56" s="64" t="str">
        <f t="shared" si="8"/>
        <v/>
      </c>
      <c r="K56" s="65"/>
      <c r="L56" s="65"/>
      <c r="M56" s="66" t="str">
        <f t="shared" si="9"/>
        <v/>
      </c>
      <c r="N56" s="23"/>
      <c r="O56" s="23"/>
      <c r="P56" s="64" t="str">
        <f t="shared" si="10"/>
        <v/>
      </c>
      <c r="Q56" s="65"/>
      <c r="R56" s="65"/>
      <c r="S56" s="66" t="str">
        <f t="shared" si="11"/>
        <v/>
      </c>
      <c r="T56" s="67"/>
      <c r="U56" s="68"/>
      <c r="V56" s="18" t="str">
        <f>IF($C56="","",VLOOKUP($C56,#REF!,4,FALSE))</f>
        <v/>
      </c>
      <c r="W56" s="72" t="str">
        <f>IF($E56="","",VLOOKUP($E56,#REF!,4,FALSE))</f>
        <v/>
      </c>
      <c r="Y56"/>
      <c r="Z56"/>
      <c r="AA56"/>
      <c r="AB56"/>
      <c r="AC56"/>
      <c r="AD56"/>
    </row>
    <row r="57" spans="1:30" s="69" customFormat="1" ht="18" customHeight="1">
      <c r="A57" s="62"/>
      <c r="B57" s="63"/>
      <c r="C57" s="22"/>
      <c r="D57" s="266" t="s">
        <v>408</v>
      </c>
      <c r="E57" s="22"/>
      <c r="F57" s="276" t="s">
        <v>408</v>
      </c>
      <c r="G57" s="24"/>
      <c r="H57" s="23"/>
      <c r="I57" s="23"/>
      <c r="J57" s="64" t="str">
        <f t="shared" si="8"/>
        <v/>
      </c>
      <c r="K57" s="65"/>
      <c r="L57" s="65"/>
      <c r="M57" s="66" t="str">
        <f t="shared" si="9"/>
        <v/>
      </c>
      <c r="N57" s="23"/>
      <c r="O57" s="23"/>
      <c r="P57" s="64" t="str">
        <f t="shared" si="10"/>
        <v/>
      </c>
      <c r="Q57" s="65"/>
      <c r="R57" s="65"/>
      <c r="S57" s="66" t="str">
        <f t="shared" si="11"/>
        <v/>
      </c>
      <c r="T57" s="67"/>
      <c r="U57" s="68"/>
      <c r="V57" s="18" t="str">
        <f>IF($C57="","",VLOOKUP($C57,#REF!,4,FALSE))</f>
        <v/>
      </c>
      <c r="W57" s="72" t="str">
        <f>IF($E57="","",VLOOKUP($E57,#REF!,4,FALSE))</f>
        <v/>
      </c>
      <c r="Y57"/>
      <c r="Z57"/>
      <c r="AA57"/>
      <c r="AB57"/>
      <c r="AC57"/>
      <c r="AD57"/>
    </row>
    <row r="58" spans="1:30" s="69" customFormat="1" ht="18" customHeight="1">
      <c r="A58" s="62"/>
      <c r="B58" s="63"/>
      <c r="C58" s="22"/>
      <c r="D58" s="266" t="s">
        <v>408</v>
      </c>
      <c r="E58" s="22"/>
      <c r="F58" s="276" t="s">
        <v>408</v>
      </c>
      <c r="G58" s="24"/>
      <c r="H58" s="23"/>
      <c r="I58" s="23"/>
      <c r="J58" s="64" t="str">
        <f t="shared" si="8"/>
        <v/>
      </c>
      <c r="K58" s="65"/>
      <c r="L58" s="65"/>
      <c r="M58" s="66" t="str">
        <f t="shared" si="9"/>
        <v/>
      </c>
      <c r="N58" s="23"/>
      <c r="O58" s="23"/>
      <c r="P58" s="64" t="str">
        <f t="shared" si="10"/>
        <v/>
      </c>
      <c r="Q58" s="65"/>
      <c r="R58" s="65"/>
      <c r="S58" s="66" t="str">
        <f t="shared" si="11"/>
        <v/>
      </c>
      <c r="T58" s="67"/>
      <c r="U58" s="68"/>
      <c r="V58" s="18" t="str">
        <f>IF($C58="","",VLOOKUP($C58,#REF!,4,FALSE))</f>
        <v/>
      </c>
      <c r="W58" s="72" t="str">
        <f>IF($E58="","",VLOOKUP($E58,#REF!,4,FALSE))</f>
        <v/>
      </c>
      <c r="Y58"/>
      <c r="Z58"/>
      <c r="AA58"/>
      <c r="AB58"/>
      <c r="AC58"/>
      <c r="AD58"/>
    </row>
    <row r="59" spans="1:30" s="69" customFormat="1" ht="18" customHeight="1">
      <c r="A59" s="62"/>
      <c r="B59" s="63"/>
      <c r="C59" s="22"/>
      <c r="D59" s="266" t="s">
        <v>408</v>
      </c>
      <c r="E59" s="22"/>
      <c r="F59" s="276" t="s">
        <v>408</v>
      </c>
      <c r="G59" s="24"/>
      <c r="H59" s="23"/>
      <c r="I59" s="23"/>
      <c r="J59" s="64" t="str">
        <f t="shared" si="8"/>
        <v/>
      </c>
      <c r="K59" s="65"/>
      <c r="L59" s="65"/>
      <c r="M59" s="66" t="str">
        <f t="shared" si="9"/>
        <v/>
      </c>
      <c r="N59" s="23"/>
      <c r="O59" s="23"/>
      <c r="P59" s="64" t="str">
        <f t="shared" si="10"/>
        <v/>
      </c>
      <c r="Q59" s="65"/>
      <c r="R59" s="65"/>
      <c r="S59" s="66" t="str">
        <f t="shared" si="11"/>
        <v/>
      </c>
      <c r="T59" s="67"/>
      <c r="U59" s="68"/>
      <c r="V59" s="18" t="str">
        <f>IF($C59="","",VLOOKUP($C59,#REF!,4,FALSE))</f>
        <v/>
      </c>
      <c r="W59" s="72" t="str">
        <f>IF($E59="","",VLOOKUP($E59,#REF!,4,FALSE))</f>
        <v/>
      </c>
      <c r="Y59"/>
      <c r="Z59"/>
      <c r="AA59"/>
      <c r="AB59"/>
      <c r="AC59"/>
      <c r="AD59"/>
    </row>
    <row r="60" spans="1:30" s="69" customFormat="1" ht="18" customHeight="1">
      <c r="A60" s="62"/>
      <c r="B60" s="63"/>
      <c r="C60" s="22"/>
      <c r="D60" s="266" t="s">
        <v>408</v>
      </c>
      <c r="E60" s="22"/>
      <c r="F60" s="276" t="s">
        <v>408</v>
      </c>
      <c r="G60" s="24"/>
      <c r="H60" s="23"/>
      <c r="I60" s="23"/>
      <c r="J60" s="64" t="str">
        <f t="shared" si="8"/>
        <v/>
      </c>
      <c r="K60" s="65"/>
      <c r="L60" s="65"/>
      <c r="M60" s="66" t="str">
        <f t="shared" si="9"/>
        <v/>
      </c>
      <c r="N60" s="23"/>
      <c r="O60" s="23"/>
      <c r="P60" s="64" t="str">
        <f t="shared" si="10"/>
        <v/>
      </c>
      <c r="Q60" s="65"/>
      <c r="R60" s="65"/>
      <c r="S60" s="66" t="str">
        <f t="shared" si="11"/>
        <v/>
      </c>
      <c r="T60" s="67"/>
      <c r="U60" s="68"/>
      <c r="V60" s="18" t="str">
        <f>IF($C60="","",VLOOKUP($C60,#REF!,4,FALSE))</f>
        <v/>
      </c>
      <c r="W60" s="72" t="str">
        <f>IF($E60="","",VLOOKUP($E60,#REF!,4,FALSE))</f>
        <v/>
      </c>
      <c r="Y60"/>
      <c r="Z60"/>
      <c r="AA60"/>
      <c r="AB60"/>
      <c r="AC60"/>
      <c r="AD60"/>
    </row>
    <row r="61" spans="1:30" s="69" customFormat="1" ht="18" customHeight="1">
      <c r="A61" s="62"/>
      <c r="B61" s="63"/>
      <c r="C61" s="22"/>
      <c r="D61" s="266" t="s">
        <v>408</v>
      </c>
      <c r="E61" s="22"/>
      <c r="F61" s="276" t="s">
        <v>408</v>
      </c>
      <c r="G61" s="24"/>
      <c r="H61" s="23"/>
      <c r="I61" s="23"/>
      <c r="J61" s="64" t="str">
        <f t="shared" si="8"/>
        <v/>
      </c>
      <c r="K61" s="65"/>
      <c r="L61" s="65"/>
      <c r="M61" s="66" t="str">
        <f t="shared" si="9"/>
        <v/>
      </c>
      <c r="N61" s="23"/>
      <c r="O61" s="23"/>
      <c r="P61" s="64" t="str">
        <f t="shared" si="10"/>
        <v/>
      </c>
      <c r="Q61" s="65"/>
      <c r="R61" s="65"/>
      <c r="S61" s="66" t="str">
        <f t="shared" si="11"/>
        <v/>
      </c>
      <c r="T61" s="67"/>
      <c r="U61" s="68"/>
      <c r="V61" s="18" t="str">
        <f>IF($C61="","",VLOOKUP($C61,#REF!,4,FALSE))</f>
        <v/>
      </c>
      <c r="W61" s="72" t="str">
        <f>IF($E61="","",VLOOKUP($E61,#REF!,4,FALSE))</f>
        <v/>
      </c>
      <c r="Y61"/>
      <c r="Z61"/>
      <c r="AA61"/>
      <c r="AB61"/>
      <c r="AC61"/>
      <c r="AD61"/>
    </row>
    <row r="62" spans="1:30" s="69" customFormat="1" ht="18" customHeight="1">
      <c r="A62" s="62"/>
      <c r="B62" s="63"/>
      <c r="C62" s="22"/>
      <c r="D62" s="266" t="s">
        <v>408</v>
      </c>
      <c r="E62" s="22"/>
      <c r="F62" s="276" t="s">
        <v>408</v>
      </c>
      <c r="G62" s="24"/>
      <c r="H62" s="23"/>
      <c r="I62" s="23"/>
      <c r="J62" s="64" t="str">
        <f t="shared" si="8"/>
        <v/>
      </c>
      <c r="K62" s="65"/>
      <c r="L62" s="65"/>
      <c r="M62" s="66" t="str">
        <f t="shared" si="9"/>
        <v/>
      </c>
      <c r="N62" s="23"/>
      <c r="O62" s="23"/>
      <c r="P62" s="64" t="str">
        <f t="shared" si="10"/>
        <v/>
      </c>
      <c r="Q62" s="65"/>
      <c r="R62" s="65"/>
      <c r="S62" s="66" t="str">
        <f t="shared" si="11"/>
        <v/>
      </c>
      <c r="T62" s="67"/>
      <c r="U62" s="68"/>
      <c r="V62" s="18" t="str">
        <f>IF($C62="","",VLOOKUP($C62,#REF!,4,FALSE))</f>
        <v/>
      </c>
      <c r="W62" s="72" t="str">
        <f>IF($E62="","",VLOOKUP($E62,#REF!,4,FALSE))</f>
        <v/>
      </c>
      <c r="Y62"/>
      <c r="Z62"/>
      <c r="AA62"/>
      <c r="AB62"/>
      <c r="AC62"/>
      <c r="AD62"/>
    </row>
    <row r="63" spans="1:30" s="69" customFormat="1" ht="18" customHeight="1">
      <c r="A63" s="62"/>
      <c r="B63" s="63"/>
      <c r="C63" s="22"/>
      <c r="D63" s="266" t="s">
        <v>408</v>
      </c>
      <c r="E63" s="22"/>
      <c r="F63" s="276" t="s">
        <v>408</v>
      </c>
      <c r="G63" s="24"/>
      <c r="H63" s="23"/>
      <c r="I63" s="23"/>
      <c r="J63" s="64" t="str">
        <f t="shared" si="8"/>
        <v/>
      </c>
      <c r="K63" s="65"/>
      <c r="L63" s="65"/>
      <c r="M63" s="66" t="str">
        <f t="shared" si="9"/>
        <v/>
      </c>
      <c r="N63" s="23"/>
      <c r="O63" s="23"/>
      <c r="P63" s="64" t="str">
        <f t="shared" si="10"/>
        <v/>
      </c>
      <c r="Q63" s="65"/>
      <c r="R63" s="65"/>
      <c r="S63" s="66" t="str">
        <f t="shared" si="11"/>
        <v/>
      </c>
      <c r="T63" s="67"/>
      <c r="U63" s="68"/>
      <c r="V63" s="18" t="str">
        <f>IF($C63="","",VLOOKUP($C63,#REF!,4,FALSE))</f>
        <v/>
      </c>
      <c r="W63" s="72" t="str">
        <f>IF($E63="","",VLOOKUP($E63,#REF!,4,FALSE))</f>
        <v/>
      </c>
      <c r="Y63"/>
      <c r="Z63"/>
      <c r="AA63"/>
      <c r="AB63"/>
      <c r="AC63"/>
      <c r="AD63"/>
    </row>
    <row r="64" spans="1:30" s="69" customFormat="1" ht="18" customHeight="1">
      <c r="A64" s="62"/>
      <c r="B64" s="63"/>
      <c r="C64" s="22"/>
      <c r="D64" s="266" t="s">
        <v>408</v>
      </c>
      <c r="E64" s="22"/>
      <c r="F64" s="276" t="s">
        <v>408</v>
      </c>
      <c r="G64" s="24"/>
      <c r="H64" s="23"/>
      <c r="I64" s="23"/>
      <c r="J64" s="64" t="str">
        <f t="shared" si="8"/>
        <v/>
      </c>
      <c r="K64" s="65"/>
      <c r="L64" s="65"/>
      <c r="M64" s="66" t="str">
        <f t="shared" si="9"/>
        <v/>
      </c>
      <c r="N64" s="23"/>
      <c r="O64" s="23"/>
      <c r="P64" s="64" t="str">
        <f t="shared" si="10"/>
        <v/>
      </c>
      <c r="Q64" s="65"/>
      <c r="R64" s="65"/>
      <c r="S64" s="66" t="str">
        <f t="shared" si="11"/>
        <v/>
      </c>
      <c r="T64" s="67"/>
      <c r="U64" s="68"/>
      <c r="V64" s="18" t="str">
        <f>IF($C64="","",VLOOKUP($C64,#REF!,4,FALSE))</f>
        <v/>
      </c>
      <c r="W64" s="72" t="str">
        <f>IF($E64="","",VLOOKUP($E64,#REF!,4,FALSE))</f>
        <v/>
      </c>
      <c r="Y64"/>
      <c r="Z64"/>
      <c r="AA64"/>
      <c r="AB64"/>
      <c r="AC64"/>
      <c r="AD64"/>
    </row>
    <row r="65" spans="1:30" s="69" customFormat="1" ht="18" customHeight="1">
      <c r="A65" s="62"/>
      <c r="B65" s="63"/>
      <c r="C65" s="22"/>
      <c r="D65" s="266" t="s">
        <v>408</v>
      </c>
      <c r="E65" s="22"/>
      <c r="F65" s="276" t="s">
        <v>408</v>
      </c>
      <c r="G65" s="24"/>
      <c r="H65" s="23"/>
      <c r="I65" s="23"/>
      <c r="J65" s="64" t="str">
        <f t="shared" si="8"/>
        <v/>
      </c>
      <c r="K65" s="65"/>
      <c r="L65" s="65"/>
      <c r="M65" s="66" t="str">
        <f t="shared" si="9"/>
        <v/>
      </c>
      <c r="N65" s="23"/>
      <c r="O65" s="23"/>
      <c r="P65" s="64" t="str">
        <f t="shared" si="10"/>
        <v/>
      </c>
      <c r="Q65" s="65"/>
      <c r="R65" s="65"/>
      <c r="S65" s="66" t="str">
        <f t="shared" si="11"/>
        <v/>
      </c>
      <c r="T65" s="67"/>
      <c r="U65" s="68"/>
      <c r="V65" s="18" t="str">
        <f>IF($C65="","",VLOOKUP($C65,#REF!,4,FALSE))</f>
        <v/>
      </c>
      <c r="W65" s="72" t="str">
        <f>IF($E65="","",VLOOKUP($E65,#REF!,4,FALSE))</f>
        <v/>
      </c>
      <c r="Y65"/>
      <c r="Z65"/>
      <c r="AA65"/>
      <c r="AB65"/>
      <c r="AC65"/>
      <c r="AD65"/>
    </row>
    <row r="66" spans="1:30" s="69" customFormat="1" ht="18" customHeight="1">
      <c r="A66" s="62"/>
      <c r="B66" s="63"/>
      <c r="C66" s="22"/>
      <c r="D66" s="266" t="s">
        <v>408</v>
      </c>
      <c r="E66" s="22"/>
      <c r="F66" s="276" t="s">
        <v>408</v>
      </c>
      <c r="G66" s="24"/>
      <c r="H66" s="23"/>
      <c r="I66" s="23"/>
      <c r="J66" s="64" t="str">
        <f t="shared" si="8"/>
        <v/>
      </c>
      <c r="K66" s="65"/>
      <c r="L66" s="65"/>
      <c r="M66" s="66" t="str">
        <f t="shared" si="9"/>
        <v/>
      </c>
      <c r="N66" s="23"/>
      <c r="O66" s="23"/>
      <c r="P66" s="64" t="str">
        <f t="shared" si="10"/>
        <v/>
      </c>
      <c r="Q66" s="65"/>
      <c r="R66" s="65"/>
      <c r="S66" s="66" t="str">
        <f t="shared" si="11"/>
        <v/>
      </c>
      <c r="T66" s="67"/>
      <c r="U66" s="68"/>
      <c r="V66" s="18" t="str">
        <f>IF($C66="","",VLOOKUP($C66,#REF!,4,FALSE))</f>
        <v/>
      </c>
      <c r="W66" s="72" t="str">
        <f>IF($E66="","",VLOOKUP($E66,#REF!,4,FALSE))</f>
        <v/>
      </c>
      <c r="Y66"/>
      <c r="Z66"/>
      <c r="AA66"/>
      <c r="AB66"/>
      <c r="AC66"/>
      <c r="AD66"/>
    </row>
    <row r="67" spans="1:30" s="69" customFormat="1" ht="18" customHeight="1">
      <c r="A67" s="62"/>
      <c r="B67" s="63"/>
      <c r="C67" s="22"/>
      <c r="D67" s="266" t="s">
        <v>408</v>
      </c>
      <c r="E67" s="22"/>
      <c r="F67" s="276" t="s">
        <v>408</v>
      </c>
      <c r="G67" s="24"/>
      <c r="H67" s="23"/>
      <c r="I67" s="23"/>
      <c r="J67" s="64" t="str">
        <f t="shared" si="8"/>
        <v/>
      </c>
      <c r="K67" s="65"/>
      <c r="L67" s="65"/>
      <c r="M67" s="66" t="str">
        <f t="shared" si="9"/>
        <v/>
      </c>
      <c r="N67" s="23"/>
      <c r="O67" s="23"/>
      <c r="P67" s="64" t="str">
        <f t="shared" si="10"/>
        <v/>
      </c>
      <c r="Q67" s="65"/>
      <c r="R67" s="65"/>
      <c r="S67" s="66" t="str">
        <f t="shared" si="11"/>
        <v/>
      </c>
      <c r="T67" s="67"/>
      <c r="U67" s="68"/>
      <c r="V67" s="18" t="str">
        <f>IF($C67="","",VLOOKUP($C67,#REF!,4,FALSE))</f>
        <v/>
      </c>
      <c r="W67" s="72" t="str">
        <f>IF($E67="","",VLOOKUP($E67,#REF!,4,FALSE))</f>
        <v/>
      </c>
      <c r="Y67"/>
      <c r="Z67"/>
      <c r="AA67"/>
      <c r="AB67"/>
      <c r="AC67"/>
      <c r="AD67"/>
    </row>
    <row r="68" spans="1:30" s="69" customFormat="1" ht="18" customHeight="1">
      <c r="A68" s="62"/>
      <c r="B68" s="63"/>
      <c r="C68" s="22"/>
      <c r="D68" s="266" t="s">
        <v>408</v>
      </c>
      <c r="E68" s="22"/>
      <c r="F68" s="276" t="s">
        <v>408</v>
      </c>
      <c r="G68" s="24"/>
      <c r="H68" s="23"/>
      <c r="I68" s="23"/>
      <c r="J68" s="64" t="str">
        <f t="shared" si="8"/>
        <v/>
      </c>
      <c r="K68" s="65"/>
      <c r="L68" s="65"/>
      <c r="M68" s="66" t="str">
        <f t="shared" si="9"/>
        <v/>
      </c>
      <c r="N68" s="23"/>
      <c r="O68" s="23"/>
      <c r="P68" s="64" t="str">
        <f t="shared" si="10"/>
        <v/>
      </c>
      <c r="Q68" s="65"/>
      <c r="R68" s="65"/>
      <c r="S68" s="66" t="str">
        <f t="shared" si="11"/>
        <v/>
      </c>
      <c r="T68" s="67"/>
      <c r="U68" s="68"/>
      <c r="V68" s="18" t="str">
        <f>IF($C68="","",VLOOKUP($C68,#REF!,4,FALSE))</f>
        <v/>
      </c>
      <c r="W68" s="72" t="str">
        <f>IF($E68="","",VLOOKUP($E68,#REF!,4,FALSE))</f>
        <v/>
      </c>
      <c r="Y68"/>
      <c r="Z68"/>
      <c r="AA68"/>
      <c r="AB68"/>
      <c r="AC68"/>
      <c r="AD68"/>
    </row>
    <row r="69" spans="1:30" s="69" customFormat="1" ht="18" customHeight="1">
      <c r="A69" s="62"/>
      <c r="B69" s="63"/>
      <c r="C69" s="22"/>
      <c r="D69" s="266" t="s">
        <v>408</v>
      </c>
      <c r="E69" s="22"/>
      <c r="F69" s="276" t="s">
        <v>408</v>
      </c>
      <c r="G69" s="24"/>
      <c r="H69" s="23"/>
      <c r="I69" s="23"/>
      <c r="J69" s="64" t="str">
        <f t="shared" si="8"/>
        <v/>
      </c>
      <c r="K69" s="65"/>
      <c r="L69" s="65"/>
      <c r="M69" s="66" t="str">
        <f t="shared" si="9"/>
        <v/>
      </c>
      <c r="N69" s="23"/>
      <c r="O69" s="23"/>
      <c r="P69" s="64" t="str">
        <f t="shared" si="10"/>
        <v/>
      </c>
      <c r="Q69" s="65"/>
      <c r="R69" s="65"/>
      <c r="S69" s="66" t="str">
        <f t="shared" si="11"/>
        <v/>
      </c>
      <c r="T69" s="67"/>
      <c r="U69" s="68"/>
      <c r="V69" s="18" t="str">
        <f>IF($C69="","",VLOOKUP($C69,#REF!,4,FALSE))</f>
        <v/>
      </c>
      <c r="W69" s="72" t="str">
        <f>IF($E69="","",VLOOKUP($E69,#REF!,4,FALSE))</f>
        <v/>
      </c>
      <c r="Y69"/>
      <c r="Z69"/>
      <c r="AA69"/>
      <c r="AB69"/>
      <c r="AC69"/>
      <c r="AD69"/>
    </row>
    <row r="70" spans="1:30" s="69" customFormat="1" ht="18" customHeight="1">
      <c r="A70" s="62"/>
      <c r="B70" s="63"/>
      <c r="C70" s="22"/>
      <c r="D70" s="266" t="s">
        <v>408</v>
      </c>
      <c r="E70" s="22"/>
      <c r="F70" s="276" t="s">
        <v>408</v>
      </c>
      <c r="G70" s="24"/>
      <c r="H70" s="23"/>
      <c r="I70" s="23"/>
      <c r="J70" s="64" t="str">
        <f t="shared" si="8"/>
        <v/>
      </c>
      <c r="K70" s="65"/>
      <c r="L70" s="65"/>
      <c r="M70" s="66" t="str">
        <f t="shared" si="9"/>
        <v/>
      </c>
      <c r="N70" s="23"/>
      <c r="O70" s="23"/>
      <c r="P70" s="64" t="str">
        <f t="shared" si="10"/>
        <v/>
      </c>
      <c r="Q70" s="65"/>
      <c r="R70" s="65"/>
      <c r="S70" s="66" t="str">
        <f t="shared" si="11"/>
        <v/>
      </c>
      <c r="T70" s="67"/>
      <c r="U70" s="68"/>
      <c r="V70" s="18" t="str">
        <f>IF($C70="","",VLOOKUP($C70,#REF!,4,FALSE))</f>
        <v/>
      </c>
      <c r="W70" s="72" t="str">
        <f>IF($E70="","",VLOOKUP($E70,#REF!,4,FALSE))</f>
        <v/>
      </c>
      <c r="Y70"/>
      <c r="Z70"/>
      <c r="AA70"/>
      <c r="AB70"/>
      <c r="AC70"/>
      <c r="AD70"/>
    </row>
    <row r="71" spans="1:30" s="69" customFormat="1" ht="18" customHeight="1">
      <c r="A71" s="62"/>
      <c r="B71" s="63"/>
      <c r="C71" s="22"/>
      <c r="D71" s="266" t="s">
        <v>408</v>
      </c>
      <c r="E71" s="22"/>
      <c r="F71" s="276" t="s">
        <v>408</v>
      </c>
      <c r="G71" s="24"/>
      <c r="H71" s="23"/>
      <c r="I71" s="23"/>
      <c r="J71" s="64" t="str">
        <f t="shared" si="8"/>
        <v/>
      </c>
      <c r="K71" s="65"/>
      <c r="L71" s="65"/>
      <c r="M71" s="66" t="str">
        <f t="shared" si="9"/>
        <v/>
      </c>
      <c r="N71" s="23"/>
      <c r="O71" s="23"/>
      <c r="P71" s="64" t="str">
        <f t="shared" si="10"/>
        <v/>
      </c>
      <c r="Q71" s="65"/>
      <c r="R71" s="65"/>
      <c r="S71" s="66" t="str">
        <f t="shared" si="11"/>
        <v/>
      </c>
      <c r="T71" s="67"/>
      <c r="U71" s="68"/>
      <c r="V71" s="18" t="str">
        <f>IF($C71="","",VLOOKUP($C71,#REF!,4,FALSE))</f>
        <v/>
      </c>
      <c r="W71" s="72" t="str">
        <f>IF($E71="","",VLOOKUP($E71,#REF!,4,FALSE))</f>
        <v/>
      </c>
      <c r="Y71"/>
      <c r="Z71"/>
      <c r="AA71"/>
      <c r="AB71"/>
      <c r="AC71"/>
      <c r="AD71"/>
    </row>
    <row r="72" spans="1:30" s="69" customFormat="1" ht="18" customHeight="1">
      <c r="A72" s="62"/>
      <c r="B72" s="63"/>
      <c r="C72" s="22"/>
      <c r="D72" s="266" t="s">
        <v>408</v>
      </c>
      <c r="E72" s="22"/>
      <c r="F72" s="276" t="s">
        <v>408</v>
      </c>
      <c r="G72" s="24"/>
      <c r="H72" s="23"/>
      <c r="I72" s="23"/>
      <c r="J72" s="64" t="str">
        <f t="shared" si="8"/>
        <v/>
      </c>
      <c r="K72" s="65"/>
      <c r="L72" s="65"/>
      <c r="M72" s="66" t="str">
        <f t="shared" si="9"/>
        <v/>
      </c>
      <c r="N72" s="23"/>
      <c r="O72" s="23"/>
      <c r="P72" s="64" t="str">
        <f t="shared" si="10"/>
        <v/>
      </c>
      <c r="Q72" s="65"/>
      <c r="R72" s="65"/>
      <c r="S72" s="66" t="str">
        <f t="shared" si="11"/>
        <v/>
      </c>
      <c r="T72" s="67"/>
      <c r="U72" s="68"/>
      <c r="V72" s="18" t="str">
        <f>IF($C72="","",VLOOKUP($C72,#REF!,4,FALSE))</f>
        <v/>
      </c>
      <c r="W72" s="72" t="str">
        <f>IF($E72="","",VLOOKUP($E72,#REF!,4,FALSE))</f>
        <v/>
      </c>
      <c r="Y72"/>
      <c r="Z72"/>
      <c r="AA72"/>
      <c r="AB72"/>
      <c r="AC72"/>
      <c r="AD72"/>
    </row>
    <row r="73" spans="1:30" s="69" customFormat="1" ht="18" customHeight="1">
      <c r="A73" s="62"/>
      <c r="B73" s="63"/>
      <c r="C73" s="22"/>
      <c r="D73" s="266" t="s">
        <v>408</v>
      </c>
      <c r="E73" s="22"/>
      <c r="F73" s="276" t="s">
        <v>408</v>
      </c>
      <c r="G73" s="24"/>
      <c r="H73" s="23"/>
      <c r="I73" s="23"/>
      <c r="J73" s="64" t="str">
        <f t="shared" si="8"/>
        <v/>
      </c>
      <c r="K73" s="65"/>
      <c r="L73" s="65"/>
      <c r="M73" s="66" t="str">
        <f t="shared" si="9"/>
        <v/>
      </c>
      <c r="N73" s="23"/>
      <c r="O73" s="23"/>
      <c r="P73" s="64" t="str">
        <f t="shared" si="10"/>
        <v/>
      </c>
      <c r="Q73" s="65"/>
      <c r="R73" s="65"/>
      <c r="S73" s="66" t="str">
        <f t="shared" si="11"/>
        <v/>
      </c>
      <c r="T73" s="67"/>
      <c r="U73" s="68"/>
      <c r="V73" s="18" t="str">
        <f>IF($C73="","",VLOOKUP($C73,#REF!,4,FALSE))</f>
        <v/>
      </c>
      <c r="W73" s="72" t="str">
        <f>IF($E73="","",VLOOKUP($E73,#REF!,4,FALSE))</f>
        <v/>
      </c>
      <c r="Y73"/>
      <c r="Z73"/>
      <c r="AA73"/>
      <c r="AB73"/>
      <c r="AC73"/>
      <c r="AD73"/>
    </row>
    <row r="74" spans="1:30" ht="18" customHeight="1">
      <c r="C74" s="21"/>
      <c r="E74" s="71"/>
      <c r="G74" s="21"/>
    </row>
    <row r="75" spans="1:30" ht="18" customHeight="1">
      <c r="C75" s="21"/>
      <c r="E75" s="71"/>
      <c r="G75" s="21"/>
    </row>
    <row r="76" spans="1:30" ht="18" customHeight="1">
      <c r="C76" s="21"/>
      <c r="E76" s="71"/>
      <c r="G76" s="21"/>
    </row>
    <row r="77" spans="1:30" ht="18" customHeight="1">
      <c r="C77" s="21"/>
      <c r="E77" s="71"/>
      <c r="G77" s="21"/>
    </row>
    <row r="78" spans="1:30" ht="18" customHeight="1">
      <c r="C78" s="21"/>
      <c r="E78" s="71"/>
      <c r="G78" s="21"/>
    </row>
    <row r="79" spans="1:30" ht="18" customHeight="1">
      <c r="C79" s="21"/>
      <c r="E79" s="71"/>
      <c r="G79" s="21"/>
    </row>
    <row r="80" spans="1:30" ht="18" customHeight="1">
      <c r="C80" s="21"/>
      <c r="E80" s="71"/>
      <c r="G80" s="21"/>
    </row>
    <row r="81" spans="3:7" ht="18" customHeight="1">
      <c r="C81" s="21"/>
      <c r="E81" s="71"/>
      <c r="G81" s="21"/>
    </row>
    <row r="82" spans="3:7" ht="18" customHeight="1">
      <c r="C82" s="21"/>
      <c r="E82" s="71"/>
      <c r="G82" s="21"/>
    </row>
    <row r="83" spans="3:7" ht="18" customHeight="1">
      <c r="C83" s="21"/>
      <c r="E83" s="71"/>
      <c r="G83" s="21"/>
    </row>
    <row r="84" spans="3:7" ht="18" customHeight="1">
      <c r="C84" s="21"/>
      <c r="E84" s="71"/>
      <c r="G84" s="21"/>
    </row>
    <row r="85" spans="3:7" ht="18" customHeight="1">
      <c r="C85" s="21"/>
      <c r="E85" s="71"/>
      <c r="G85" s="21"/>
    </row>
    <row r="86" spans="3:7" ht="18" customHeight="1">
      <c r="C86" s="21"/>
      <c r="E86" s="71"/>
      <c r="G86" s="21"/>
    </row>
    <row r="87" spans="3:7" ht="18" customHeight="1">
      <c r="C87" s="21"/>
      <c r="E87" s="71"/>
      <c r="G87" s="21"/>
    </row>
    <row r="88" spans="3:7" ht="18" customHeight="1">
      <c r="C88" s="21"/>
      <c r="E88" s="71"/>
      <c r="G88" s="21"/>
    </row>
    <row r="89" spans="3:7" ht="18" customHeight="1">
      <c r="C89" s="21"/>
      <c r="E89" s="71"/>
      <c r="G89" s="21"/>
    </row>
    <row r="90" spans="3:7" ht="18" customHeight="1">
      <c r="C90" s="21"/>
      <c r="E90" s="71"/>
      <c r="G90" s="21"/>
    </row>
    <row r="91" spans="3:7" ht="18" customHeight="1">
      <c r="C91" s="21"/>
      <c r="E91" s="71"/>
      <c r="G91" s="21"/>
    </row>
    <row r="92" spans="3:7" ht="18" customHeight="1">
      <c r="C92" s="21"/>
      <c r="E92" s="71"/>
      <c r="G92" s="21"/>
    </row>
    <row r="93" spans="3:7" ht="18" customHeight="1">
      <c r="C93" s="21"/>
      <c r="E93" s="71"/>
      <c r="G93" s="21"/>
    </row>
    <row r="94" spans="3:7" ht="18" customHeight="1">
      <c r="C94" s="21"/>
      <c r="E94" s="71"/>
      <c r="G94" s="21"/>
    </row>
    <row r="95" spans="3:7" ht="18" customHeight="1">
      <c r="C95" s="21"/>
      <c r="E95" s="71"/>
      <c r="G95" s="21"/>
    </row>
    <row r="96" spans="3:7" ht="18" customHeight="1">
      <c r="C96" s="21"/>
      <c r="E96" s="71"/>
      <c r="G96" s="21"/>
    </row>
    <row r="97" spans="3:7" ht="18" customHeight="1">
      <c r="C97" s="21"/>
      <c r="E97" s="71"/>
      <c r="G97" s="21"/>
    </row>
    <row r="98" spans="3:7" ht="18" customHeight="1">
      <c r="C98" s="21"/>
      <c r="E98" s="71"/>
      <c r="G98" s="21"/>
    </row>
    <row r="99" spans="3:7" ht="18" customHeight="1">
      <c r="C99" s="21"/>
      <c r="E99" s="71"/>
      <c r="G99" s="21"/>
    </row>
    <row r="100" spans="3:7" ht="18" customHeight="1">
      <c r="C100" s="21"/>
      <c r="E100" s="71"/>
      <c r="G100" s="21"/>
    </row>
    <row r="101" spans="3:7" ht="18" customHeight="1">
      <c r="C101" s="21"/>
      <c r="E101" s="71"/>
      <c r="G101" s="21"/>
    </row>
    <row r="102" spans="3:7" ht="18" customHeight="1">
      <c r="C102" s="21"/>
      <c r="E102" s="71"/>
      <c r="G102" s="21"/>
    </row>
    <row r="103" spans="3:7" ht="18" customHeight="1">
      <c r="C103" s="21"/>
      <c r="E103" s="71"/>
      <c r="G103" s="21"/>
    </row>
    <row r="104" spans="3:7" ht="18" customHeight="1">
      <c r="C104" s="21"/>
      <c r="E104" s="71"/>
      <c r="G104" s="21"/>
    </row>
    <row r="105" spans="3:7" ht="18" customHeight="1">
      <c r="C105" s="21"/>
      <c r="E105" s="71"/>
      <c r="G105" s="21"/>
    </row>
    <row r="106" spans="3:7" ht="18" customHeight="1">
      <c r="C106" s="21"/>
      <c r="E106" s="71"/>
      <c r="G106" s="21"/>
    </row>
    <row r="107" spans="3:7" ht="18" customHeight="1">
      <c r="C107" s="21"/>
      <c r="E107" s="71"/>
      <c r="G107" s="21"/>
    </row>
    <row r="108" spans="3:7" ht="18" customHeight="1">
      <c r="C108" s="21"/>
      <c r="E108" s="71"/>
      <c r="G108" s="21"/>
    </row>
    <row r="109" spans="3:7" ht="18" customHeight="1">
      <c r="C109" s="21"/>
      <c r="E109" s="71"/>
      <c r="G109" s="21"/>
    </row>
    <row r="110" spans="3:7" ht="18" customHeight="1">
      <c r="C110" s="21"/>
      <c r="E110" s="71"/>
      <c r="G110" s="21"/>
    </row>
    <row r="111" spans="3:7" ht="18" customHeight="1">
      <c r="C111" s="21"/>
      <c r="E111" s="71"/>
      <c r="G111" s="21"/>
    </row>
    <row r="112" spans="3:7" ht="18" customHeight="1">
      <c r="C112" s="21"/>
      <c r="E112" s="71"/>
      <c r="G112" s="21"/>
    </row>
    <row r="113" spans="3:7" ht="18" customHeight="1">
      <c r="C113" s="21"/>
      <c r="E113" s="71"/>
      <c r="G113" s="21"/>
    </row>
    <row r="114" spans="3:7" ht="18" customHeight="1">
      <c r="C114" s="21"/>
      <c r="E114" s="71"/>
      <c r="G114" s="21"/>
    </row>
    <row r="115" spans="3:7" ht="18" customHeight="1">
      <c r="C115" s="21"/>
      <c r="E115" s="71"/>
      <c r="G115" s="21"/>
    </row>
    <row r="116" spans="3:7" ht="18" customHeight="1">
      <c r="C116" s="21"/>
      <c r="E116" s="71"/>
      <c r="G116" s="21"/>
    </row>
    <row r="117" spans="3:7" ht="18" customHeight="1">
      <c r="C117" s="21"/>
      <c r="E117" s="71"/>
      <c r="G117" s="21"/>
    </row>
    <row r="118" spans="3:7" ht="18" customHeight="1">
      <c r="C118" s="21"/>
      <c r="E118" s="71"/>
      <c r="G118" s="21"/>
    </row>
    <row r="119" spans="3:7" ht="18" customHeight="1">
      <c r="C119" s="21"/>
      <c r="E119" s="71"/>
      <c r="G119" s="21"/>
    </row>
    <row r="120" spans="3:7" ht="18" customHeight="1">
      <c r="C120" s="21"/>
      <c r="E120" s="71"/>
      <c r="G120" s="21"/>
    </row>
    <row r="121" spans="3:7" ht="18" customHeight="1">
      <c r="C121" s="21"/>
      <c r="E121" s="71"/>
      <c r="G121" s="21"/>
    </row>
    <row r="122" spans="3:7" ht="18" customHeight="1">
      <c r="C122" s="21"/>
      <c r="E122" s="71"/>
      <c r="G122" s="21"/>
    </row>
    <row r="123" spans="3:7" ht="18" customHeight="1">
      <c r="C123" s="21"/>
      <c r="E123" s="71"/>
      <c r="G123" s="21"/>
    </row>
    <row r="124" spans="3:7" ht="18" customHeight="1">
      <c r="C124" s="21"/>
      <c r="E124" s="71"/>
      <c r="G124" s="21"/>
    </row>
    <row r="125" spans="3:7" ht="18" customHeight="1">
      <c r="C125" s="21"/>
      <c r="E125" s="71"/>
      <c r="G125" s="21"/>
    </row>
    <row r="126" spans="3:7" ht="18" customHeight="1">
      <c r="C126" s="21"/>
      <c r="E126" s="71" ph="1"/>
      <c r="G126" s="21"/>
    </row>
    <row r="127" spans="3:7" ht="18" customHeight="1">
      <c r="C127" s="21"/>
      <c r="E127" s="71"/>
      <c r="G127" s="21"/>
    </row>
    <row r="128" spans="3:7" ht="18" customHeight="1">
      <c r="C128" s="21"/>
      <c r="E128" s="71"/>
      <c r="G128" s="21"/>
    </row>
    <row r="129" spans="3:7" ht="18" customHeight="1">
      <c r="C129" s="21"/>
      <c r="E129" s="71"/>
      <c r="G129" s="21"/>
    </row>
    <row r="130" spans="3:7" ht="18" customHeight="1">
      <c r="C130" s="21"/>
      <c r="E130" s="71"/>
      <c r="G130" s="21"/>
    </row>
    <row r="131" spans="3:7" ht="18" customHeight="1">
      <c r="C131" s="83"/>
      <c r="E131" s="71"/>
      <c r="G131" s="21"/>
    </row>
    <row r="132" spans="3:7" ht="18" customHeight="1">
      <c r="C132" s="21"/>
      <c r="E132" s="71"/>
      <c r="G132" s="21"/>
    </row>
    <row r="133" spans="3:7" ht="18" customHeight="1">
      <c r="C133" s="21"/>
      <c r="E133" s="71"/>
      <c r="G133" s="21"/>
    </row>
    <row r="134" spans="3:7" ht="18" customHeight="1">
      <c r="C134" s="21"/>
      <c r="E134" s="71"/>
      <c r="G134" s="21"/>
    </row>
    <row r="135" spans="3:7" ht="18" customHeight="1">
      <c r="C135" s="21"/>
      <c r="E135" s="71"/>
      <c r="G135" s="21"/>
    </row>
    <row r="136" spans="3:7" ht="18" customHeight="1">
      <c r="C136" s="21"/>
      <c r="E136" s="71"/>
      <c r="G136" s="21"/>
    </row>
    <row r="137" spans="3:7" ht="18" customHeight="1">
      <c r="C137" s="21"/>
      <c r="E137" s="71" ph="1"/>
      <c r="G137" s="21"/>
    </row>
    <row r="138" spans="3:7" ht="18" customHeight="1">
      <c r="C138" s="21"/>
      <c r="E138" s="71"/>
      <c r="G138" s="21"/>
    </row>
    <row r="139" spans="3:7" ht="18" customHeight="1">
      <c r="C139" s="21"/>
      <c r="E139" s="71"/>
      <c r="G139" s="21"/>
    </row>
    <row r="140" spans="3:7" ht="18" customHeight="1">
      <c r="C140" s="21"/>
      <c r="E140" s="71"/>
      <c r="G140" s="21"/>
    </row>
    <row r="141" spans="3:7" ht="18" customHeight="1">
      <c r="C141" s="21"/>
      <c r="E141" s="71"/>
      <c r="G141" s="21"/>
    </row>
    <row r="142" spans="3:7" ht="18" customHeight="1">
      <c r="C142" s="21"/>
      <c r="E142" s="71"/>
      <c r="G142" s="21"/>
    </row>
    <row r="143" spans="3:7" ht="18" customHeight="1">
      <c r="C143" s="21"/>
      <c r="E143" s="71"/>
      <c r="G143" s="21"/>
    </row>
    <row r="144" spans="3:7" ht="18" customHeight="1">
      <c r="C144" s="21"/>
      <c r="E144" s="71"/>
      <c r="G144" s="21"/>
    </row>
    <row r="145" spans="3:7" ht="18" customHeight="1">
      <c r="C145" s="21"/>
      <c r="E145" s="71"/>
      <c r="G145" s="21"/>
    </row>
    <row r="146" spans="3:7" ht="18" customHeight="1">
      <c r="C146" s="21"/>
      <c r="E146" s="71"/>
      <c r="G146" s="21"/>
    </row>
    <row r="147" spans="3:7" ht="18" customHeight="1">
      <c r="C147" s="21"/>
      <c r="E147" s="71"/>
      <c r="G147" s="21"/>
    </row>
    <row r="148" spans="3:7" ht="18" customHeight="1">
      <c r="C148" s="21"/>
      <c r="E148" s="71"/>
      <c r="G148" s="21"/>
    </row>
    <row r="149" spans="3:7" ht="18" customHeight="1">
      <c r="C149" s="21"/>
      <c r="E149" s="71"/>
      <c r="G149" s="21"/>
    </row>
    <row r="150" spans="3:7" ht="18" customHeight="1">
      <c r="C150" s="21"/>
      <c r="E150" s="71"/>
      <c r="G150" s="21"/>
    </row>
    <row r="151" spans="3:7" ht="18" customHeight="1">
      <c r="C151" s="21"/>
      <c r="E151" s="71"/>
      <c r="G151" s="21"/>
    </row>
    <row r="152" spans="3:7" ht="18" customHeight="1">
      <c r="C152" s="21"/>
      <c r="E152" s="71"/>
      <c r="G152" s="21"/>
    </row>
    <row r="153" spans="3:7" ht="18" customHeight="1">
      <c r="C153" s="21"/>
      <c r="E153" s="71" ph="1"/>
      <c r="G153" s="21"/>
    </row>
    <row r="154" spans="3:7" ht="18" customHeight="1">
      <c r="C154" s="21"/>
      <c r="E154" s="71" ph="1"/>
      <c r="G154" s="21"/>
    </row>
    <row r="155" spans="3:7" ht="18" customHeight="1">
      <c r="C155" s="21"/>
      <c r="E155" s="71"/>
      <c r="G155" s="21"/>
    </row>
    <row r="156" spans="3:7" ht="18" customHeight="1">
      <c r="C156" s="21"/>
      <c r="E156" s="71"/>
      <c r="G156" s="21"/>
    </row>
    <row r="157" spans="3:7" ht="18" customHeight="1">
      <c r="C157" s="21"/>
      <c r="E157" s="71"/>
      <c r="G157" s="21"/>
    </row>
    <row r="158" spans="3:7" ht="18" customHeight="1">
      <c r="C158" s="21"/>
      <c r="E158" s="71"/>
      <c r="G158" s="21"/>
    </row>
    <row r="159" spans="3:7" ht="18" customHeight="1">
      <c r="C159" s="21"/>
      <c r="E159" s="71"/>
      <c r="G159" s="21"/>
    </row>
    <row r="160" spans="3:7" ht="18" customHeight="1">
      <c r="C160" s="21"/>
      <c r="E160" s="71"/>
      <c r="G160" s="21"/>
    </row>
    <row r="161" spans="3:7" ht="18" customHeight="1">
      <c r="C161" s="21"/>
      <c r="E161" s="71"/>
      <c r="G161" s="21"/>
    </row>
    <row r="162" spans="3:7" ht="18" customHeight="1">
      <c r="C162" s="21"/>
      <c r="E162" s="71"/>
      <c r="G162" s="21"/>
    </row>
    <row r="163" spans="3:7" ht="18" customHeight="1">
      <c r="C163" s="21"/>
      <c r="E163" s="71"/>
      <c r="G163" s="21"/>
    </row>
    <row r="164" spans="3:7" ht="18" customHeight="1">
      <c r="C164" s="21"/>
      <c r="E164" s="71"/>
      <c r="G164" s="21"/>
    </row>
    <row r="165" spans="3:7" ht="18" customHeight="1">
      <c r="C165" s="21"/>
      <c r="E165" s="71"/>
      <c r="G165" s="21"/>
    </row>
    <row r="166" spans="3:7" ht="18" customHeight="1">
      <c r="C166" s="21"/>
      <c r="E166" s="71"/>
      <c r="G166" s="21"/>
    </row>
    <row r="167" spans="3:7" ht="18" customHeight="1">
      <c r="C167" s="21"/>
      <c r="E167" s="71"/>
      <c r="G167" s="21"/>
    </row>
    <row r="168" spans="3:7" ht="18" customHeight="1">
      <c r="C168" s="21"/>
      <c r="E168" s="71"/>
      <c r="G168" s="21"/>
    </row>
    <row r="169" spans="3:7" ht="18" customHeight="1">
      <c r="C169" s="21"/>
      <c r="E169" s="71"/>
      <c r="G169" s="21"/>
    </row>
    <row r="170" spans="3:7" ht="18" customHeight="1">
      <c r="C170" s="21"/>
      <c r="E170" s="71"/>
      <c r="G170" s="21"/>
    </row>
    <row r="171" spans="3:7" ht="18" customHeight="1">
      <c r="C171" s="21"/>
      <c r="E171" s="71"/>
      <c r="G171" s="21"/>
    </row>
    <row r="172" spans="3:7" ht="18" customHeight="1">
      <c r="C172" s="21"/>
      <c r="E172" s="71"/>
      <c r="G172" s="21"/>
    </row>
    <row r="173" spans="3:7" ht="18" customHeight="1">
      <c r="C173" s="21"/>
      <c r="E173" s="71" ph="1"/>
      <c r="G173" s="21"/>
    </row>
    <row r="174" spans="3:7" ht="18" customHeight="1">
      <c r="C174" s="21"/>
      <c r="E174" s="71"/>
      <c r="G174" s="21"/>
    </row>
    <row r="175" spans="3:7" ht="18" customHeight="1">
      <c r="C175" s="21"/>
      <c r="E175" s="71"/>
      <c r="G175" s="21"/>
    </row>
    <row r="176" spans="3:7" ht="18" customHeight="1">
      <c r="C176" s="21"/>
      <c r="E176" s="71"/>
      <c r="G176" s="21"/>
    </row>
    <row r="177" spans="3:7" ht="18" customHeight="1">
      <c r="C177" s="21"/>
      <c r="E177" s="71"/>
      <c r="G177" s="21"/>
    </row>
    <row r="178" spans="3:7" ht="18" customHeight="1">
      <c r="C178" s="21"/>
      <c r="E178" s="71"/>
      <c r="G178" s="21"/>
    </row>
    <row r="179" spans="3:7" ht="18" customHeight="1">
      <c r="C179" s="21"/>
      <c r="E179" s="71"/>
      <c r="G179" s="21"/>
    </row>
    <row r="180" spans="3:7" ht="18" customHeight="1">
      <c r="C180" s="21"/>
      <c r="E180" s="71"/>
      <c r="G180" s="21"/>
    </row>
    <row r="181" spans="3:7" ht="18" customHeight="1">
      <c r="C181" s="21"/>
      <c r="E181" s="84" ph="1"/>
      <c r="G181" s="21"/>
    </row>
    <row r="182" spans="3:7" ht="18" customHeight="1">
      <c r="C182" s="21"/>
      <c r="E182" s="84" ph="1"/>
      <c r="G182" s="21"/>
    </row>
    <row r="183" spans="3:7" ht="18" customHeight="1">
      <c r="C183" s="21"/>
      <c r="E183" s="71"/>
      <c r="G183" s="21"/>
    </row>
    <row r="184" spans="3:7" ht="18" customHeight="1">
      <c r="C184" s="21"/>
      <c r="E184" s="71"/>
      <c r="G184" s="21"/>
    </row>
    <row r="185" spans="3:7" ht="18" customHeight="1">
      <c r="C185" s="21"/>
      <c r="E185" s="71"/>
      <c r="G185" s="21"/>
    </row>
    <row r="186" spans="3:7" ht="18" customHeight="1">
      <c r="C186" s="21"/>
      <c r="E186" s="71"/>
      <c r="G186" s="21"/>
    </row>
    <row r="187" spans="3:7" ht="18" customHeight="1">
      <c r="C187" s="21"/>
      <c r="E187" s="71"/>
      <c r="G187" s="21"/>
    </row>
    <row r="188" spans="3:7" ht="18" customHeight="1">
      <c r="C188" s="21"/>
      <c r="E188" s="71"/>
      <c r="G188" s="21"/>
    </row>
    <row r="189" spans="3:7" ht="18" customHeight="1">
      <c r="C189" s="21"/>
      <c r="E189" s="71"/>
      <c r="G189" s="21"/>
    </row>
    <row r="190" spans="3:7" ht="18" customHeight="1">
      <c r="C190" s="21"/>
      <c r="E190" s="71"/>
      <c r="G190" s="21"/>
    </row>
    <row r="191" spans="3:7" ht="18" customHeight="1">
      <c r="C191" s="21"/>
      <c r="E191" s="71"/>
      <c r="G191" s="21"/>
    </row>
    <row r="192" spans="3:7" ht="18" customHeight="1">
      <c r="C192" s="21"/>
      <c r="E192" s="71"/>
      <c r="G192" s="21"/>
    </row>
    <row r="193" spans="3:7" ht="18" customHeight="1">
      <c r="C193" s="21"/>
      <c r="E193" s="71"/>
      <c r="G193" s="21"/>
    </row>
    <row r="194" spans="3:7" ht="18" customHeight="1">
      <c r="C194" s="21"/>
      <c r="E194" s="71"/>
      <c r="G194" s="21"/>
    </row>
    <row r="195" spans="3:7" ht="18" customHeight="1">
      <c r="C195" s="21"/>
      <c r="E195" s="71"/>
      <c r="G195" s="21"/>
    </row>
    <row r="196" spans="3:7" ht="18" customHeight="1">
      <c r="C196" s="21"/>
      <c r="E196" s="71" ph="1"/>
      <c r="G196" s="21"/>
    </row>
    <row r="197" spans="3:7" ht="18" customHeight="1">
      <c r="C197" s="21"/>
      <c r="E197" s="71"/>
      <c r="G197" s="21"/>
    </row>
    <row r="198" spans="3:7" ht="18" customHeight="1">
      <c r="C198" s="21"/>
      <c r="E198" s="71" ph="1"/>
      <c r="G198" s="21"/>
    </row>
    <row r="199" spans="3:7" ht="18" customHeight="1">
      <c r="C199" s="21"/>
      <c r="E199" s="71" ph="1"/>
      <c r="G199" s="21"/>
    </row>
    <row r="200" spans="3:7" ht="18" customHeight="1">
      <c r="C200" s="21"/>
      <c r="E200" s="71" ph="1"/>
      <c r="G200" s="21"/>
    </row>
    <row r="201" spans="3:7" ht="18" customHeight="1">
      <c r="C201" s="21" t="s">
        <v>158</v>
      </c>
      <c r="E201" s="71" ph="1"/>
      <c r="G201" s="21" t="s">
        <v>309</v>
      </c>
    </row>
    <row r="202" spans="3:7" ht="18" customHeight="1">
      <c r="C202" s="21"/>
      <c r="E202" s="71"/>
      <c r="G202" s="79"/>
    </row>
    <row r="203" spans="3:7" ht="18" customHeight="1">
      <c r="C203" s="21"/>
      <c r="E203" s="80"/>
      <c r="G203" s="79"/>
    </row>
    <row r="204" spans="3:7" ht="18" customHeight="1">
      <c r="C204" s="21"/>
      <c r="E204" s="71"/>
      <c r="G204" s="79"/>
    </row>
    <row r="205" spans="3:7" ht="18" customHeight="1">
      <c r="C205" s="21"/>
      <c r="E205" s="71"/>
      <c r="G205" s="79"/>
    </row>
    <row r="206" spans="3:7" ht="18" customHeight="1">
      <c r="C206" s="21"/>
      <c r="E206" s="71"/>
      <c r="G206" s="79"/>
    </row>
    <row r="207" spans="3:7" ht="18" customHeight="1">
      <c r="C207" s="21"/>
      <c r="E207" s="71"/>
      <c r="G207" s="79"/>
    </row>
    <row r="208" spans="3:7" ht="18" customHeight="1">
      <c r="C208" s="21"/>
      <c r="E208" s="71"/>
      <c r="G208" s="79"/>
    </row>
    <row r="209" spans="3:7" ht="18" customHeight="1">
      <c r="C209" s="21"/>
      <c r="E209" s="71"/>
      <c r="G209" s="79"/>
    </row>
    <row r="210" spans="3:7" ht="18" customHeight="1">
      <c r="C210" s="21"/>
      <c r="E210" s="71"/>
      <c r="G210" s="79"/>
    </row>
    <row r="211" spans="3:7" ht="18" customHeight="1">
      <c r="C211" s="21"/>
      <c r="E211" s="71"/>
      <c r="G211" s="79"/>
    </row>
    <row r="212" spans="3:7" ht="18" customHeight="1">
      <c r="C212" s="21"/>
      <c r="E212" s="71"/>
      <c r="G212" s="79"/>
    </row>
    <row r="213" spans="3:7" ht="18" customHeight="1">
      <c r="C213" s="21"/>
      <c r="E213" s="71"/>
      <c r="G213" s="79"/>
    </row>
    <row r="214" spans="3:7" ht="18" customHeight="1">
      <c r="C214" s="21"/>
      <c r="E214" s="80"/>
      <c r="G214" s="79"/>
    </row>
    <row r="215" spans="3:7" ht="18" customHeight="1">
      <c r="C215" s="21"/>
      <c r="E215" s="80"/>
      <c r="G215" s="79"/>
    </row>
    <row r="216" spans="3:7" ht="18" customHeight="1">
      <c r="C216" s="79"/>
      <c r="E216" s="80"/>
      <c r="G216" s="79"/>
    </row>
    <row r="217" spans="3:7" ht="18" customHeight="1">
      <c r="C217" s="21"/>
      <c r="E217" s="80"/>
      <c r="G217" s="79"/>
    </row>
    <row r="218" spans="3:7" ht="18" customHeight="1">
      <c r="C218" s="79"/>
      <c r="E218" s="80"/>
      <c r="G218" s="79"/>
    </row>
    <row r="219" spans="3:7" ht="18" customHeight="1">
      <c r="C219" s="21"/>
      <c r="E219" s="80"/>
      <c r="G219" s="79"/>
    </row>
    <row r="220" spans="3:7" ht="18" customHeight="1">
      <c r="C220" s="21"/>
      <c r="E220" s="80"/>
      <c r="G220" s="21"/>
    </row>
    <row r="221" spans="3:7" ht="18" customHeight="1">
      <c r="C221" s="21"/>
      <c r="E221" s="80"/>
      <c r="G221" s="21"/>
    </row>
    <row r="222" spans="3:7" ht="18" customHeight="1">
      <c r="C222" s="21"/>
      <c r="E222" s="80"/>
      <c r="G222" s="21"/>
    </row>
    <row r="223" spans="3:7" ht="18" customHeight="1">
      <c r="C223" s="21"/>
      <c r="E223" s="80"/>
      <c r="G223" s="21"/>
    </row>
  </sheetData>
  <sortState xmlns:xlrd2="http://schemas.microsoft.com/office/spreadsheetml/2017/richdata2" ref="A14:AD17">
    <sortCondition ref="B14:B17"/>
  </sortState>
  <phoneticPr fontId="6"/>
  <conditionalFormatting sqref="V14:V73">
    <cfRule type="cellIs" dxfId="3" priority="4" stopIfTrue="1" operator="notBetween">
      <formula>"A"</formula>
      <formula>"Ｂ"</formula>
    </cfRule>
  </conditionalFormatting>
  <conditionalFormatting sqref="W14:W73">
    <cfRule type="cellIs" dxfId="2" priority="3" stopIfTrue="1" operator="between">
      <formula>"-"</formula>
      <formula>"申請中"</formula>
    </cfRule>
  </conditionalFormatting>
  <conditionalFormatting sqref="C15">
    <cfRule type="duplicateValues" dxfId="1" priority="2"/>
  </conditionalFormatting>
  <conditionalFormatting sqref="E15">
    <cfRule type="duplicateValues" dxfId="0" priority="1"/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4</xdr:row>
                    <xdr:rowOff>7620</xdr:rowOff>
                  </from>
                  <to>
                    <xdr:col>26</xdr:col>
                    <xdr:colOff>556260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38</vt:i4>
      </vt:variant>
    </vt:vector>
  </HeadingPairs>
  <TitlesOfParts>
    <vt:vector size="78" baseType="lpstr">
      <vt:lpstr>21.1</vt:lpstr>
      <vt:lpstr>21.2</vt:lpstr>
      <vt:lpstr>21_A70</vt:lpstr>
      <vt:lpstr>22.1</vt:lpstr>
      <vt:lpstr>22.2</vt:lpstr>
      <vt:lpstr>22_A80 </vt:lpstr>
      <vt:lpstr>23.1</vt:lpstr>
      <vt:lpstr>23.2</vt:lpstr>
      <vt:lpstr>23_LB</vt:lpstr>
      <vt:lpstr>24.1</vt:lpstr>
      <vt:lpstr>24.2</vt:lpstr>
      <vt:lpstr>24_LA</vt:lpstr>
      <vt:lpstr>25.1</vt:lpstr>
      <vt:lpstr>25.2</vt:lpstr>
      <vt:lpstr>25_MA</vt:lpstr>
      <vt:lpstr>26.1</vt:lpstr>
      <vt:lpstr>26.2</vt:lpstr>
      <vt:lpstr>26_中B</vt:lpstr>
      <vt:lpstr>27.1</vt:lpstr>
      <vt:lpstr>27.2</vt:lpstr>
      <vt:lpstr>27_中C</vt:lpstr>
      <vt:lpstr>28.1</vt:lpstr>
      <vt:lpstr>28.2</vt:lpstr>
      <vt:lpstr>28_MC</vt:lpstr>
      <vt:lpstr>29.1</vt:lpstr>
      <vt:lpstr>29.2</vt:lpstr>
      <vt:lpstr>29_中D</vt:lpstr>
      <vt:lpstr>30.1</vt:lpstr>
      <vt:lpstr>30.2</vt:lpstr>
      <vt:lpstr>30_MD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'21_A70'!Print_Area</vt:lpstr>
      <vt:lpstr>'22_A80 '!Print_Area</vt:lpstr>
      <vt:lpstr>'23.2'!Print_Area</vt:lpstr>
      <vt:lpstr>'23_LB'!Print_Area</vt:lpstr>
      <vt:lpstr>'24.2'!Print_Area</vt:lpstr>
      <vt:lpstr>'24_LA'!Print_Area</vt:lpstr>
      <vt:lpstr>'25.2'!Print_Area</vt:lpstr>
      <vt:lpstr>'25_MA'!Print_Area</vt:lpstr>
      <vt:lpstr>'26.2'!Print_Area</vt:lpstr>
      <vt:lpstr>'26_中B'!Print_Area</vt:lpstr>
      <vt:lpstr>'27.2'!Print_Area</vt:lpstr>
      <vt:lpstr>'27_中C'!Print_Area</vt:lpstr>
      <vt:lpstr>'28.2'!Print_Area</vt:lpstr>
      <vt:lpstr>'28_MC'!Print_Area</vt:lpstr>
      <vt:lpstr>'29.2'!Print_Area</vt:lpstr>
      <vt:lpstr>'29_中D'!Print_Area</vt:lpstr>
      <vt:lpstr>'30.2'!Print_Area</vt:lpstr>
      <vt:lpstr>'30_MD'!Print_Area</vt:lpstr>
      <vt:lpstr>'21'!Print_Titles</vt:lpstr>
      <vt:lpstr>'21_A70'!Print_Titles</vt:lpstr>
      <vt:lpstr>'22'!Print_Titles</vt:lpstr>
      <vt:lpstr>'22_A80 '!Print_Titles</vt:lpstr>
      <vt:lpstr>'23'!Print_Titles</vt:lpstr>
      <vt:lpstr>'23_LB'!Print_Titles</vt:lpstr>
      <vt:lpstr>'24'!Print_Titles</vt:lpstr>
      <vt:lpstr>'24_LA'!Print_Titles</vt:lpstr>
      <vt:lpstr>'25'!Print_Titles</vt:lpstr>
      <vt:lpstr>'25_MA'!Print_Titles</vt:lpstr>
      <vt:lpstr>'26'!Print_Titles</vt:lpstr>
      <vt:lpstr>'26_中B'!Print_Titles</vt:lpstr>
      <vt:lpstr>'27'!Print_Titles</vt:lpstr>
      <vt:lpstr>'27_中C'!Print_Titles</vt:lpstr>
      <vt:lpstr>'28'!Print_Titles</vt:lpstr>
      <vt:lpstr>'28_MC'!Print_Titles</vt:lpstr>
      <vt:lpstr>'29'!Print_Titles</vt:lpstr>
      <vt:lpstr>'29_中D'!Print_Titles</vt:lpstr>
      <vt:lpstr>'30'!Print_Titles</vt:lpstr>
      <vt:lpstr>'30_MD'!Print_Titles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Yukifumi TANAKA@JEF</dc:creator>
  <cp:lastModifiedBy>大輔 川口</cp:lastModifiedBy>
  <cp:lastPrinted>2026-09-12T10:32:45Z</cp:lastPrinted>
  <dcterms:created xsi:type="dcterms:W3CDTF">2014-02-05T04:04:40Z</dcterms:created>
  <dcterms:modified xsi:type="dcterms:W3CDTF">2026-09-12T22:15:14Z</dcterms:modified>
</cp:coreProperties>
</file>