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24.254\Alrit共有\試合\2026年\26autumn\出番\"/>
    </mc:Choice>
  </mc:AlternateContent>
  <xr:revisionPtr revIDLastSave="0" documentId="13_ncr:1_{4003446E-2485-4328-B56A-4ABA4C0C4E4D}" xr6:coauthVersionLast="47" xr6:coauthVersionMax="47" xr10:uidLastSave="{00000000-0000-0000-0000-000000000000}"/>
  <bookViews>
    <workbookView xWindow="19090" yWindow="-110" windowWidth="25820" windowHeight="15500" tabRatio="781" firstSheet="1" activeTab="7" xr2:uid="{00000000-000D-0000-FFFF-FFFF00000000}"/>
  </bookViews>
  <sheets>
    <sheet name="11.1" sheetId="63" state="hidden" r:id="rId1"/>
    <sheet name="11_V70" sheetId="27" r:id="rId2"/>
    <sheet name="12.1" sheetId="64" state="hidden" r:id="rId3"/>
    <sheet name="12_V80" sheetId="59" r:id="rId4"/>
    <sheet name="13.1" sheetId="65" state="hidden" r:id="rId5"/>
    <sheet name="13_LB" sheetId="60" r:id="rId6"/>
    <sheet name="14.1" sheetId="66" state="hidden" r:id="rId7"/>
    <sheet name="14_LA" sheetId="21" r:id="rId8"/>
    <sheet name="15.1" sheetId="68" state="hidden" r:id="rId9"/>
    <sheet name="15_中D" sheetId="44" r:id="rId10"/>
    <sheet name="16.1" sheetId="67" state="hidden" r:id="rId11"/>
    <sheet name="16_MD" sheetId="42" r:id="rId12"/>
    <sheet name="17.1" sheetId="69" state="hidden" r:id="rId13"/>
    <sheet name="17_中C" sheetId="50" r:id="rId14"/>
    <sheet name="18.1" sheetId="70" state="hidden" r:id="rId15"/>
    <sheet name="18_MＣ" sheetId="46" r:id="rId16"/>
    <sheet name="19.1" sheetId="71" state="hidden" r:id="rId17"/>
    <sheet name="19_中Ｂ" sheetId="55" r:id="rId18"/>
    <sheet name="20.1" sheetId="72" state="hidden" r:id="rId19"/>
    <sheet name="20_中Ａ" sheetId="56" r:id="rId20"/>
    <sheet name="11" sheetId="28" r:id="rId21"/>
    <sheet name="12" sheetId="57" r:id="rId22"/>
    <sheet name="13" sheetId="58" r:id="rId23"/>
    <sheet name="14" sheetId="36" r:id="rId24"/>
    <sheet name="15" sheetId="51" r:id="rId25"/>
    <sheet name="16" sheetId="37" r:id="rId26"/>
    <sheet name="17" sheetId="52" r:id="rId27"/>
    <sheet name="18" sheetId="39" r:id="rId28"/>
    <sheet name="19" sheetId="53" r:id="rId29"/>
    <sheet name="20" sheetId="54" r:id="rId30"/>
  </sheets>
  <definedNames>
    <definedName name="_xlnm._FilterDatabase" localSheetId="20" hidden="1">'11'!$A$13:$AD$13</definedName>
    <definedName name="_xlnm._FilterDatabase" localSheetId="21" hidden="1">'12'!$A$13:$T$13</definedName>
    <definedName name="_xlnm._FilterDatabase" localSheetId="22" hidden="1">'13'!$A$13:$W$13</definedName>
    <definedName name="_xlnm._FilterDatabase" localSheetId="23" hidden="1">'14'!$A$13:$W$13</definedName>
    <definedName name="_xlnm._FilterDatabase" localSheetId="24" hidden="1">'15'!$A$13:$W$13</definedName>
    <definedName name="_xlnm._FilterDatabase" localSheetId="25" hidden="1">'16'!$A$13:$W$13</definedName>
    <definedName name="_xlnm._FilterDatabase" localSheetId="26" hidden="1">'17'!$A$13:$W$13</definedName>
    <definedName name="_xlnm._FilterDatabase" localSheetId="28" hidden="1">'19'!$A$13:$W$13</definedName>
    <definedName name="_xlnm._FilterDatabase" localSheetId="29" hidden="1">'20'!$A$13:$AD$13</definedName>
    <definedName name="_xlnm.Print_Area" localSheetId="0">'11.1'!$A$1:$I$11</definedName>
    <definedName name="_xlnm.Print_Area" localSheetId="1">'11_V70'!$A$1:$G$63</definedName>
    <definedName name="_xlnm.Print_Area" localSheetId="2">'12.1'!$A$1:$I$11</definedName>
    <definedName name="_xlnm.Print_Area" localSheetId="3">'12_V80'!$A$1:$G$43</definedName>
    <definedName name="_xlnm.Print_Area" localSheetId="4">'13.1'!$A$1:$I$11</definedName>
    <definedName name="_xlnm.Print_Area" localSheetId="5">'13_LB'!$A$1:$G$48</definedName>
    <definedName name="_xlnm.Print_Area" localSheetId="6">'14.1'!$A$1:$I$11</definedName>
    <definedName name="_xlnm.Print_Area" localSheetId="7">'14_LA'!$A$6:$G$43</definedName>
    <definedName name="_xlnm.Print_Area" localSheetId="8">'15.1'!$A$1:$I$16</definedName>
    <definedName name="_xlnm.Print_Area" localSheetId="9">'15_中D'!$A$6:$G$45</definedName>
    <definedName name="_xlnm.Print_Area" localSheetId="10">'16.1'!$A$1:$I$16</definedName>
    <definedName name="_xlnm.Print_Area" localSheetId="11">'16_MD'!$A$6:$G$43</definedName>
    <definedName name="_xlnm.Print_Area" localSheetId="12">'17.1'!$A$1:$I$16</definedName>
    <definedName name="_xlnm.Print_Area" localSheetId="13">'17_中C'!$A$6:$G$27</definedName>
    <definedName name="_xlnm.Print_Area" localSheetId="14">'18.1'!$A$1:$I$11</definedName>
    <definedName name="_xlnm.Print_Area" localSheetId="15">'18_MＣ'!$A$6:$G$43</definedName>
    <definedName name="_xlnm.Print_Area" localSheetId="16">'19.1'!$A$1:$I$16</definedName>
    <definedName name="_xlnm.Print_Area" localSheetId="17">'19_中Ｂ'!$A$6:$G$27</definedName>
    <definedName name="_xlnm.Print_Area" localSheetId="18">'20.1'!$A$1:$I$11</definedName>
    <definedName name="_xlnm.Print_Area" localSheetId="19">'20_中Ａ'!$A$1:$G$15</definedName>
    <definedName name="_xlnm.Print_Titles" localSheetId="20">'11'!$1:$13</definedName>
    <definedName name="_xlnm.Print_Titles" localSheetId="1">'11_V70'!$6:$13</definedName>
    <definedName name="_xlnm.Print_Titles" localSheetId="21">'12'!$1:$13</definedName>
    <definedName name="_xlnm.Print_Titles" localSheetId="3">'12_V80'!$6:$13</definedName>
    <definedName name="_xlnm.Print_Titles" localSheetId="22">'13'!$1:$13</definedName>
    <definedName name="_xlnm.Print_Titles" localSheetId="5">'13_LB'!$6:$13</definedName>
    <definedName name="_xlnm.Print_Titles" localSheetId="23">'14'!$1:$13</definedName>
    <definedName name="_xlnm.Print_Titles" localSheetId="7">'14_LA'!$6:$13</definedName>
    <definedName name="_xlnm.Print_Titles" localSheetId="24">'15'!$1:$13</definedName>
    <definedName name="_xlnm.Print_Titles" localSheetId="9">'15_中D'!$6:$13</definedName>
    <definedName name="_xlnm.Print_Titles" localSheetId="25">'16'!$1:$13</definedName>
    <definedName name="_xlnm.Print_Titles" localSheetId="11">'16_MD'!$6:$13</definedName>
    <definedName name="_xlnm.Print_Titles" localSheetId="26">'17'!$1:$13</definedName>
    <definedName name="_xlnm.Print_Titles" localSheetId="13">'17_中C'!$6:$13</definedName>
    <definedName name="_xlnm.Print_Titles" localSheetId="27">'18'!$1:$13</definedName>
    <definedName name="_xlnm.Print_Titles" localSheetId="15">'18_MＣ'!$6:$13</definedName>
    <definedName name="_xlnm.Print_Titles" localSheetId="28">'19'!$1:$13</definedName>
    <definedName name="_xlnm.Print_Titles" localSheetId="17">'19_中Ｂ'!$6:$13</definedName>
    <definedName name="_xlnm.Print_Titles" localSheetId="29">'20'!$1:$13</definedName>
    <definedName name="_xlnm.Print_Titles" localSheetId="19">'20_中Ａ'!$6:$13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" i="50" l="1"/>
  <c r="B27" i="50"/>
  <c r="C27" i="50"/>
  <c r="D27" i="50"/>
  <c r="E27" i="50"/>
  <c r="F27" i="50"/>
  <c r="G27" i="50"/>
  <c r="A15" i="27" l="1"/>
  <c r="B15" i="27"/>
  <c r="C15" i="27"/>
  <c r="D15" i="27"/>
  <c r="E15" i="27"/>
  <c r="F15" i="27"/>
  <c r="G15" i="27"/>
  <c r="A16" i="27"/>
  <c r="B16" i="27"/>
  <c r="C16" i="27"/>
  <c r="D16" i="27"/>
  <c r="E16" i="27"/>
  <c r="F16" i="27"/>
  <c r="G16" i="27"/>
  <c r="A17" i="27"/>
  <c r="B17" i="27"/>
  <c r="C17" i="27"/>
  <c r="D17" i="27"/>
  <c r="E17" i="27"/>
  <c r="F17" i="27"/>
  <c r="G17" i="27"/>
  <c r="A18" i="27"/>
  <c r="B18" i="27"/>
  <c r="C18" i="27"/>
  <c r="D18" i="27"/>
  <c r="E18" i="27"/>
  <c r="F18" i="27"/>
  <c r="G18" i="27"/>
  <c r="A19" i="27"/>
  <c r="B19" i="27"/>
  <c r="C19" i="27"/>
  <c r="D19" i="27"/>
  <c r="E19" i="27"/>
  <c r="F19" i="27"/>
  <c r="G19" i="27"/>
  <c r="A20" i="27"/>
  <c r="B20" i="27"/>
  <c r="C20" i="27"/>
  <c r="D20" i="27"/>
  <c r="E20" i="27"/>
  <c r="F20" i="27"/>
  <c r="G20" i="27"/>
  <c r="A21" i="27"/>
  <c r="B21" i="27"/>
  <c r="C21" i="27"/>
  <c r="D21" i="27"/>
  <c r="E21" i="27"/>
  <c r="F21" i="27"/>
  <c r="G21" i="27"/>
  <c r="A22" i="27"/>
  <c r="B22" i="27"/>
  <c r="C22" i="27"/>
  <c r="D22" i="27"/>
  <c r="E22" i="27"/>
  <c r="F22" i="27"/>
  <c r="G22" i="27"/>
  <c r="A23" i="27"/>
  <c r="B23" i="27"/>
  <c r="C23" i="27"/>
  <c r="D23" i="27"/>
  <c r="E23" i="27"/>
  <c r="F23" i="27"/>
  <c r="G23" i="27"/>
  <c r="A24" i="27"/>
  <c r="B24" i="27"/>
  <c r="C24" i="27"/>
  <c r="D24" i="27"/>
  <c r="E24" i="27"/>
  <c r="F24" i="27"/>
  <c r="G24" i="27"/>
  <c r="A25" i="27"/>
  <c r="B25" i="27"/>
  <c r="C25" i="27"/>
  <c r="D25" i="27"/>
  <c r="E25" i="27"/>
  <c r="F25" i="27"/>
  <c r="G25" i="27"/>
  <c r="A26" i="27"/>
  <c r="B26" i="27"/>
  <c r="C26" i="27"/>
  <c r="D26" i="27"/>
  <c r="E26" i="27"/>
  <c r="F26" i="27"/>
  <c r="G26" i="27"/>
  <c r="A27" i="27"/>
  <c r="B27" i="27"/>
  <c r="C27" i="27"/>
  <c r="D27" i="27"/>
  <c r="E27" i="27"/>
  <c r="F27" i="27"/>
  <c r="G27" i="27"/>
  <c r="A28" i="27"/>
  <c r="B28" i="27"/>
  <c r="C28" i="27"/>
  <c r="D28" i="27"/>
  <c r="E28" i="27"/>
  <c r="F28" i="27"/>
  <c r="G28" i="27"/>
  <c r="A29" i="27"/>
  <c r="B29" i="27"/>
  <c r="C29" i="27"/>
  <c r="D29" i="27"/>
  <c r="E29" i="27"/>
  <c r="F29" i="27"/>
  <c r="G29" i="27"/>
  <c r="A30" i="27"/>
  <c r="B30" i="27"/>
  <c r="C30" i="27"/>
  <c r="D30" i="27"/>
  <c r="E30" i="27"/>
  <c r="F30" i="27"/>
  <c r="G30" i="27"/>
  <c r="A31" i="27"/>
  <c r="B31" i="27"/>
  <c r="C31" i="27"/>
  <c r="D31" i="27"/>
  <c r="E31" i="27"/>
  <c r="F31" i="27"/>
  <c r="G31" i="27"/>
  <c r="A32" i="27"/>
  <c r="B32" i="27"/>
  <c r="C32" i="27"/>
  <c r="D32" i="27"/>
  <c r="E32" i="27"/>
  <c r="F32" i="27"/>
  <c r="G32" i="27"/>
  <c r="A33" i="27"/>
  <c r="B33" i="27"/>
  <c r="C33" i="27"/>
  <c r="D33" i="27"/>
  <c r="E33" i="27"/>
  <c r="F33" i="27"/>
  <c r="G33" i="27"/>
  <c r="A34" i="27"/>
  <c r="B34" i="27"/>
  <c r="C34" i="27"/>
  <c r="D34" i="27"/>
  <c r="E34" i="27"/>
  <c r="F34" i="27"/>
  <c r="G34" i="27"/>
  <c r="A35" i="27"/>
  <c r="B35" i="27"/>
  <c r="C35" i="27"/>
  <c r="D35" i="27"/>
  <c r="E35" i="27"/>
  <c r="F35" i="27"/>
  <c r="G35" i="27"/>
  <c r="G88" i="44" l="1"/>
  <c r="F88" i="44"/>
  <c r="E88" i="44"/>
  <c r="D88" i="44"/>
  <c r="C88" i="44"/>
  <c r="B88" i="44"/>
  <c r="A88" i="44"/>
  <c r="G87" i="44"/>
  <c r="F87" i="44"/>
  <c r="E87" i="44"/>
  <c r="D87" i="44"/>
  <c r="C87" i="44"/>
  <c r="B87" i="44"/>
  <c r="A87" i="44"/>
  <c r="G86" i="44"/>
  <c r="F86" i="44"/>
  <c r="E86" i="44"/>
  <c r="D86" i="44"/>
  <c r="C86" i="44"/>
  <c r="B86" i="44"/>
  <c r="A86" i="44"/>
  <c r="G85" i="44"/>
  <c r="F85" i="44"/>
  <c r="E85" i="44"/>
  <c r="D85" i="44"/>
  <c r="C85" i="44"/>
  <c r="B85" i="44"/>
  <c r="A85" i="44"/>
  <c r="G84" i="44"/>
  <c r="F84" i="44"/>
  <c r="E84" i="44"/>
  <c r="D84" i="44"/>
  <c r="C84" i="44"/>
  <c r="B84" i="44"/>
  <c r="A84" i="44"/>
  <c r="G83" i="44"/>
  <c r="F83" i="44"/>
  <c r="E83" i="44"/>
  <c r="D83" i="44"/>
  <c r="C83" i="44"/>
  <c r="B83" i="44"/>
  <c r="A83" i="44"/>
  <c r="G82" i="44"/>
  <c r="F82" i="44"/>
  <c r="E82" i="44"/>
  <c r="D82" i="44"/>
  <c r="C82" i="44"/>
  <c r="B82" i="44"/>
  <c r="A82" i="44"/>
  <c r="S65" i="51"/>
  <c r="P65" i="51"/>
  <c r="M65" i="51"/>
  <c r="J65" i="51"/>
  <c r="S64" i="51"/>
  <c r="P64" i="51"/>
  <c r="M64" i="51"/>
  <c r="J64" i="51"/>
  <c r="S63" i="51"/>
  <c r="P63" i="51"/>
  <c r="M63" i="51"/>
  <c r="J63" i="51"/>
  <c r="S62" i="51"/>
  <c r="P62" i="51"/>
  <c r="M62" i="51"/>
  <c r="J62" i="51"/>
  <c r="S61" i="51"/>
  <c r="P61" i="51"/>
  <c r="M61" i="51"/>
  <c r="J61" i="51"/>
  <c r="S60" i="51"/>
  <c r="P60" i="51"/>
  <c r="M60" i="51"/>
  <c r="J60" i="51"/>
  <c r="B39" i="27"/>
  <c r="B40" i="27"/>
  <c r="B41" i="27"/>
  <c r="B42" i="27"/>
  <c r="B43" i="27"/>
  <c r="A74" i="44" l="1"/>
  <c r="B74" i="44"/>
  <c r="C74" i="44"/>
  <c r="D74" i="44"/>
  <c r="E74" i="44"/>
  <c r="F74" i="44"/>
  <c r="G74" i="44"/>
  <c r="A75" i="44"/>
  <c r="B75" i="44"/>
  <c r="C75" i="44"/>
  <c r="D75" i="44"/>
  <c r="E75" i="44"/>
  <c r="F75" i="44"/>
  <c r="G75" i="44"/>
  <c r="A76" i="44"/>
  <c r="B76" i="44"/>
  <c r="C76" i="44"/>
  <c r="D76" i="44"/>
  <c r="E76" i="44"/>
  <c r="F76" i="44"/>
  <c r="G76" i="44"/>
  <c r="A77" i="44"/>
  <c r="B77" i="44"/>
  <c r="C77" i="44"/>
  <c r="D77" i="44"/>
  <c r="E77" i="44"/>
  <c r="F77" i="44"/>
  <c r="G77" i="44"/>
  <c r="A78" i="44"/>
  <c r="B78" i="44"/>
  <c r="C78" i="44"/>
  <c r="D78" i="44"/>
  <c r="E78" i="44"/>
  <c r="F78" i="44"/>
  <c r="G78" i="44"/>
  <c r="A79" i="44"/>
  <c r="B79" i="44"/>
  <c r="C79" i="44"/>
  <c r="D79" i="44"/>
  <c r="E79" i="44"/>
  <c r="F79" i="44"/>
  <c r="G79" i="44"/>
  <c r="A80" i="44"/>
  <c r="B80" i="44"/>
  <c r="C80" i="44"/>
  <c r="D80" i="44"/>
  <c r="E80" i="44"/>
  <c r="F80" i="44"/>
  <c r="G80" i="44"/>
  <c r="A81" i="44"/>
  <c r="B81" i="44"/>
  <c r="C81" i="44"/>
  <c r="D81" i="44"/>
  <c r="E81" i="44"/>
  <c r="F81" i="44"/>
  <c r="G81" i="44"/>
  <c r="A44" i="60"/>
  <c r="B44" i="60"/>
  <c r="C44" i="60"/>
  <c r="D44" i="60"/>
  <c r="E44" i="60"/>
  <c r="F44" i="60"/>
  <c r="G44" i="60"/>
  <c r="A45" i="60"/>
  <c r="B45" i="60"/>
  <c r="C45" i="60"/>
  <c r="D45" i="60"/>
  <c r="E45" i="60"/>
  <c r="F45" i="60"/>
  <c r="G45" i="60"/>
  <c r="A46" i="60"/>
  <c r="B46" i="60"/>
  <c r="C46" i="60"/>
  <c r="D46" i="60"/>
  <c r="E46" i="60"/>
  <c r="F46" i="60"/>
  <c r="G46" i="60"/>
  <c r="A47" i="60"/>
  <c r="B47" i="60"/>
  <c r="C47" i="60"/>
  <c r="D47" i="60"/>
  <c r="E47" i="60"/>
  <c r="F47" i="60"/>
  <c r="G47" i="60"/>
  <c r="A48" i="60"/>
  <c r="B48" i="60"/>
  <c r="C48" i="60"/>
  <c r="D48" i="60"/>
  <c r="E48" i="60"/>
  <c r="F48" i="60"/>
  <c r="G48" i="60"/>
  <c r="A49" i="60"/>
  <c r="B49" i="60"/>
  <c r="C49" i="60"/>
  <c r="D49" i="60"/>
  <c r="E49" i="60"/>
  <c r="F49" i="60"/>
  <c r="G49" i="60"/>
  <c r="A50" i="60"/>
  <c r="B50" i="60"/>
  <c r="C50" i="60"/>
  <c r="D50" i="60"/>
  <c r="E50" i="60"/>
  <c r="F50" i="60"/>
  <c r="G50" i="60"/>
  <c r="A51" i="60"/>
  <c r="B51" i="60"/>
  <c r="C51" i="60"/>
  <c r="D51" i="60"/>
  <c r="E51" i="60"/>
  <c r="F51" i="60"/>
  <c r="G51" i="60"/>
  <c r="A52" i="60"/>
  <c r="B52" i="60"/>
  <c r="C52" i="60"/>
  <c r="D52" i="60"/>
  <c r="E52" i="60"/>
  <c r="F52" i="60"/>
  <c r="G52" i="60"/>
  <c r="A53" i="60"/>
  <c r="B53" i="60"/>
  <c r="C53" i="60"/>
  <c r="D53" i="60"/>
  <c r="E53" i="60"/>
  <c r="F53" i="60"/>
  <c r="G53" i="60"/>
  <c r="A54" i="60"/>
  <c r="B54" i="60"/>
  <c r="C54" i="60"/>
  <c r="D54" i="60"/>
  <c r="E54" i="60"/>
  <c r="F54" i="60"/>
  <c r="G54" i="60"/>
  <c r="A55" i="60"/>
  <c r="B55" i="60"/>
  <c r="C55" i="60"/>
  <c r="D55" i="60"/>
  <c r="E55" i="60"/>
  <c r="F55" i="60"/>
  <c r="G55" i="60"/>
  <c r="A56" i="60"/>
  <c r="B56" i="60"/>
  <c r="C56" i="60"/>
  <c r="D56" i="60"/>
  <c r="E56" i="60"/>
  <c r="F56" i="60"/>
  <c r="G56" i="60"/>
  <c r="A57" i="60"/>
  <c r="B57" i="60"/>
  <c r="C57" i="60"/>
  <c r="D57" i="60"/>
  <c r="E57" i="60"/>
  <c r="F57" i="60"/>
  <c r="G57" i="60"/>
  <c r="A58" i="60"/>
  <c r="B58" i="60"/>
  <c r="C58" i="60"/>
  <c r="D58" i="60"/>
  <c r="E58" i="60"/>
  <c r="F58" i="60"/>
  <c r="G58" i="60"/>
  <c r="A59" i="60"/>
  <c r="B59" i="60"/>
  <c r="C59" i="60"/>
  <c r="D59" i="60"/>
  <c r="E59" i="60"/>
  <c r="F59" i="60"/>
  <c r="G59" i="60"/>
  <c r="A60" i="60"/>
  <c r="B60" i="60"/>
  <c r="C60" i="60"/>
  <c r="D60" i="60"/>
  <c r="E60" i="60"/>
  <c r="F60" i="60"/>
  <c r="G60" i="60"/>
  <c r="A61" i="60"/>
  <c r="B61" i="60"/>
  <c r="C61" i="60"/>
  <c r="D61" i="60"/>
  <c r="E61" i="60"/>
  <c r="F61" i="60"/>
  <c r="G61" i="60"/>
  <c r="A62" i="60"/>
  <c r="B62" i="60"/>
  <c r="C62" i="60"/>
  <c r="D62" i="60"/>
  <c r="E62" i="60"/>
  <c r="F62" i="60"/>
  <c r="G62" i="60"/>
  <c r="A63" i="60"/>
  <c r="B63" i="60"/>
  <c r="C63" i="60"/>
  <c r="D63" i="60"/>
  <c r="E63" i="60"/>
  <c r="F63" i="60"/>
  <c r="G63" i="60"/>
  <c r="A64" i="60"/>
  <c r="B64" i="60"/>
  <c r="C64" i="60"/>
  <c r="D64" i="60"/>
  <c r="E64" i="60"/>
  <c r="F64" i="60"/>
  <c r="G64" i="60"/>
  <c r="A65" i="60"/>
  <c r="B65" i="60"/>
  <c r="C65" i="60"/>
  <c r="D65" i="60"/>
  <c r="E65" i="60"/>
  <c r="F65" i="60"/>
  <c r="G65" i="60"/>
  <c r="A66" i="60"/>
  <c r="B66" i="60"/>
  <c r="C66" i="60"/>
  <c r="D66" i="60"/>
  <c r="E66" i="60"/>
  <c r="F66" i="60"/>
  <c r="G66" i="60"/>
  <c r="A67" i="60"/>
  <c r="B67" i="60"/>
  <c r="C67" i="60"/>
  <c r="D67" i="60"/>
  <c r="E67" i="60"/>
  <c r="F67" i="60"/>
  <c r="G67" i="60"/>
  <c r="A68" i="60"/>
  <c r="B68" i="60"/>
  <c r="C68" i="60"/>
  <c r="D68" i="60"/>
  <c r="E68" i="60"/>
  <c r="F68" i="60"/>
  <c r="G68" i="60"/>
  <c r="A69" i="60"/>
  <c r="B69" i="60"/>
  <c r="C69" i="60"/>
  <c r="D69" i="60"/>
  <c r="E69" i="60"/>
  <c r="F69" i="60"/>
  <c r="G69" i="60"/>
  <c r="A54" i="59"/>
  <c r="B54" i="59"/>
  <c r="C54" i="59"/>
  <c r="D54" i="59"/>
  <c r="E54" i="59"/>
  <c r="F54" i="59"/>
  <c r="G54" i="59"/>
  <c r="A55" i="59"/>
  <c r="B55" i="59"/>
  <c r="C55" i="59"/>
  <c r="D55" i="59"/>
  <c r="E55" i="59"/>
  <c r="F55" i="59"/>
  <c r="G55" i="59"/>
  <c r="A56" i="59"/>
  <c r="B56" i="59"/>
  <c r="C56" i="59"/>
  <c r="D56" i="59"/>
  <c r="E56" i="59"/>
  <c r="F56" i="59"/>
  <c r="G56" i="59"/>
  <c r="A57" i="59"/>
  <c r="B57" i="59"/>
  <c r="C57" i="59"/>
  <c r="D57" i="59"/>
  <c r="E57" i="59"/>
  <c r="F57" i="59"/>
  <c r="G57" i="59"/>
  <c r="A58" i="59"/>
  <c r="B58" i="59"/>
  <c r="C58" i="59"/>
  <c r="D58" i="59"/>
  <c r="E58" i="59"/>
  <c r="F58" i="59"/>
  <c r="G58" i="59"/>
  <c r="A59" i="59"/>
  <c r="B59" i="59"/>
  <c r="C59" i="59"/>
  <c r="D59" i="59"/>
  <c r="E59" i="59"/>
  <c r="F59" i="59"/>
  <c r="G59" i="59"/>
  <c r="A60" i="59"/>
  <c r="B60" i="59"/>
  <c r="C60" i="59"/>
  <c r="D60" i="59"/>
  <c r="E60" i="59"/>
  <c r="F60" i="59"/>
  <c r="G60" i="59"/>
  <c r="A61" i="59"/>
  <c r="B61" i="59"/>
  <c r="C61" i="59"/>
  <c r="D61" i="59"/>
  <c r="E61" i="59"/>
  <c r="F61" i="59"/>
  <c r="G61" i="59"/>
  <c r="J29" i="51" l="1"/>
  <c r="M29" i="51"/>
  <c r="P29" i="51"/>
  <c r="S29" i="51"/>
  <c r="V54" i="51"/>
  <c r="W54" i="51"/>
  <c r="J43" i="51"/>
  <c r="M43" i="51"/>
  <c r="P43" i="51"/>
  <c r="S43" i="51"/>
  <c r="V43" i="51"/>
  <c r="W43" i="51"/>
  <c r="J38" i="51"/>
  <c r="M38" i="51"/>
  <c r="P38" i="51"/>
  <c r="S38" i="51"/>
  <c r="V38" i="51"/>
  <c r="W38" i="51"/>
  <c r="J32" i="51"/>
  <c r="M32" i="51"/>
  <c r="P32" i="51"/>
  <c r="S32" i="51"/>
  <c r="V32" i="51"/>
  <c r="W32" i="51"/>
  <c r="J55" i="51"/>
  <c r="M55" i="51"/>
  <c r="P55" i="51"/>
  <c r="S55" i="51"/>
  <c r="V55" i="51"/>
  <c r="W55" i="51"/>
  <c r="J56" i="51"/>
  <c r="M56" i="51"/>
  <c r="P56" i="51"/>
  <c r="S56" i="51"/>
  <c r="V56" i="51"/>
  <c r="W56" i="51"/>
  <c r="J57" i="51"/>
  <c r="M57" i="51"/>
  <c r="P57" i="51"/>
  <c r="S57" i="51"/>
  <c r="V57" i="51"/>
  <c r="W57" i="51"/>
  <c r="J58" i="51"/>
  <c r="M58" i="51"/>
  <c r="P58" i="51"/>
  <c r="S58" i="51"/>
  <c r="V58" i="51"/>
  <c r="W58" i="51"/>
  <c r="J59" i="51"/>
  <c r="M59" i="51"/>
  <c r="P59" i="51"/>
  <c r="S59" i="51"/>
  <c r="V59" i="51"/>
  <c r="W59" i="51"/>
  <c r="A15" i="42" l="1"/>
  <c r="B15" i="42"/>
  <c r="C15" i="42"/>
  <c r="D15" i="42"/>
  <c r="E15" i="42"/>
  <c r="F15" i="42"/>
  <c r="G15" i="42"/>
  <c r="A16" i="42"/>
  <c r="B16" i="42"/>
  <c r="C16" i="42"/>
  <c r="D16" i="42"/>
  <c r="E16" i="42"/>
  <c r="F16" i="42"/>
  <c r="G16" i="42"/>
  <c r="A17" i="42"/>
  <c r="B17" i="42"/>
  <c r="C17" i="42"/>
  <c r="D17" i="42"/>
  <c r="E17" i="42"/>
  <c r="F17" i="42"/>
  <c r="G17" i="42"/>
  <c r="A18" i="42"/>
  <c r="B18" i="42"/>
  <c r="C18" i="42"/>
  <c r="D18" i="42"/>
  <c r="E18" i="42"/>
  <c r="F18" i="42"/>
  <c r="G18" i="42"/>
  <c r="A15" i="60"/>
  <c r="B15" i="60"/>
  <c r="C15" i="60"/>
  <c r="D15" i="60"/>
  <c r="E15" i="60"/>
  <c r="F15" i="60"/>
  <c r="G15" i="60"/>
  <c r="A16" i="60"/>
  <c r="B16" i="60"/>
  <c r="C16" i="60"/>
  <c r="D16" i="60"/>
  <c r="E16" i="60"/>
  <c r="F16" i="60"/>
  <c r="G16" i="60"/>
  <c r="A17" i="60"/>
  <c r="B17" i="60"/>
  <c r="C17" i="60"/>
  <c r="D17" i="60"/>
  <c r="E17" i="60"/>
  <c r="F17" i="60"/>
  <c r="G17" i="60"/>
  <c r="A18" i="60"/>
  <c r="B18" i="60"/>
  <c r="C18" i="60"/>
  <c r="D18" i="60"/>
  <c r="E18" i="60"/>
  <c r="F18" i="60"/>
  <c r="G18" i="60"/>
  <c r="A19" i="60"/>
  <c r="B19" i="60"/>
  <c r="C19" i="60"/>
  <c r="D19" i="60"/>
  <c r="E19" i="60"/>
  <c r="F19" i="60"/>
  <c r="G19" i="60"/>
  <c r="A20" i="60"/>
  <c r="B20" i="60"/>
  <c r="C20" i="60"/>
  <c r="D20" i="60"/>
  <c r="E20" i="60"/>
  <c r="F20" i="60"/>
  <c r="G20" i="60"/>
  <c r="A21" i="60"/>
  <c r="B21" i="60"/>
  <c r="C21" i="60"/>
  <c r="D21" i="60"/>
  <c r="E21" i="60"/>
  <c r="F21" i="60"/>
  <c r="G21" i="60"/>
  <c r="A22" i="60"/>
  <c r="B22" i="60"/>
  <c r="C22" i="60"/>
  <c r="D22" i="60"/>
  <c r="E22" i="60"/>
  <c r="F22" i="60"/>
  <c r="G22" i="60"/>
  <c r="A23" i="60"/>
  <c r="B23" i="60"/>
  <c r="C23" i="60"/>
  <c r="D23" i="60"/>
  <c r="E23" i="60"/>
  <c r="F23" i="60"/>
  <c r="G23" i="60"/>
  <c r="A24" i="60"/>
  <c r="B24" i="60"/>
  <c r="C24" i="60"/>
  <c r="D24" i="60"/>
  <c r="E24" i="60"/>
  <c r="F24" i="60"/>
  <c r="G24" i="60"/>
  <c r="A25" i="60"/>
  <c r="B25" i="60"/>
  <c r="C25" i="60"/>
  <c r="D25" i="60"/>
  <c r="E25" i="60"/>
  <c r="F25" i="60"/>
  <c r="G25" i="60"/>
  <c r="A26" i="60"/>
  <c r="B26" i="60"/>
  <c r="C26" i="60"/>
  <c r="D26" i="60"/>
  <c r="E26" i="60"/>
  <c r="F26" i="60"/>
  <c r="G26" i="60"/>
  <c r="A27" i="60"/>
  <c r="B27" i="60"/>
  <c r="C27" i="60"/>
  <c r="D27" i="60"/>
  <c r="E27" i="60"/>
  <c r="F27" i="60"/>
  <c r="G27" i="60"/>
  <c r="A28" i="60"/>
  <c r="B28" i="60"/>
  <c r="C28" i="60"/>
  <c r="D28" i="60"/>
  <c r="E28" i="60"/>
  <c r="F28" i="60"/>
  <c r="G28" i="60"/>
  <c r="A29" i="60"/>
  <c r="B29" i="60"/>
  <c r="C29" i="60"/>
  <c r="D29" i="60"/>
  <c r="E29" i="60"/>
  <c r="F29" i="60"/>
  <c r="G29" i="60"/>
  <c r="A30" i="60"/>
  <c r="B30" i="60"/>
  <c r="C30" i="60"/>
  <c r="D30" i="60"/>
  <c r="E30" i="60"/>
  <c r="F30" i="60"/>
  <c r="G30" i="60"/>
  <c r="A31" i="60"/>
  <c r="B31" i="60"/>
  <c r="C31" i="60"/>
  <c r="D31" i="60"/>
  <c r="E31" i="60"/>
  <c r="F31" i="60"/>
  <c r="G31" i="60"/>
  <c r="A32" i="60"/>
  <c r="B32" i="60"/>
  <c r="C32" i="60"/>
  <c r="D32" i="60"/>
  <c r="E32" i="60"/>
  <c r="F32" i="60"/>
  <c r="G32" i="60"/>
  <c r="A33" i="60"/>
  <c r="B33" i="60"/>
  <c r="C33" i="60"/>
  <c r="D33" i="60"/>
  <c r="E33" i="60"/>
  <c r="F33" i="60"/>
  <c r="G33" i="60"/>
  <c r="A34" i="60"/>
  <c r="B34" i="60"/>
  <c r="C34" i="60"/>
  <c r="D34" i="60"/>
  <c r="E34" i="60"/>
  <c r="F34" i="60"/>
  <c r="G34" i="60"/>
  <c r="A35" i="60"/>
  <c r="B35" i="60"/>
  <c r="C35" i="60"/>
  <c r="D35" i="60"/>
  <c r="E35" i="60"/>
  <c r="F35" i="60"/>
  <c r="G35" i="60"/>
  <c r="A36" i="60"/>
  <c r="B36" i="60"/>
  <c r="C36" i="60"/>
  <c r="D36" i="60"/>
  <c r="E36" i="60"/>
  <c r="F36" i="60"/>
  <c r="G36" i="60"/>
  <c r="A37" i="60"/>
  <c r="B37" i="60"/>
  <c r="C37" i="60"/>
  <c r="D37" i="60"/>
  <c r="E37" i="60"/>
  <c r="F37" i="60"/>
  <c r="G37" i="60"/>
  <c r="A38" i="60"/>
  <c r="B38" i="60"/>
  <c r="C38" i="60"/>
  <c r="D38" i="60"/>
  <c r="E38" i="60"/>
  <c r="F38" i="60"/>
  <c r="G38" i="60"/>
  <c r="A39" i="60"/>
  <c r="B39" i="60"/>
  <c r="C39" i="60"/>
  <c r="D39" i="60"/>
  <c r="E39" i="60"/>
  <c r="F39" i="60"/>
  <c r="G39" i="60"/>
  <c r="A40" i="60"/>
  <c r="B40" i="60"/>
  <c r="C40" i="60"/>
  <c r="D40" i="60"/>
  <c r="E40" i="60"/>
  <c r="F40" i="60"/>
  <c r="G40" i="60"/>
  <c r="A41" i="60"/>
  <c r="B41" i="60"/>
  <c r="C41" i="60"/>
  <c r="D41" i="60"/>
  <c r="E41" i="60"/>
  <c r="F41" i="60"/>
  <c r="G41" i="60"/>
  <c r="A42" i="60"/>
  <c r="B42" i="60"/>
  <c r="C42" i="60"/>
  <c r="D42" i="60"/>
  <c r="E42" i="60"/>
  <c r="F42" i="60"/>
  <c r="G42" i="60"/>
  <c r="A43" i="60"/>
  <c r="B43" i="60"/>
  <c r="C43" i="60"/>
  <c r="D43" i="60"/>
  <c r="E43" i="60"/>
  <c r="F43" i="60"/>
  <c r="G43" i="60"/>
  <c r="F10" i="50"/>
  <c r="A15" i="56"/>
  <c r="B15" i="56"/>
  <c r="C15" i="56"/>
  <c r="D15" i="56"/>
  <c r="E15" i="56"/>
  <c r="F15" i="56"/>
  <c r="G15" i="56"/>
  <c r="A16" i="56"/>
  <c r="B16" i="56"/>
  <c r="C16" i="56"/>
  <c r="D16" i="56"/>
  <c r="E16" i="56"/>
  <c r="F16" i="56"/>
  <c r="G16" i="56"/>
  <c r="A17" i="56"/>
  <c r="B17" i="56"/>
  <c r="C17" i="56"/>
  <c r="D17" i="56"/>
  <c r="E17" i="56"/>
  <c r="F17" i="56"/>
  <c r="G17" i="56"/>
  <c r="A18" i="56"/>
  <c r="B18" i="56"/>
  <c r="C18" i="56"/>
  <c r="D18" i="56"/>
  <c r="E18" i="56"/>
  <c r="F18" i="56"/>
  <c r="G18" i="56"/>
  <c r="A19" i="56"/>
  <c r="B19" i="56"/>
  <c r="C19" i="56"/>
  <c r="D19" i="56"/>
  <c r="E19" i="56"/>
  <c r="F19" i="56"/>
  <c r="G19" i="56"/>
  <c r="A20" i="56"/>
  <c r="B20" i="56"/>
  <c r="C20" i="56"/>
  <c r="D20" i="56"/>
  <c r="E20" i="56"/>
  <c r="F20" i="56"/>
  <c r="G20" i="56"/>
  <c r="A21" i="56"/>
  <c r="B21" i="56"/>
  <c r="C21" i="56"/>
  <c r="D21" i="56"/>
  <c r="E21" i="56"/>
  <c r="F21" i="56"/>
  <c r="G21" i="56"/>
  <c r="A22" i="56"/>
  <c r="B22" i="56"/>
  <c r="C22" i="56"/>
  <c r="D22" i="56"/>
  <c r="E22" i="56"/>
  <c r="F22" i="56"/>
  <c r="G22" i="56"/>
  <c r="A23" i="56"/>
  <c r="B23" i="56"/>
  <c r="C23" i="56"/>
  <c r="D23" i="56"/>
  <c r="E23" i="56"/>
  <c r="F23" i="56"/>
  <c r="G23" i="56"/>
  <c r="A24" i="56"/>
  <c r="B24" i="56"/>
  <c r="C24" i="56"/>
  <c r="D24" i="56"/>
  <c r="E24" i="56"/>
  <c r="F24" i="56"/>
  <c r="G24" i="56"/>
  <c r="A25" i="56"/>
  <c r="B25" i="56"/>
  <c r="C25" i="56"/>
  <c r="D25" i="56"/>
  <c r="E25" i="56"/>
  <c r="F25" i="56"/>
  <c r="G25" i="56"/>
  <c r="A26" i="56"/>
  <c r="B26" i="56"/>
  <c r="C26" i="56"/>
  <c r="D26" i="56"/>
  <c r="E26" i="56"/>
  <c r="F26" i="56"/>
  <c r="G26" i="56"/>
  <c r="A27" i="56"/>
  <c r="B27" i="56"/>
  <c r="C27" i="56"/>
  <c r="D27" i="56"/>
  <c r="E27" i="56"/>
  <c r="F27" i="56"/>
  <c r="G27" i="56"/>
  <c r="A28" i="56"/>
  <c r="B28" i="56"/>
  <c r="C28" i="56"/>
  <c r="D28" i="56"/>
  <c r="E28" i="56"/>
  <c r="F28" i="56"/>
  <c r="G28" i="56"/>
  <c r="A29" i="56"/>
  <c r="B29" i="56"/>
  <c r="C29" i="56"/>
  <c r="D29" i="56"/>
  <c r="E29" i="56"/>
  <c r="F29" i="56"/>
  <c r="G29" i="56"/>
  <c r="A30" i="56"/>
  <c r="B30" i="56"/>
  <c r="C30" i="56"/>
  <c r="D30" i="56"/>
  <c r="E30" i="56"/>
  <c r="F30" i="56"/>
  <c r="G30" i="56"/>
  <c r="A31" i="56"/>
  <c r="B31" i="56"/>
  <c r="C31" i="56"/>
  <c r="D31" i="56"/>
  <c r="E31" i="56"/>
  <c r="F31" i="56"/>
  <c r="G31" i="56"/>
  <c r="A32" i="56"/>
  <c r="B32" i="56"/>
  <c r="C32" i="56"/>
  <c r="D32" i="56"/>
  <c r="E32" i="56"/>
  <c r="F32" i="56"/>
  <c r="G32" i="56"/>
  <c r="A33" i="56"/>
  <c r="B33" i="56"/>
  <c r="C33" i="56"/>
  <c r="D33" i="56"/>
  <c r="E33" i="56"/>
  <c r="F33" i="56"/>
  <c r="G33" i="56"/>
  <c r="A34" i="56"/>
  <c r="B34" i="56"/>
  <c r="C34" i="56"/>
  <c r="D34" i="56"/>
  <c r="E34" i="56"/>
  <c r="F34" i="56"/>
  <c r="G34" i="56"/>
  <c r="A35" i="56"/>
  <c r="B35" i="56"/>
  <c r="C35" i="56"/>
  <c r="D35" i="56"/>
  <c r="E35" i="56"/>
  <c r="F35" i="56"/>
  <c r="G35" i="56"/>
  <c r="A36" i="56"/>
  <c r="B36" i="56"/>
  <c r="C36" i="56"/>
  <c r="D36" i="56"/>
  <c r="E36" i="56"/>
  <c r="F36" i="56"/>
  <c r="G36" i="56"/>
  <c r="A37" i="56"/>
  <c r="B37" i="56"/>
  <c r="C37" i="56"/>
  <c r="D37" i="56"/>
  <c r="E37" i="56"/>
  <c r="F37" i="56"/>
  <c r="G37" i="56"/>
  <c r="A38" i="56"/>
  <c r="B38" i="56"/>
  <c r="C38" i="56"/>
  <c r="D38" i="56"/>
  <c r="E38" i="56"/>
  <c r="F38" i="56"/>
  <c r="G38" i="56"/>
  <c r="A39" i="56"/>
  <c r="B39" i="56"/>
  <c r="C39" i="56"/>
  <c r="D39" i="56"/>
  <c r="E39" i="56"/>
  <c r="F39" i="56"/>
  <c r="G39" i="56"/>
  <c r="A40" i="56"/>
  <c r="B40" i="56"/>
  <c r="C40" i="56"/>
  <c r="D40" i="56"/>
  <c r="E40" i="56"/>
  <c r="F40" i="56"/>
  <c r="G40" i="56"/>
  <c r="A41" i="56"/>
  <c r="B41" i="56"/>
  <c r="C41" i="56"/>
  <c r="D41" i="56"/>
  <c r="E41" i="56"/>
  <c r="F41" i="56"/>
  <c r="G41" i="56"/>
  <c r="A42" i="56"/>
  <c r="B42" i="56"/>
  <c r="C42" i="56"/>
  <c r="D42" i="56"/>
  <c r="E42" i="56"/>
  <c r="F42" i="56"/>
  <c r="G42" i="56"/>
  <c r="A43" i="56"/>
  <c r="B43" i="56"/>
  <c r="C43" i="56"/>
  <c r="D43" i="56"/>
  <c r="E43" i="56"/>
  <c r="F43" i="56"/>
  <c r="G43" i="56"/>
  <c r="A15" i="55"/>
  <c r="B15" i="55"/>
  <c r="C15" i="55"/>
  <c r="D15" i="55"/>
  <c r="E15" i="55"/>
  <c r="F15" i="55"/>
  <c r="G15" i="55"/>
  <c r="A16" i="55"/>
  <c r="B16" i="55"/>
  <c r="C16" i="55"/>
  <c r="D16" i="55"/>
  <c r="E16" i="55"/>
  <c r="F16" i="55"/>
  <c r="G16" i="55"/>
  <c r="A17" i="55"/>
  <c r="B17" i="55"/>
  <c r="C17" i="55"/>
  <c r="D17" i="55"/>
  <c r="E17" i="55"/>
  <c r="F17" i="55"/>
  <c r="G17" i="55"/>
  <c r="A18" i="55"/>
  <c r="B18" i="55"/>
  <c r="C18" i="55"/>
  <c r="D18" i="55"/>
  <c r="E18" i="55"/>
  <c r="F18" i="55"/>
  <c r="G18" i="55"/>
  <c r="A19" i="55"/>
  <c r="B19" i="55"/>
  <c r="C19" i="55"/>
  <c r="D19" i="55"/>
  <c r="E19" i="55"/>
  <c r="F19" i="55"/>
  <c r="G19" i="55"/>
  <c r="A20" i="55"/>
  <c r="B20" i="55"/>
  <c r="C20" i="55"/>
  <c r="D20" i="55"/>
  <c r="E20" i="55"/>
  <c r="F20" i="55"/>
  <c r="G20" i="55"/>
  <c r="A21" i="55"/>
  <c r="B21" i="55"/>
  <c r="C21" i="55"/>
  <c r="D21" i="55"/>
  <c r="E21" i="55"/>
  <c r="F21" i="55"/>
  <c r="G21" i="55"/>
  <c r="A22" i="55"/>
  <c r="B22" i="55"/>
  <c r="C22" i="55"/>
  <c r="D22" i="55"/>
  <c r="E22" i="55"/>
  <c r="F22" i="55"/>
  <c r="G22" i="55"/>
  <c r="A23" i="55"/>
  <c r="B23" i="55"/>
  <c r="C23" i="55"/>
  <c r="D23" i="55"/>
  <c r="E23" i="55"/>
  <c r="F23" i="55"/>
  <c r="G23" i="55"/>
  <c r="A24" i="55"/>
  <c r="B24" i="55"/>
  <c r="C24" i="55"/>
  <c r="D24" i="55"/>
  <c r="E24" i="55"/>
  <c r="F24" i="55"/>
  <c r="G24" i="55"/>
  <c r="A25" i="55"/>
  <c r="B25" i="55"/>
  <c r="C25" i="55"/>
  <c r="D25" i="55"/>
  <c r="E25" i="55"/>
  <c r="F25" i="55"/>
  <c r="G25" i="55"/>
  <c r="A26" i="55"/>
  <c r="B26" i="55"/>
  <c r="C26" i="55"/>
  <c r="D26" i="55"/>
  <c r="E26" i="55"/>
  <c r="F26" i="55"/>
  <c r="G26" i="55"/>
  <c r="A27" i="55"/>
  <c r="B27" i="55"/>
  <c r="C27" i="55"/>
  <c r="D27" i="55"/>
  <c r="E27" i="55"/>
  <c r="F27" i="55"/>
  <c r="G27" i="55"/>
  <c r="A28" i="55"/>
  <c r="B28" i="55"/>
  <c r="C28" i="55"/>
  <c r="D28" i="55"/>
  <c r="E28" i="55"/>
  <c r="F28" i="55"/>
  <c r="G28" i="55"/>
  <c r="A29" i="55"/>
  <c r="B29" i="55"/>
  <c r="C29" i="55"/>
  <c r="D29" i="55"/>
  <c r="E29" i="55"/>
  <c r="F29" i="55"/>
  <c r="G29" i="55"/>
  <c r="A30" i="55"/>
  <c r="B30" i="55"/>
  <c r="C30" i="55"/>
  <c r="D30" i="55"/>
  <c r="E30" i="55"/>
  <c r="F30" i="55"/>
  <c r="G30" i="55"/>
  <c r="A31" i="55"/>
  <c r="B31" i="55"/>
  <c r="C31" i="55"/>
  <c r="D31" i="55"/>
  <c r="E31" i="55"/>
  <c r="F31" i="55"/>
  <c r="G31" i="55"/>
  <c r="A32" i="55"/>
  <c r="B32" i="55"/>
  <c r="C32" i="55"/>
  <c r="D32" i="55"/>
  <c r="E32" i="55"/>
  <c r="F32" i="55"/>
  <c r="G32" i="55"/>
  <c r="A33" i="55"/>
  <c r="B33" i="55"/>
  <c r="C33" i="55"/>
  <c r="D33" i="55"/>
  <c r="E33" i="55"/>
  <c r="F33" i="55"/>
  <c r="G33" i="55"/>
  <c r="A34" i="55"/>
  <c r="B34" i="55"/>
  <c r="C34" i="55"/>
  <c r="D34" i="55"/>
  <c r="E34" i="55"/>
  <c r="F34" i="55"/>
  <c r="G34" i="55"/>
  <c r="A35" i="55"/>
  <c r="B35" i="55"/>
  <c r="C35" i="55"/>
  <c r="D35" i="55"/>
  <c r="E35" i="55"/>
  <c r="F35" i="55"/>
  <c r="G35" i="55"/>
  <c r="A36" i="55"/>
  <c r="B36" i="55"/>
  <c r="C36" i="55"/>
  <c r="D36" i="55"/>
  <c r="E36" i="55"/>
  <c r="F36" i="55"/>
  <c r="G36" i="55"/>
  <c r="A37" i="55"/>
  <c r="B37" i="55"/>
  <c r="C37" i="55"/>
  <c r="D37" i="55"/>
  <c r="E37" i="55"/>
  <c r="F37" i="55"/>
  <c r="G37" i="55"/>
  <c r="A38" i="55"/>
  <c r="B38" i="55"/>
  <c r="C38" i="55"/>
  <c r="D38" i="55"/>
  <c r="E38" i="55"/>
  <c r="F38" i="55"/>
  <c r="G38" i="55"/>
  <c r="A39" i="55"/>
  <c r="B39" i="55"/>
  <c r="C39" i="55"/>
  <c r="D39" i="55"/>
  <c r="E39" i="55"/>
  <c r="F39" i="55"/>
  <c r="G39" i="55"/>
  <c r="A40" i="55"/>
  <c r="B40" i="55"/>
  <c r="C40" i="55"/>
  <c r="D40" i="55"/>
  <c r="E40" i="55"/>
  <c r="F40" i="55"/>
  <c r="G40" i="55"/>
  <c r="A41" i="55"/>
  <c r="B41" i="55"/>
  <c r="C41" i="55"/>
  <c r="D41" i="55"/>
  <c r="E41" i="55"/>
  <c r="F41" i="55"/>
  <c r="G41" i="55"/>
  <c r="A42" i="55"/>
  <c r="B42" i="55"/>
  <c r="C42" i="55"/>
  <c r="D42" i="55"/>
  <c r="E42" i="55"/>
  <c r="F42" i="55"/>
  <c r="G42" i="55"/>
  <c r="A43" i="55"/>
  <c r="B43" i="55"/>
  <c r="C43" i="55"/>
  <c r="D43" i="55"/>
  <c r="E43" i="55"/>
  <c r="F43" i="55"/>
  <c r="G43" i="55"/>
  <c r="A15" i="46"/>
  <c r="B15" i="46"/>
  <c r="C15" i="46"/>
  <c r="D15" i="46"/>
  <c r="E15" i="46"/>
  <c r="F15" i="46"/>
  <c r="G15" i="46"/>
  <c r="A16" i="46"/>
  <c r="B16" i="46"/>
  <c r="C16" i="46"/>
  <c r="D16" i="46"/>
  <c r="E16" i="46"/>
  <c r="F16" i="46"/>
  <c r="G16" i="46"/>
  <c r="A17" i="46"/>
  <c r="B17" i="46"/>
  <c r="C17" i="46"/>
  <c r="D17" i="46"/>
  <c r="E17" i="46"/>
  <c r="F17" i="46"/>
  <c r="G17" i="46"/>
  <c r="A18" i="46"/>
  <c r="B18" i="46"/>
  <c r="C18" i="46"/>
  <c r="D18" i="46"/>
  <c r="E18" i="46"/>
  <c r="F18" i="46"/>
  <c r="G18" i="46"/>
  <c r="A19" i="46"/>
  <c r="B19" i="46"/>
  <c r="C19" i="46"/>
  <c r="D19" i="46"/>
  <c r="E19" i="46"/>
  <c r="F19" i="46"/>
  <c r="G19" i="46"/>
  <c r="A20" i="46"/>
  <c r="B20" i="46"/>
  <c r="C20" i="46"/>
  <c r="D20" i="46"/>
  <c r="E20" i="46"/>
  <c r="F20" i="46"/>
  <c r="G20" i="46"/>
  <c r="A21" i="46"/>
  <c r="B21" i="46"/>
  <c r="C21" i="46"/>
  <c r="D21" i="46"/>
  <c r="E21" i="46"/>
  <c r="F21" i="46"/>
  <c r="G21" i="46"/>
  <c r="A22" i="46"/>
  <c r="B22" i="46"/>
  <c r="C22" i="46"/>
  <c r="D22" i="46"/>
  <c r="E22" i="46"/>
  <c r="F22" i="46"/>
  <c r="G22" i="46"/>
  <c r="A23" i="46"/>
  <c r="B23" i="46"/>
  <c r="C23" i="46"/>
  <c r="D23" i="46"/>
  <c r="E23" i="46"/>
  <c r="F23" i="46"/>
  <c r="G23" i="46"/>
  <c r="A24" i="46"/>
  <c r="B24" i="46"/>
  <c r="C24" i="46"/>
  <c r="D24" i="46"/>
  <c r="E24" i="46"/>
  <c r="F24" i="46"/>
  <c r="G24" i="46"/>
  <c r="A25" i="46"/>
  <c r="B25" i="46"/>
  <c r="C25" i="46"/>
  <c r="D25" i="46"/>
  <c r="E25" i="46"/>
  <c r="F25" i="46"/>
  <c r="G25" i="46"/>
  <c r="A26" i="46"/>
  <c r="B26" i="46"/>
  <c r="C26" i="46"/>
  <c r="D26" i="46"/>
  <c r="E26" i="46"/>
  <c r="F26" i="46"/>
  <c r="G26" i="46"/>
  <c r="A27" i="46"/>
  <c r="B27" i="46"/>
  <c r="C27" i="46"/>
  <c r="D27" i="46"/>
  <c r="E27" i="46"/>
  <c r="F27" i="46"/>
  <c r="G27" i="46"/>
  <c r="A28" i="46"/>
  <c r="B28" i="46"/>
  <c r="C28" i="46"/>
  <c r="D28" i="46"/>
  <c r="E28" i="46"/>
  <c r="F28" i="46"/>
  <c r="G28" i="46"/>
  <c r="A29" i="46"/>
  <c r="B29" i="46"/>
  <c r="C29" i="46"/>
  <c r="D29" i="46"/>
  <c r="E29" i="46"/>
  <c r="F29" i="46"/>
  <c r="G29" i="46"/>
  <c r="A30" i="46"/>
  <c r="B30" i="46"/>
  <c r="C30" i="46"/>
  <c r="D30" i="46"/>
  <c r="E30" i="46"/>
  <c r="F30" i="46"/>
  <c r="G30" i="46"/>
  <c r="A31" i="46"/>
  <c r="B31" i="46"/>
  <c r="C31" i="46"/>
  <c r="D31" i="46"/>
  <c r="E31" i="46"/>
  <c r="F31" i="46"/>
  <c r="G31" i="46"/>
  <c r="A32" i="46"/>
  <c r="B32" i="46"/>
  <c r="C32" i="46"/>
  <c r="D32" i="46"/>
  <c r="E32" i="46"/>
  <c r="F32" i="46"/>
  <c r="G32" i="46"/>
  <c r="A33" i="46"/>
  <c r="B33" i="46"/>
  <c r="C33" i="46"/>
  <c r="D33" i="46"/>
  <c r="E33" i="46"/>
  <c r="F33" i="46"/>
  <c r="G33" i="46"/>
  <c r="A34" i="46"/>
  <c r="B34" i="46"/>
  <c r="C34" i="46"/>
  <c r="D34" i="46"/>
  <c r="E34" i="46"/>
  <c r="F34" i="46"/>
  <c r="G34" i="46"/>
  <c r="A35" i="46"/>
  <c r="B35" i="46"/>
  <c r="C35" i="46"/>
  <c r="D35" i="46"/>
  <c r="E35" i="46"/>
  <c r="F35" i="46"/>
  <c r="G35" i="46"/>
  <c r="A36" i="46"/>
  <c r="B36" i="46"/>
  <c r="C36" i="46"/>
  <c r="D36" i="46"/>
  <c r="E36" i="46"/>
  <c r="F36" i="46"/>
  <c r="G36" i="46"/>
  <c r="A37" i="46"/>
  <c r="B37" i="46"/>
  <c r="C37" i="46"/>
  <c r="D37" i="46"/>
  <c r="E37" i="46"/>
  <c r="F37" i="46"/>
  <c r="G37" i="46"/>
  <c r="A38" i="46"/>
  <c r="B38" i="46"/>
  <c r="C38" i="46"/>
  <c r="D38" i="46"/>
  <c r="E38" i="46"/>
  <c r="F38" i="46"/>
  <c r="G38" i="46"/>
  <c r="A39" i="46"/>
  <c r="B39" i="46"/>
  <c r="C39" i="46"/>
  <c r="D39" i="46"/>
  <c r="E39" i="46"/>
  <c r="F39" i="46"/>
  <c r="G39" i="46"/>
  <c r="A40" i="46"/>
  <c r="B40" i="46"/>
  <c r="C40" i="46"/>
  <c r="D40" i="46"/>
  <c r="E40" i="46"/>
  <c r="F40" i="46"/>
  <c r="G40" i="46"/>
  <c r="A41" i="46"/>
  <c r="B41" i="46"/>
  <c r="C41" i="46"/>
  <c r="D41" i="46"/>
  <c r="E41" i="46"/>
  <c r="F41" i="46"/>
  <c r="G41" i="46"/>
  <c r="A42" i="46"/>
  <c r="B42" i="46"/>
  <c r="C42" i="46"/>
  <c r="D42" i="46"/>
  <c r="E42" i="46"/>
  <c r="F42" i="46"/>
  <c r="G42" i="46"/>
  <c r="A43" i="46"/>
  <c r="B43" i="46"/>
  <c r="C43" i="46"/>
  <c r="D43" i="46"/>
  <c r="E43" i="46"/>
  <c r="F43" i="46"/>
  <c r="G43" i="46"/>
  <c r="A15" i="50"/>
  <c r="B15" i="50"/>
  <c r="C15" i="50"/>
  <c r="D15" i="50"/>
  <c r="E15" i="50"/>
  <c r="F15" i="50"/>
  <c r="G15" i="50"/>
  <c r="A16" i="50"/>
  <c r="B16" i="50"/>
  <c r="C16" i="50"/>
  <c r="D16" i="50"/>
  <c r="E16" i="50"/>
  <c r="F16" i="50"/>
  <c r="G16" i="50"/>
  <c r="A17" i="50"/>
  <c r="B17" i="50"/>
  <c r="C17" i="50"/>
  <c r="D17" i="50"/>
  <c r="E17" i="50"/>
  <c r="F17" i="50"/>
  <c r="G17" i="50"/>
  <c r="A18" i="50"/>
  <c r="B18" i="50"/>
  <c r="C18" i="50"/>
  <c r="D18" i="50"/>
  <c r="E18" i="50"/>
  <c r="F18" i="50"/>
  <c r="G18" i="50"/>
  <c r="A19" i="50"/>
  <c r="B19" i="50"/>
  <c r="C19" i="50"/>
  <c r="D19" i="50"/>
  <c r="E19" i="50"/>
  <c r="F19" i="50"/>
  <c r="G19" i="50"/>
  <c r="A20" i="50"/>
  <c r="B20" i="50"/>
  <c r="C20" i="50"/>
  <c r="D20" i="50"/>
  <c r="E20" i="50"/>
  <c r="F20" i="50"/>
  <c r="G20" i="50"/>
  <c r="A21" i="50"/>
  <c r="B21" i="50"/>
  <c r="C21" i="50"/>
  <c r="D21" i="50"/>
  <c r="E21" i="50"/>
  <c r="F21" i="50"/>
  <c r="G21" i="50"/>
  <c r="A22" i="50"/>
  <c r="B22" i="50"/>
  <c r="C22" i="50"/>
  <c r="D22" i="50"/>
  <c r="E22" i="50"/>
  <c r="F22" i="50"/>
  <c r="G22" i="50"/>
  <c r="A23" i="50"/>
  <c r="B23" i="50"/>
  <c r="C23" i="50"/>
  <c r="D23" i="50"/>
  <c r="E23" i="50"/>
  <c r="F23" i="50"/>
  <c r="G23" i="50"/>
  <c r="A24" i="50"/>
  <c r="B24" i="50"/>
  <c r="C24" i="50"/>
  <c r="D24" i="50"/>
  <c r="E24" i="50"/>
  <c r="F24" i="50"/>
  <c r="G24" i="50"/>
  <c r="A25" i="50"/>
  <c r="B25" i="50"/>
  <c r="C25" i="50"/>
  <c r="D25" i="50"/>
  <c r="E25" i="50"/>
  <c r="F25" i="50"/>
  <c r="G25" i="50"/>
  <c r="A26" i="50"/>
  <c r="B26" i="50"/>
  <c r="C26" i="50"/>
  <c r="D26" i="50"/>
  <c r="E26" i="50"/>
  <c r="F26" i="50"/>
  <c r="G26" i="50"/>
  <c r="A28" i="50"/>
  <c r="B28" i="50"/>
  <c r="C28" i="50"/>
  <c r="D28" i="50"/>
  <c r="E28" i="50"/>
  <c r="F28" i="50"/>
  <c r="G28" i="50"/>
  <c r="A29" i="50"/>
  <c r="B29" i="50"/>
  <c r="C29" i="50"/>
  <c r="D29" i="50"/>
  <c r="E29" i="50"/>
  <c r="F29" i="50"/>
  <c r="G29" i="50"/>
  <c r="A30" i="50"/>
  <c r="B30" i="50"/>
  <c r="C30" i="50"/>
  <c r="D30" i="50"/>
  <c r="E30" i="50"/>
  <c r="F30" i="50"/>
  <c r="G30" i="50"/>
  <c r="A31" i="50"/>
  <c r="B31" i="50"/>
  <c r="C31" i="50"/>
  <c r="D31" i="50"/>
  <c r="E31" i="50"/>
  <c r="F31" i="50"/>
  <c r="G31" i="50"/>
  <c r="A32" i="50"/>
  <c r="B32" i="50"/>
  <c r="C32" i="50"/>
  <c r="D32" i="50"/>
  <c r="E32" i="50"/>
  <c r="F32" i="50"/>
  <c r="G32" i="50"/>
  <c r="A33" i="50"/>
  <c r="B33" i="50"/>
  <c r="C33" i="50"/>
  <c r="D33" i="50"/>
  <c r="E33" i="50"/>
  <c r="F33" i="50"/>
  <c r="G33" i="50"/>
  <c r="A34" i="50"/>
  <c r="B34" i="50"/>
  <c r="C34" i="50"/>
  <c r="D34" i="50"/>
  <c r="E34" i="50"/>
  <c r="F34" i="50"/>
  <c r="G34" i="50"/>
  <c r="A35" i="50"/>
  <c r="B35" i="50"/>
  <c r="C35" i="50"/>
  <c r="D35" i="50"/>
  <c r="E35" i="50"/>
  <c r="F35" i="50"/>
  <c r="G35" i="50"/>
  <c r="A36" i="50"/>
  <c r="B36" i="50"/>
  <c r="C36" i="50"/>
  <c r="D36" i="50"/>
  <c r="E36" i="50"/>
  <c r="F36" i="50"/>
  <c r="G36" i="50"/>
  <c r="A37" i="50"/>
  <c r="B37" i="50"/>
  <c r="C37" i="50"/>
  <c r="D37" i="50"/>
  <c r="E37" i="50"/>
  <c r="F37" i="50"/>
  <c r="G37" i="50"/>
  <c r="A38" i="50"/>
  <c r="B38" i="50"/>
  <c r="C38" i="50"/>
  <c r="D38" i="50"/>
  <c r="E38" i="50"/>
  <c r="F38" i="50"/>
  <c r="G38" i="50"/>
  <c r="A39" i="50"/>
  <c r="B39" i="50"/>
  <c r="C39" i="50"/>
  <c r="D39" i="50"/>
  <c r="E39" i="50"/>
  <c r="F39" i="50"/>
  <c r="G39" i="50"/>
  <c r="A40" i="50"/>
  <c r="B40" i="50"/>
  <c r="C40" i="50"/>
  <c r="D40" i="50"/>
  <c r="E40" i="50"/>
  <c r="F40" i="50"/>
  <c r="G40" i="50"/>
  <c r="A41" i="50"/>
  <c r="B41" i="50"/>
  <c r="C41" i="50"/>
  <c r="D41" i="50"/>
  <c r="E41" i="50"/>
  <c r="F41" i="50"/>
  <c r="G41" i="50"/>
  <c r="A42" i="50"/>
  <c r="B42" i="50"/>
  <c r="C42" i="50"/>
  <c r="D42" i="50"/>
  <c r="E42" i="50"/>
  <c r="F42" i="50"/>
  <c r="G42" i="50"/>
  <c r="A43" i="50"/>
  <c r="B43" i="50"/>
  <c r="C43" i="50"/>
  <c r="D43" i="50"/>
  <c r="E43" i="50"/>
  <c r="F43" i="50"/>
  <c r="G43" i="50"/>
  <c r="A19" i="42"/>
  <c r="B19" i="42"/>
  <c r="C19" i="42"/>
  <c r="D19" i="42"/>
  <c r="E19" i="42"/>
  <c r="F19" i="42"/>
  <c r="G19" i="42"/>
  <c r="A20" i="42"/>
  <c r="B20" i="42"/>
  <c r="C20" i="42"/>
  <c r="D20" i="42"/>
  <c r="E20" i="42"/>
  <c r="F20" i="42"/>
  <c r="G20" i="42"/>
  <c r="A21" i="42"/>
  <c r="B21" i="42"/>
  <c r="C21" i="42"/>
  <c r="D21" i="42"/>
  <c r="E21" i="42"/>
  <c r="F21" i="42"/>
  <c r="G21" i="42"/>
  <c r="A22" i="42"/>
  <c r="B22" i="42"/>
  <c r="C22" i="42"/>
  <c r="D22" i="42"/>
  <c r="E22" i="42"/>
  <c r="F22" i="42"/>
  <c r="G22" i="42"/>
  <c r="A23" i="42"/>
  <c r="B23" i="42"/>
  <c r="C23" i="42"/>
  <c r="D23" i="42"/>
  <c r="E23" i="42"/>
  <c r="F23" i="42"/>
  <c r="G23" i="42"/>
  <c r="A24" i="42"/>
  <c r="B24" i="42"/>
  <c r="C24" i="42"/>
  <c r="D24" i="42"/>
  <c r="E24" i="42"/>
  <c r="F24" i="42"/>
  <c r="G24" i="42"/>
  <c r="A25" i="42"/>
  <c r="B25" i="42"/>
  <c r="C25" i="42"/>
  <c r="D25" i="42"/>
  <c r="E25" i="42"/>
  <c r="F25" i="42"/>
  <c r="G25" i="42"/>
  <c r="A26" i="42"/>
  <c r="B26" i="42"/>
  <c r="C26" i="42"/>
  <c r="D26" i="42"/>
  <c r="E26" i="42"/>
  <c r="F26" i="42"/>
  <c r="G26" i="42"/>
  <c r="A27" i="42"/>
  <c r="B27" i="42"/>
  <c r="C27" i="42"/>
  <c r="D27" i="42"/>
  <c r="E27" i="42"/>
  <c r="F27" i="42"/>
  <c r="G27" i="42"/>
  <c r="A28" i="42"/>
  <c r="B28" i="42"/>
  <c r="C28" i="42"/>
  <c r="D28" i="42"/>
  <c r="E28" i="42"/>
  <c r="F28" i="42"/>
  <c r="G28" i="42"/>
  <c r="A29" i="42"/>
  <c r="B29" i="42"/>
  <c r="C29" i="42"/>
  <c r="D29" i="42"/>
  <c r="E29" i="42"/>
  <c r="F29" i="42"/>
  <c r="G29" i="42"/>
  <c r="A30" i="42"/>
  <c r="B30" i="42"/>
  <c r="C30" i="42"/>
  <c r="D30" i="42"/>
  <c r="E30" i="42"/>
  <c r="F30" i="42"/>
  <c r="G30" i="42"/>
  <c r="A31" i="42"/>
  <c r="B31" i="42"/>
  <c r="C31" i="42"/>
  <c r="D31" i="42"/>
  <c r="E31" i="42"/>
  <c r="F31" i="42"/>
  <c r="G31" i="42"/>
  <c r="A32" i="42"/>
  <c r="B32" i="42"/>
  <c r="C32" i="42"/>
  <c r="D32" i="42"/>
  <c r="E32" i="42"/>
  <c r="F32" i="42"/>
  <c r="G32" i="42"/>
  <c r="A33" i="42"/>
  <c r="B33" i="42"/>
  <c r="C33" i="42"/>
  <c r="D33" i="42"/>
  <c r="E33" i="42"/>
  <c r="F33" i="42"/>
  <c r="G33" i="42"/>
  <c r="A34" i="42"/>
  <c r="B34" i="42"/>
  <c r="C34" i="42"/>
  <c r="D34" i="42"/>
  <c r="E34" i="42"/>
  <c r="F34" i="42"/>
  <c r="G34" i="42"/>
  <c r="A35" i="42"/>
  <c r="B35" i="42"/>
  <c r="C35" i="42"/>
  <c r="D35" i="42"/>
  <c r="E35" i="42"/>
  <c r="F35" i="42"/>
  <c r="G35" i="42"/>
  <c r="A36" i="42"/>
  <c r="B36" i="42"/>
  <c r="C36" i="42"/>
  <c r="D36" i="42"/>
  <c r="E36" i="42"/>
  <c r="F36" i="42"/>
  <c r="G36" i="42"/>
  <c r="A37" i="42"/>
  <c r="B37" i="42"/>
  <c r="C37" i="42"/>
  <c r="D37" i="42"/>
  <c r="E37" i="42"/>
  <c r="F37" i="42"/>
  <c r="G37" i="42"/>
  <c r="A38" i="42"/>
  <c r="B38" i="42"/>
  <c r="C38" i="42"/>
  <c r="D38" i="42"/>
  <c r="E38" i="42"/>
  <c r="F38" i="42"/>
  <c r="G38" i="42"/>
  <c r="A39" i="42"/>
  <c r="B39" i="42"/>
  <c r="C39" i="42"/>
  <c r="D39" i="42"/>
  <c r="E39" i="42"/>
  <c r="F39" i="42"/>
  <c r="G39" i="42"/>
  <c r="A40" i="42"/>
  <c r="B40" i="42"/>
  <c r="C40" i="42"/>
  <c r="D40" i="42"/>
  <c r="E40" i="42"/>
  <c r="F40" i="42"/>
  <c r="G40" i="42"/>
  <c r="A41" i="42"/>
  <c r="B41" i="42"/>
  <c r="C41" i="42"/>
  <c r="D41" i="42"/>
  <c r="E41" i="42"/>
  <c r="F41" i="42"/>
  <c r="G41" i="42"/>
  <c r="A42" i="42"/>
  <c r="B42" i="42"/>
  <c r="C42" i="42"/>
  <c r="D42" i="42"/>
  <c r="E42" i="42"/>
  <c r="F42" i="42"/>
  <c r="G42" i="42"/>
  <c r="A43" i="42"/>
  <c r="B43" i="42"/>
  <c r="C43" i="42"/>
  <c r="D43" i="42"/>
  <c r="E43" i="42"/>
  <c r="F43" i="42"/>
  <c r="G43" i="42"/>
  <c r="A15" i="44"/>
  <c r="B15" i="44"/>
  <c r="C15" i="44"/>
  <c r="D15" i="44"/>
  <c r="E15" i="44"/>
  <c r="F15" i="44"/>
  <c r="G15" i="44"/>
  <c r="A16" i="44"/>
  <c r="B16" i="44"/>
  <c r="C16" i="44"/>
  <c r="D16" i="44"/>
  <c r="E16" i="44"/>
  <c r="F16" i="44"/>
  <c r="G16" i="44"/>
  <c r="A17" i="44"/>
  <c r="B17" i="44"/>
  <c r="C17" i="44"/>
  <c r="D17" i="44"/>
  <c r="E17" i="44"/>
  <c r="F17" i="44"/>
  <c r="G17" i="44"/>
  <c r="A18" i="44"/>
  <c r="B18" i="44"/>
  <c r="C18" i="44"/>
  <c r="D18" i="44"/>
  <c r="E18" i="44"/>
  <c r="F18" i="44"/>
  <c r="G18" i="44"/>
  <c r="A19" i="44"/>
  <c r="B19" i="44"/>
  <c r="C19" i="44"/>
  <c r="D19" i="44"/>
  <c r="E19" i="44"/>
  <c r="F19" i="44"/>
  <c r="G19" i="44"/>
  <c r="A20" i="44"/>
  <c r="B20" i="44"/>
  <c r="C20" i="44"/>
  <c r="D20" i="44"/>
  <c r="E20" i="44"/>
  <c r="F20" i="44"/>
  <c r="G20" i="44"/>
  <c r="A21" i="44"/>
  <c r="B21" i="44"/>
  <c r="C21" i="44"/>
  <c r="D21" i="44"/>
  <c r="E21" i="44"/>
  <c r="F21" i="44"/>
  <c r="G21" i="44"/>
  <c r="A22" i="44"/>
  <c r="B22" i="44"/>
  <c r="C22" i="44"/>
  <c r="D22" i="44"/>
  <c r="E22" i="44"/>
  <c r="F22" i="44"/>
  <c r="G22" i="44"/>
  <c r="A23" i="44"/>
  <c r="B23" i="44"/>
  <c r="C23" i="44"/>
  <c r="D23" i="44"/>
  <c r="E23" i="44"/>
  <c r="F23" i="44"/>
  <c r="G23" i="44"/>
  <c r="A24" i="44"/>
  <c r="B24" i="44"/>
  <c r="C24" i="44"/>
  <c r="D24" i="44"/>
  <c r="E24" i="44"/>
  <c r="F24" i="44"/>
  <c r="G24" i="44"/>
  <c r="A25" i="44"/>
  <c r="B25" i="44"/>
  <c r="C25" i="44"/>
  <c r="D25" i="44"/>
  <c r="E25" i="44"/>
  <c r="F25" i="44"/>
  <c r="G25" i="44"/>
  <c r="A26" i="44"/>
  <c r="B26" i="44"/>
  <c r="C26" i="44"/>
  <c r="D26" i="44"/>
  <c r="E26" i="44"/>
  <c r="F26" i="44"/>
  <c r="G26" i="44"/>
  <c r="A27" i="44"/>
  <c r="B27" i="44"/>
  <c r="C27" i="44"/>
  <c r="D27" i="44"/>
  <c r="E27" i="44"/>
  <c r="F27" i="44"/>
  <c r="G27" i="44"/>
  <c r="A28" i="44"/>
  <c r="B28" i="44"/>
  <c r="C28" i="44"/>
  <c r="D28" i="44"/>
  <c r="E28" i="44"/>
  <c r="F28" i="44"/>
  <c r="G28" i="44"/>
  <c r="A29" i="44"/>
  <c r="B29" i="44"/>
  <c r="C29" i="44"/>
  <c r="D29" i="44"/>
  <c r="E29" i="44"/>
  <c r="F29" i="44"/>
  <c r="G29" i="44"/>
  <c r="A30" i="44"/>
  <c r="B30" i="44"/>
  <c r="C30" i="44"/>
  <c r="D30" i="44"/>
  <c r="E30" i="44"/>
  <c r="F30" i="44"/>
  <c r="G30" i="44"/>
  <c r="A31" i="44"/>
  <c r="B31" i="44"/>
  <c r="C31" i="44"/>
  <c r="D31" i="44"/>
  <c r="E31" i="44"/>
  <c r="F31" i="44"/>
  <c r="G31" i="44"/>
  <c r="A32" i="44"/>
  <c r="B32" i="44"/>
  <c r="C32" i="44"/>
  <c r="D32" i="44"/>
  <c r="E32" i="44"/>
  <c r="F32" i="44"/>
  <c r="G32" i="44"/>
  <c r="A33" i="44"/>
  <c r="B33" i="44"/>
  <c r="C33" i="44"/>
  <c r="D33" i="44"/>
  <c r="E33" i="44"/>
  <c r="F33" i="44"/>
  <c r="G33" i="44"/>
  <c r="A34" i="44"/>
  <c r="B34" i="44"/>
  <c r="C34" i="44"/>
  <c r="D34" i="44"/>
  <c r="E34" i="44"/>
  <c r="F34" i="44"/>
  <c r="G34" i="44"/>
  <c r="A35" i="44"/>
  <c r="B35" i="44"/>
  <c r="C35" i="44"/>
  <c r="D35" i="44"/>
  <c r="E35" i="44"/>
  <c r="F35" i="44"/>
  <c r="G35" i="44"/>
  <c r="A36" i="44"/>
  <c r="B36" i="44"/>
  <c r="C36" i="44"/>
  <c r="D36" i="44"/>
  <c r="E36" i="44"/>
  <c r="F36" i="44"/>
  <c r="G36" i="44"/>
  <c r="A37" i="44"/>
  <c r="B37" i="44"/>
  <c r="C37" i="44"/>
  <c r="D37" i="44"/>
  <c r="E37" i="44"/>
  <c r="F37" i="44"/>
  <c r="G37" i="44"/>
  <c r="A38" i="44"/>
  <c r="B38" i="44"/>
  <c r="C38" i="44"/>
  <c r="D38" i="44"/>
  <c r="E38" i="44"/>
  <c r="F38" i="44"/>
  <c r="G38" i="44"/>
  <c r="A39" i="44"/>
  <c r="B39" i="44"/>
  <c r="C39" i="44"/>
  <c r="D39" i="44"/>
  <c r="E39" i="44"/>
  <c r="F39" i="44"/>
  <c r="G39" i="44"/>
  <c r="A40" i="44"/>
  <c r="B40" i="44"/>
  <c r="C40" i="44"/>
  <c r="D40" i="44"/>
  <c r="E40" i="44"/>
  <c r="F40" i="44"/>
  <c r="G40" i="44"/>
  <c r="A41" i="44"/>
  <c r="B41" i="44"/>
  <c r="C41" i="44"/>
  <c r="D41" i="44"/>
  <c r="E41" i="44"/>
  <c r="F41" i="44"/>
  <c r="G41" i="44"/>
  <c r="A42" i="44"/>
  <c r="B42" i="44"/>
  <c r="C42" i="44"/>
  <c r="D42" i="44"/>
  <c r="E42" i="44"/>
  <c r="F42" i="44"/>
  <c r="G42" i="44"/>
  <c r="A43" i="44"/>
  <c r="B43" i="44"/>
  <c r="C43" i="44"/>
  <c r="D43" i="44"/>
  <c r="E43" i="44"/>
  <c r="F43" i="44"/>
  <c r="G43" i="44"/>
  <c r="A44" i="44"/>
  <c r="B44" i="44"/>
  <c r="C44" i="44"/>
  <c r="D44" i="44"/>
  <c r="E44" i="44"/>
  <c r="F44" i="44"/>
  <c r="G44" i="44"/>
  <c r="A45" i="44"/>
  <c r="B45" i="44"/>
  <c r="C45" i="44"/>
  <c r="D45" i="44"/>
  <c r="E45" i="44"/>
  <c r="F45" i="44"/>
  <c r="G45" i="44"/>
  <c r="A46" i="44"/>
  <c r="B46" i="44"/>
  <c r="C46" i="44"/>
  <c r="D46" i="44"/>
  <c r="E46" i="44"/>
  <c r="F46" i="44"/>
  <c r="G46" i="44"/>
  <c r="A47" i="44"/>
  <c r="B47" i="44"/>
  <c r="C47" i="44"/>
  <c r="D47" i="44"/>
  <c r="E47" i="44"/>
  <c r="F47" i="44"/>
  <c r="G47" i="44"/>
  <c r="A48" i="44"/>
  <c r="B48" i="44"/>
  <c r="C48" i="44"/>
  <c r="D48" i="44"/>
  <c r="E48" i="44"/>
  <c r="F48" i="44"/>
  <c r="G48" i="44"/>
  <c r="A49" i="44"/>
  <c r="B49" i="44"/>
  <c r="C49" i="44"/>
  <c r="D49" i="44"/>
  <c r="E49" i="44"/>
  <c r="F49" i="44"/>
  <c r="G49" i="44"/>
  <c r="A50" i="44"/>
  <c r="B50" i="44"/>
  <c r="C50" i="44"/>
  <c r="D50" i="44"/>
  <c r="E50" i="44"/>
  <c r="F50" i="44"/>
  <c r="G50" i="44"/>
  <c r="A51" i="44"/>
  <c r="B51" i="44"/>
  <c r="C51" i="44"/>
  <c r="D51" i="44"/>
  <c r="E51" i="44"/>
  <c r="F51" i="44"/>
  <c r="G51" i="44"/>
  <c r="A52" i="44"/>
  <c r="B52" i="44"/>
  <c r="C52" i="44"/>
  <c r="D52" i="44"/>
  <c r="E52" i="44"/>
  <c r="F52" i="44"/>
  <c r="G52" i="44"/>
  <c r="A53" i="44"/>
  <c r="B53" i="44"/>
  <c r="C53" i="44"/>
  <c r="D53" i="44"/>
  <c r="E53" i="44"/>
  <c r="F53" i="44"/>
  <c r="G53" i="44"/>
  <c r="A54" i="44"/>
  <c r="B54" i="44"/>
  <c r="C54" i="44"/>
  <c r="D54" i="44"/>
  <c r="E54" i="44"/>
  <c r="F54" i="44"/>
  <c r="G54" i="44"/>
  <c r="A55" i="44"/>
  <c r="B55" i="44"/>
  <c r="C55" i="44"/>
  <c r="D55" i="44"/>
  <c r="E55" i="44"/>
  <c r="F55" i="44"/>
  <c r="G55" i="44"/>
  <c r="A56" i="44"/>
  <c r="B56" i="44"/>
  <c r="C56" i="44"/>
  <c r="D56" i="44"/>
  <c r="E56" i="44"/>
  <c r="F56" i="44"/>
  <c r="G56" i="44"/>
  <c r="A57" i="44"/>
  <c r="B57" i="44"/>
  <c r="C57" i="44"/>
  <c r="D57" i="44"/>
  <c r="E57" i="44"/>
  <c r="F57" i="44"/>
  <c r="G57" i="44"/>
  <c r="A58" i="44"/>
  <c r="B58" i="44"/>
  <c r="C58" i="44"/>
  <c r="D58" i="44"/>
  <c r="E58" i="44"/>
  <c r="F58" i="44"/>
  <c r="G58" i="44"/>
  <c r="A59" i="44"/>
  <c r="B59" i="44"/>
  <c r="C59" i="44"/>
  <c r="D59" i="44"/>
  <c r="E59" i="44"/>
  <c r="F59" i="44"/>
  <c r="G59" i="44"/>
  <c r="A60" i="44"/>
  <c r="B60" i="44"/>
  <c r="C60" i="44"/>
  <c r="D60" i="44"/>
  <c r="E60" i="44"/>
  <c r="F60" i="44"/>
  <c r="G60" i="44"/>
  <c r="A61" i="44"/>
  <c r="B61" i="44"/>
  <c r="C61" i="44"/>
  <c r="D61" i="44"/>
  <c r="E61" i="44"/>
  <c r="F61" i="44"/>
  <c r="G61" i="44"/>
  <c r="A15" i="21"/>
  <c r="B15" i="21"/>
  <c r="C15" i="21"/>
  <c r="D15" i="21"/>
  <c r="E15" i="21"/>
  <c r="F15" i="21"/>
  <c r="G15" i="21"/>
  <c r="A16" i="21"/>
  <c r="B16" i="21"/>
  <c r="C16" i="21"/>
  <c r="D16" i="21"/>
  <c r="E16" i="21"/>
  <c r="F16" i="21"/>
  <c r="G16" i="21"/>
  <c r="A17" i="21"/>
  <c r="B17" i="21"/>
  <c r="C17" i="21"/>
  <c r="D17" i="21"/>
  <c r="E17" i="21"/>
  <c r="F17" i="21"/>
  <c r="G17" i="21"/>
  <c r="A18" i="21"/>
  <c r="B18" i="21"/>
  <c r="C18" i="21"/>
  <c r="D18" i="21"/>
  <c r="E18" i="21"/>
  <c r="F18" i="21"/>
  <c r="G18" i="21"/>
  <c r="A19" i="21"/>
  <c r="B19" i="21"/>
  <c r="C19" i="21"/>
  <c r="D19" i="21"/>
  <c r="E19" i="21"/>
  <c r="F19" i="21"/>
  <c r="G19" i="21"/>
  <c r="A20" i="21"/>
  <c r="B20" i="21"/>
  <c r="C20" i="21"/>
  <c r="D20" i="21"/>
  <c r="E20" i="21"/>
  <c r="F20" i="21"/>
  <c r="G20" i="21"/>
  <c r="A21" i="21"/>
  <c r="B21" i="21"/>
  <c r="C21" i="21"/>
  <c r="D21" i="21"/>
  <c r="E21" i="21"/>
  <c r="F21" i="21"/>
  <c r="G21" i="21"/>
  <c r="A22" i="21"/>
  <c r="B22" i="21"/>
  <c r="C22" i="21"/>
  <c r="D22" i="21"/>
  <c r="E22" i="21"/>
  <c r="F22" i="21"/>
  <c r="G22" i="21"/>
  <c r="A23" i="21"/>
  <c r="B23" i="21"/>
  <c r="C23" i="21"/>
  <c r="D23" i="21"/>
  <c r="E23" i="21"/>
  <c r="F23" i="21"/>
  <c r="G23" i="21"/>
  <c r="A24" i="21"/>
  <c r="B24" i="21"/>
  <c r="C24" i="21"/>
  <c r="D24" i="21"/>
  <c r="E24" i="21"/>
  <c r="F24" i="21"/>
  <c r="G24" i="21"/>
  <c r="A25" i="21"/>
  <c r="B25" i="21"/>
  <c r="C25" i="21"/>
  <c r="D25" i="21"/>
  <c r="E25" i="21"/>
  <c r="F25" i="21"/>
  <c r="G25" i="21"/>
  <c r="A26" i="21"/>
  <c r="B26" i="21"/>
  <c r="C26" i="21"/>
  <c r="D26" i="21"/>
  <c r="E26" i="21"/>
  <c r="F26" i="21"/>
  <c r="G26" i="21"/>
  <c r="A27" i="21"/>
  <c r="B27" i="21"/>
  <c r="C27" i="21"/>
  <c r="D27" i="21"/>
  <c r="E27" i="21"/>
  <c r="F27" i="21"/>
  <c r="G27" i="21"/>
  <c r="A28" i="21"/>
  <c r="B28" i="21"/>
  <c r="C28" i="21"/>
  <c r="D28" i="21"/>
  <c r="E28" i="21"/>
  <c r="F28" i="21"/>
  <c r="G28" i="21"/>
  <c r="A29" i="21"/>
  <c r="B29" i="21"/>
  <c r="C29" i="21"/>
  <c r="D29" i="21"/>
  <c r="E29" i="21"/>
  <c r="F29" i="21"/>
  <c r="G29" i="21"/>
  <c r="A30" i="21"/>
  <c r="B30" i="21"/>
  <c r="C30" i="21"/>
  <c r="D30" i="21"/>
  <c r="E30" i="21"/>
  <c r="F30" i="21"/>
  <c r="G30" i="21"/>
  <c r="A31" i="21"/>
  <c r="B31" i="21"/>
  <c r="C31" i="21"/>
  <c r="D31" i="21"/>
  <c r="E31" i="21"/>
  <c r="F31" i="21"/>
  <c r="G31" i="21"/>
  <c r="A32" i="21"/>
  <c r="B32" i="21"/>
  <c r="C32" i="21"/>
  <c r="D32" i="21"/>
  <c r="E32" i="21"/>
  <c r="F32" i="21"/>
  <c r="G32" i="21"/>
  <c r="A33" i="21"/>
  <c r="B33" i="21"/>
  <c r="C33" i="21"/>
  <c r="D33" i="21"/>
  <c r="E33" i="21"/>
  <c r="F33" i="21"/>
  <c r="G33" i="21"/>
  <c r="A34" i="21"/>
  <c r="B34" i="21"/>
  <c r="C34" i="21"/>
  <c r="D34" i="21"/>
  <c r="E34" i="21"/>
  <c r="F34" i="21"/>
  <c r="G34" i="21"/>
  <c r="A35" i="21"/>
  <c r="B35" i="21"/>
  <c r="C35" i="21"/>
  <c r="D35" i="21"/>
  <c r="E35" i="21"/>
  <c r="F35" i="21"/>
  <c r="G35" i="21"/>
  <c r="A36" i="21"/>
  <c r="B36" i="21"/>
  <c r="C36" i="21"/>
  <c r="D36" i="21"/>
  <c r="E36" i="21"/>
  <c r="F36" i="21"/>
  <c r="G36" i="21"/>
  <c r="A37" i="21"/>
  <c r="B37" i="21"/>
  <c r="C37" i="21"/>
  <c r="D37" i="21"/>
  <c r="E37" i="21"/>
  <c r="F37" i="21"/>
  <c r="G37" i="21"/>
  <c r="A38" i="21"/>
  <c r="B38" i="21"/>
  <c r="C38" i="21"/>
  <c r="D38" i="21"/>
  <c r="E38" i="21"/>
  <c r="F38" i="21"/>
  <c r="G38" i="21"/>
  <c r="A39" i="21"/>
  <c r="B39" i="21"/>
  <c r="C39" i="21"/>
  <c r="D39" i="21"/>
  <c r="E39" i="21"/>
  <c r="F39" i="21"/>
  <c r="G39" i="21"/>
  <c r="A40" i="21"/>
  <c r="B40" i="21"/>
  <c r="C40" i="21"/>
  <c r="D40" i="21"/>
  <c r="E40" i="21"/>
  <c r="F40" i="21"/>
  <c r="G40" i="21"/>
  <c r="A41" i="21"/>
  <c r="B41" i="21"/>
  <c r="C41" i="21"/>
  <c r="D41" i="21"/>
  <c r="E41" i="21"/>
  <c r="F41" i="21"/>
  <c r="G41" i="21"/>
  <c r="A42" i="21"/>
  <c r="B42" i="21"/>
  <c r="C42" i="21"/>
  <c r="D42" i="21"/>
  <c r="E42" i="21"/>
  <c r="F42" i="21"/>
  <c r="G42" i="21"/>
  <c r="A43" i="21"/>
  <c r="B43" i="21"/>
  <c r="C43" i="21"/>
  <c r="D43" i="21"/>
  <c r="E43" i="21"/>
  <c r="F43" i="21"/>
  <c r="G43" i="21"/>
  <c r="A44" i="21"/>
  <c r="B44" i="21"/>
  <c r="C44" i="21"/>
  <c r="D44" i="21"/>
  <c r="E44" i="21"/>
  <c r="F44" i="21"/>
  <c r="G44" i="21"/>
  <c r="A45" i="21"/>
  <c r="B45" i="21"/>
  <c r="C45" i="21"/>
  <c r="D45" i="21"/>
  <c r="E45" i="21"/>
  <c r="F45" i="21"/>
  <c r="G45" i="21"/>
  <c r="A46" i="21"/>
  <c r="B46" i="21"/>
  <c r="C46" i="21"/>
  <c r="D46" i="21"/>
  <c r="E46" i="21"/>
  <c r="F46" i="21"/>
  <c r="G46" i="21"/>
  <c r="A47" i="21"/>
  <c r="B47" i="21"/>
  <c r="C47" i="21"/>
  <c r="D47" i="21"/>
  <c r="E47" i="21"/>
  <c r="F47" i="21"/>
  <c r="G47" i="21"/>
  <c r="A48" i="21"/>
  <c r="B48" i="21"/>
  <c r="C48" i="21"/>
  <c r="D48" i="21"/>
  <c r="E48" i="21"/>
  <c r="F48" i="21"/>
  <c r="G48" i="21"/>
  <c r="A49" i="21"/>
  <c r="B49" i="21"/>
  <c r="C49" i="21"/>
  <c r="D49" i="21"/>
  <c r="E49" i="21"/>
  <c r="F49" i="21"/>
  <c r="G49" i="21"/>
  <c r="A50" i="21"/>
  <c r="B50" i="21"/>
  <c r="C50" i="21"/>
  <c r="D50" i="21"/>
  <c r="E50" i="21"/>
  <c r="F50" i="21"/>
  <c r="G50" i="21"/>
  <c r="A51" i="21"/>
  <c r="B51" i="21"/>
  <c r="C51" i="21"/>
  <c r="D51" i="21"/>
  <c r="E51" i="21"/>
  <c r="F51" i="21"/>
  <c r="G51" i="21"/>
  <c r="A52" i="21"/>
  <c r="B52" i="21"/>
  <c r="C52" i="21"/>
  <c r="D52" i="21"/>
  <c r="E52" i="21"/>
  <c r="F52" i="21"/>
  <c r="G52" i="21"/>
  <c r="A53" i="21"/>
  <c r="B53" i="21"/>
  <c r="C53" i="21"/>
  <c r="D53" i="21"/>
  <c r="E53" i="21"/>
  <c r="F53" i="21"/>
  <c r="G53" i="21"/>
  <c r="A54" i="21"/>
  <c r="B54" i="21"/>
  <c r="C54" i="21"/>
  <c r="D54" i="21"/>
  <c r="E54" i="21"/>
  <c r="F54" i="21"/>
  <c r="G54" i="21"/>
  <c r="A55" i="21"/>
  <c r="B55" i="21"/>
  <c r="C55" i="21"/>
  <c r="D55" i="21"/>
  <c r="E55" i="21"/>
  <c r="F55" i="21"/>
  <c r="G55" i="21"/>
  <c r="A56" i="21"/>
  <c r="B56" i="21"/>
  <c r="C56" i="21"/>
  <c r="D56" i="21"/>
  <c r="E56" i="21"/>
  <c r="F56" i="21"/>
  <c r="G56" i="21"/>
  <c r="A57" i="21"/>
  <c r="B57" i="21"/>
  <c r="C57" i="21"/>
  <c r="D57" i="21"/>
  <c r="E57" i="21"/>
  <c r="F57" i="21"/>
  <c r="G57" i="21"/>
  <c r="A58" i="21"/>
  <c r="B58" i="21"/>
  <c r="C58" i="21"/>
  <c r="D58" i="21"/>
  <c r="E58" i="21"/>
  <c r="F58" i="21"/>
  <c r="G58" i="21"/>
  <c r="A59" i="21"/>
  <c r="B59" i="21"/>
  <c r="C59" i="21"/>
  <c r="D59" i="21"/>
  <c r="E59" i="21"/>
  <c r="F59" i="21"/>
  <c r="G59" i="21"/>
  <c r="A60" i="21"/>
  <c r="B60" i="21"/>
  <c r="C60" i="21"/>
  <c r="D60" i="21"/>
  <c r="E60" i="21"/>
  <c r="F60" i="21"/>
  <c r="G60" i="21"/>
  <c r="A15" i="59"/>
  <c r="B15" i="59"/>
  <c r="C15" i="59"/>
  <c r="D15" i="59"/>
  <c r="E15" i="59"/>
  <c r="F15" i="59"/>
  <c r="G15" i="59"/>
  <c r="A16" i="59"/>
  <c r="B16" i="59"/>
  <c r="C16" i="59"/>
  <c r="D16" i="59"/>
  <c r="E16" i="59"/>
  <c r="F16" i="59"/>
  <c r="G16" i="59"/>
  <c r="A17" i="59"/>
  <c r="B17" i="59"/>
  <c r="C17" i="59"/>
  <c r="D17" i="59"/>
  <c r="E17" i="59"/>
  <c r="F17" i="59"/>
  <c r="G17" i="59"/>
  <c r="A18" i="59"/>
  <c r="B18" i="59"/>
  <c r="C18" i="59"/>
  <c r="D18" i="59"/>
  <c r="E18" i="59"/>
  <c r="F18" i="59"/>
  <c r="G18" i="59"/>
  <c r="A19" i="59"/>
  <c r="B19" i="59"/>
  <c r="C19" i="59"/>
  <c r="D19" i="59"/>
  <c r="E19" i="59"/>
  <c r="F19" i="59"/>
  <c r="G19" i="59"/>
  <c r="A20" i="59"/>
  <c r="B20" i="59"/>
  <c r="C20" i="59"/>
  <c r="D20" i="59"/>
  <c r="E20" i="59"/>
  <c r="F20" i="59"/>
  <c r="G20" i="59"/>
  <c r="A21" i="59"/>
  <c r="B21" i="59"/>
  <c r="C21" i="59"/>
  <c r="D21" i="59"/>
  <c r="E21" i="59"/>
  <c r="F21" i="59"/>
  <c r="G21" i="59"/>
  <c r="A22" i="59"/>
  <c r="B22" i="59"/>
  <c r="C22" i="59"/>
  <c r="D22" i="59"/>
  <c r="E22" i="59"/>
  <c r="F22" i="59"/>
  <c r="G22" i="59"/>
  <c r="A23" i="59"/>
  <c r="B23" i="59"/>
  <c r="C23" i="59"/>
  <c r="D23" i="59"/>
  <c r="E23" i="59"/>
  <c r="F23" i="59"/>
  <c r="G23" i="59"/>
  <c r="A24" i="59"/>
  <c r="B24" i="59"/>
  <c r="C24" i="59"/>
  <c r="D24" i="59"/>
  <c r="E24" i="59"/>
  <c r="F24" i="59"/>
  <c r="G24" i="59"/>
  <c r="A25" i="59"/>
  <c r="B25" i="59"/>
  <c r="C25" i="59"/>
  <c r="D25" i="59"/>
  <c r="E25" i="59"/>
  <c r="F25" i="59"/>
  <c r="G25" i="59"/>
  <c r="A26" i="59"/>
  <c r="B26" i="59"/>
  <c r="C26" i="59"/>
  <c r="D26" i="59"/>
  <c r="E26" i="59"/>
  <c r="F26" i="59"/>
  <c r="G26" i="59"/>
  <c r="A27" i="59"/>
  <c r="B27" i="59"/>
  <c r="C27" i="59"/>
  <c r="D27" i="59"/>
  <c r="E27" i="59"/>
  <c r="F27" i="59"/>
  <c r="G27" i="59"/>
  <c r="A28" i="59"/>
  <c r="B28" i="59"/>
  <c r="C28" i="59"/>
  <c r="D28" i="59"/>
  <c r="E28" i="59"/>
  <c r="F28" i="59"/>
  <c r="G28" i="59"/>
  <c r="A29" i="59"/>
  <c r="B29" i="59"/>
  <c r="C29" i="59"/>
  <c r="D29" i="59"/>
  <c r="E29" i="59"/>
  <c r="F29" i="59"/>
  <c r="G29" i="59"/>
  <c r="A30" i="59"/>
  <c r="B30" i="59"/>
  <c r="C30" i="59"/>
  <c r="D30" i="59"/>
  <c r="E30" i="59"/>
  <c r="F30" i="59"/>
  <c r="G30" i="59"/>
  <c r="A31" i="59"/>
  <c r="B31" i="59"/>
  <c r="C31" i="59"/>
  <c r="D31" i="59"/>
  <c r="E31" i="59"/>
  <c r="F31" i="59"/>
  <c r="G31" i="59"/>
  <c r="A32" i="59"/>
  <c r="B32" i="59"/>
  <c r="C32" i="59"/>
  <c r="D32" i="59"/>
  <c r="E32" i="59"/>
  <c r="F32" i="59"/>
  <c r="G32" i="59"/>
  <c r="A33" i="59"/>
  <c r="B33" i="59"/>
  <c r="C33" i="59"/>
  <c r="D33" i="59"/>
  <c r="E33" i="59"/>
  <c r="F33" i="59"/>
  <c r="G33" i="59"/>
  <c r="A34" i="59"/>
  <c r="B34" i="59"/>
  <c r="C34" i="59"/>
  <c r="D34" i="59"/>
  <c r="E34" i="59"/>
  <c r="F34" i="59"/>
  <c r="G34" i="59"/>
  <c r="A35" i="59"/>
  <c r="B35" i="59"/>
  <c r="C35" i="59"/>
  <c r="D35" i="59"/>
  <c r="E35" i="59"/>
  <c r="F35" i="59"/>
  <c r="G35" i="59"/>
  <c r="A36" i="59"/>
  <c r="B36" i="59"/>
  <c r="C36" i="59"/>
  <c r="D36" i="59"/>
  <c r="E36" i="59"/>
  <c r="F36" i="59"/>
  <c r="G36" i="59"/>
  <c r="A37" i="59"/>
  <c r="B37" i="59"/>
  <c r="C37" i="59"/>
  <c r="D37" i="59"/>
  <c r="E37" i="59"/>
  <c r="F37" i="59"/>
  <c r="G37" i="59"/>
  <c r="A38" i="59"/>
  <c r="B38" i="59"/>
  <c r="C38" i="59"/>
  <c r="D38" i="59"/>
  <c r="E38" i="59"/>
  <c r="F38" i="59"/>
  <c r="G38" i="59"/>
  <c r="A39" i="59"/>
  <c r="B39" i="59"/>
  <c r="C39" i="59"/>
  <c r="D39" i="59"/>
  <c r="E39" i="59"/>
  <c r="F39" i="59"/>
  <c r="G39" i="59"/>
  <c r="A40" i="59"/>
  <c r="B40" i="59"/>
  <c r="C40" i="59"/>
  <c r="D40" i="59"/>
  <c r="E40" i="59"/>
  <c r="F40" i="59"/>
  <c r="G40" i="59"/>
  <c r="A41" i="59"/>
  <c r="B41" i="59"/>
  <c r="C41" i="59"/>
  <c r="D41" i="59"/>
  <c r="E41" i="59"/>
  <c r="F41" i="59"/>
  <c r="G41" i="59"/>
  <c r="A42" i="59"/>
  <c r="B42" i="59"/>
  <c r="C42" i="59"/>
  <c r="D42" i="59"/>
  <c r="E42" i="59"/>
  <c r="F42" i="59"/>
  <c r="G42" i="59"/>
  <c r="A43" i="59"/>
  <c r="B43" i="59"/>
  <c r="C43" i="59"/>
  <c r="D43" i="59"/>
  <c r="E43" i="59"/>
  <c r="F43" i="59"/>
  <c r="G43" i="59"/>
  <c r="A44" i="27"/>
  <c r="B44" i="27"/>
  <c r="C44" i="27"/>
  <c r="D44" i="27"/>
  <c r="E44" i="27"/>
  <c r="F44" i="27"/>
  <c r="G44" i="27"/>
  <c r="A45" i="27"/>
  <c r="B45" i="27"/>
  <c r="C45" i="27"/>
  <c r="D45" i="27"/>
  <c r="E45" i="27"/>
  <c r="F45" i="27"/>
  <c r="G45" i="27"/>
  <c r="A46" i="27"/>
  <c r="B46" i="27"/>
  <c r="C46" i="27"/>
  <c r="D46" i="27"/>
  <c r="E46" i="27"/>
  <c r="F46" i="27"/>
  <c r="G46" i="27"/>
  <c r="A47" i="27"/>
  <c r="B47" i="27"/>
  <c r="C47" i="27"/>
  <c r="D47" i="27"/>
  <c r="E47" i="27"/>
  <c r="F47" i="27"/>
  <c r="G47" i="27"/>
  <c r="A48" i="27"/>
  <c r="B48" i="27"/>
  <c r="C48" i="27"/>
  <c r="D48" i="27"/>
  <c r="E48" i="27"/>
  <c r="F48" i="27"/>
  <c r="G48" i="27"/>
  <c r="A49" i="27"/>
  <c r="B49" i="27"/>
  <c r="C49" i="27"/>
  <c r="D49" i="27"/>
  <c r="E49" i="27"/>
  <c r="F49" i="27"/>
  <c r="G49" i="27"/>
  <c r="A50" i="27"/>
  <c r="B50" i="27"/>
  <c r="C50" i="27"/>
  <c r="D50" i="27"/>
  <c r="E50" i="27"/>
  <c r="F50" i="27"/>
  <c r="G50" i="27"/>
  <c r="A51" i="27"/>
  <c r="B51" i="27"/>
  <c r="C51" i="27"/>
  <c r="D51" i="27"/>
  <c r="E51" i="27"/>
  <c r="F51" i="27"/>
  <c r="G51" i="27"/>
  <c r="A52" i="27"/>
  <c r="B52" i="27"/>
  <c r="C52" i="27"/>
  <c r="D52" i="27"/>
  <c r="E52" i="27"/>
  <c r="F52" i="27"/>
  <c r="G52" i="27"/>
  <c r="A53" i="27"/>
  <c r="B53" i="27"/>
  <c r="C53" i="27"/>
  <c r="D53" i="27"/>
  <c r="E53" i="27"/>
  <c r="F53" i="27"/>
  <c r="G53" i="27"/>
  <c r="A36" i="27"/>
  <c r="B36" i="27"/>
  <c r="C36" i="27"/>
  <c r="D36" i="27"/>
  <c r="E36" i="27"/>
  <c r="F36" i="27"/>
  <c r="G36" i="27"/>
  <c r="A37" i="27"/>
  <c r="B37" i="27"/>
  <c r="C37" i="27"/>
  <c r="D37" i="27"/>
  <c r="E37" i="27"/>
  <c r="F37" i="27"/>
  <c r="G37" i="27"/>
  <c r="A38" i="27"/>
  <c r="B38" i="27"/>
  <c r="C38" i="27"/>
  <c r="D38" i="27"/>
  <c r="E38" i="27"/>
  <c r="F38" i="27"/>
  <c r="G38" i="27"/>
  <c r="A39" i="27"/>
  <c r="C39" i="27"/>
  <c r="D39" i="27"/>
  <c r="E39" i="27"/>
  <c r="F39" i="27"/>
  <c r="G39" i="27"/>
  <c r="A40" i="27"/>
  <c r="C40" i="27"/>
  <c r="D40" i="27"/>
  <c r="E40" i="27"/>
  <c r="F40" i="27"/>
  <c r="G40" i="27"/>
  <c r="A41" i="27"/>
  <c r="C41" i="27"/>
  <c r="D41" i="27"/>
  <c r="E41" i="27"/>
  <c r="F41" i="27"/>
  <c r="G41" i="27"/>
  <c r="A42" i="27"/>
  <c r="C42" i="27"/>
  <c r="D42" i="27"/>
  <c r="E42" i="27"/>
  <c r="F42" i="27"/>
  <c r="G42" i="27"/>
  <c r="A43" i="27"/>
  <c r="C43" i="27"/>
  <c r="D43" i="27"/>
  <c r="E43" i="27"/>
  <c r="F43" i="27"/>
  <c r="G43" i="27"/>
  <c r="B14" i="50"/>
  <c r="A14" i="21" l="1"/>
  <c r="B14" i="21"/>
  <c r="C14" i="21"/>
  <c r="D14" i="21"/>
  <c r="E14" i="21"/>
  <c r="F14" i="21"/>
  <c r="G14" i="21"/>
  <c r="A14" i="60"/>
  <c r="B14" i="60"/>
  <c r="C14" i="60"/>
  <c r="D14" i="60"/>
  <c r="E14" i="60"/>
  <c r="F14" i="60"/>
  <c r="G14" i="60"/>
  <c r="A14" i="27"/>
  <c r="B14" i="27"/>
  <c r="C14" i="27"/>
  <c r="D14" i="27"/>
  <c r="E14" i="27"/>
  <c r="F14" i="27"/>
  <c r="G14" i="27"/>
  <c r="A14" i="59"/>
  <c r="B14" i="59"/>
  <c r="C14" i="59"/>
  <c r="D14" i="59"/>
  <c r="E14" i="59"/>
  <c r="F14" i="59"/>
  <c r="G14" i="59"/>
  <c r="D10" i="50" l="1"/>
  <c r="A44" i="50" l="1"/>
  <c r="B44" i="50"/>
  <c r="C44" i="50"/>
  <c r="E44" i="50"/>
  <c r="G44" i="50"/>
  <c r="A45" i="50"/>
  <c r="B45" i="50"/>
  <c r="C45" i="50"/>
  <c r="E45" i="50"/>
  <c r="G45" i="50"/>
  <c r="A46" i="50"/>
  <c r="B46" i="50"/>
  <c r="C46" i="50"/>
  <c r="E46" i="50"/>
  <c r="G46" i="50"/>
  <c r="A47" i="50"/>
  <c r="B47" i="50"/>
  <c r="C47" i="50"/>
  <c r="E47" i="50"/>
  <c r="G47" i="50"/>
  <c r="A48" i="50"/>
  <c r="B48" i="50"/>
  <c r="C48" i="50"/>
  <c r="E48" i="50"/>
  <c r="G48" i="50"/>
  <c r="A49" i="50"/>
  <c r="B49" i="50"/>
  <c r="C49" i="50"/>
  <c r="E49" i="50"/>
  <c r="G49" i="50"/>
  <c r="A50" i="50"/>
  <c r="B50" i="50"/>
  <c r="C50" i="50"/>
  <c r="E50" i="50"/>
  <c r="G50" i="50"/>
  <c r="A51" i="50"/>
  <c r="B51" i="50"/>
  <c r="C51" i="50"/>
  <c r="E51" i="50"/>
  <c r="G51" i="50"/>
  <c r="A52" i="50"/>
  <c r="B52" i="50"/>
  <c r="C52" i="50"/>
  <c r="E52" i="50"/>
  <c r="G52" i="50"/>
  <c r="A53" i="50"/>
  <c r="B53" i="50"/>
  <c r="C53" i="50"/>
  <c r="E53" i="50"/>
  <c r="G53" i="50"/>
  <c r="A54" i="50"/>
  <c r="B54" i="50"/>
  <c r="C54" i="50"/>
  <c r="E54" i="50"/>
  <c r="G54" i="50"/>
  <c r="A55" i="50"/>
  <c r="B55" i="50"/>
  <c r="C55" i="50"/>
  <c r="E55" i="50"/>
  <c r="G55" i="50"/>
  <c r="A56" i="50"/>
  <c r="B56" i="50"/>
  <c r="C56" i="50"/>
  <c r="E56" i="50"/>
  <c r="G56" i="50"/>
  <c r="A57" i="50"/>
  <c r="B57" i="50"/>
  <c r="C57" i="50"/>
  <c r="E57" i="50"/>
  <c r="G57" i="50"/>
  <c r="A58" i="50"/>
  <c r="B58" i="50"/>
  <c r="C58" i="50"/>
  <c r="E58" i="50"/>
  <c r="G58" i="50"/>
  <c r="A59" i="50"/>
  <c r="B59" i="50"/>
  <c r="C59" i="50"/>
  <c r="E59" i="50"/>
  <c r="G59" i="50"/>
  <c r="A60" i="50"/>
  <c r="B60" i="50"/>
  <c r="C60" i="50"/>
  <c r="E60" i="50"/>
  <c r="G60" i="50"/>
  <c r="A61" i="50"/>
  <c r="B61" i="50"/>
  <c r="C61" i="50"/>
  <c r="E61" i="50"/>
  <c r="G61" i="50"/>
  <c r="A62" i="50"/>
  <c r="B62" i="50"/>
  <c r="C62" i="50"/>
  <c r="E62" i="50"/>
  <c r="G62" i="50"/>
  <c r="A63" i="50"/>
  <c r="B63" i="50"/>
  <c r="C63" i="50"/>
  <c r="E63" i="50"/>
  <c r="G63" i="50"/>
  <c r="A64" i="50"/>
  <c r="B64" i="50"/>
  <c r="C64" i="50"/>
  <c r="E64" i="50"/>
  <c r="G64" i="50"/>
  <c r="A65" i="50"/>
  <c r="B65" i="50"/>
  <c r="C65" i="50"/>
  <c r="E65" i="50"/>
  <c r="G65" i="50"/>
  <c r="A66" i="50"/>
  <c r="B66" i="50"/>
  <c r="C66" i="50"/>
  <c r="E66" i="50"/>
  <c r="G66" i="50"/>
  <c r="A67" i="50"/>
  <c r="B67" i="50"/>
  <c r="C67" i="50"/>
  <c r="E67" i="50"/>
  <c r="G67" i="50"/>
  <c r="A68" i="50"/>
  <c r="B68" i="50"/>
  <c r="C68" i="50"/>
  <c r="E68" i="50"/>
  <c r="G68" i="50"/>
  <c r="A69" i="50"/>
  <c r="B69" i="50"/>
  <c r="C69" i="50"/>
  <c r="E69" i="50"/>
  <c r="G69" i="50"/>
  <c r="A70" i="50"/>
  <c r="B70" i="50"/>
  <c r="C70" i="50"/>
  <c r="E70" i="50"/>
  <c r="G70" i="50"/>
  <c r="A71" i="50"/>
  <c r="B71" i="50"/>
  <c r="C71" i="50"/>
  <c r="E71" i="50"/>
  <c r="G71" i="50"/>
  <c r="A72" i="50"/>
  <c r="B72" i="50"/>
  <c r="C72" i="50"/>
  <c r="E72" i="50"/>
  <c r="G72" i="50"/>
  <c r="A73" i="50"/>
  <c r="B73" i="50"/>
  <c r="C73" i="50"/>
  <c r="E73" i="50"/>
  <c r="G73" i="50"/>
  <c r="G14" i="50"/>
  <c r="E14" i="50"/>
  <c r="C14" i="50"/>
  <c r="A14" i="50"/>
  <c r="F9" i="50"/>
  <c r="D9" i="50"/>
  <c r="B8" i="50"/>
  <c r="B6" i="69" s="1"/>
  <c r="A70" i="60" l="1"/>
  <c r="B70" i="60"/>
  <c r="C70" i="60"/>
  <c r="E70" i="60"/>
  <c r="G70" i="60"/>
  <c r="A71" i="60"/>
  <c r="B71" i="60"/>
  <c r="C71" i="60"/>
  <c r="E71" i="60"/>
  <c r="G71" i="60"/>
  <c r="A72" i="60"/>
  <c r="B72" i="60"/>
  <c r="C72" i="60"/>
  <c r="E72" i="60"/>
  <c r="G72" i="60"/>
  <c r="A73" i="60"/>
  <c r="B73" i="60"/>
  <c r="C73" i="60"/>
  <c r="E73" i="60"/>
  <c r="G73" i="60"/>
  <c r="F10" i="60"/>
  <c r="F9" i="60"/>
  <c r="D10" i="60"/>
  <c r="D9" i="60"/>
  <c r="B8" i="60"/>
  <c r="B6" i="65" s="1"/>
  <c r="A44" i="59"/>
  <c r="B44" i="59"/>
  <c r="C44" i="59"/>
  <c r="E44" i="59"/>
  <c r="G44" i="59"/>
  <c r="A45" i="59"/>
  <c r="B45" i="59"/>
  <c r="C45" i="59"/>
  <c r="A46" i="59"/>
  <c r="B46" i="59"/>
  <c r="C46" i="59"/>
  <c r="E46" i="59"/>
  <c r="G46" i="59"/>
  <c r="A47" i="59"/>
  <c r="B47" i="59"/>
  <c r="C47" i="59"/>
  <c r="E47" i="59"/>
  <c r="G47" i="59"/>
  <c r="A48" i="59"/>
  <c r="B48" i="59"/>
  <c r="C48" i="59"/>
  <c r="E48" i="59"/>
  <c r="G48" i="59"/>
  <c r="A49" i="59"/>
  <c r="B49" i="59"/>
  <c r="C49" i="59"/>
  <c r="E49" i="59"/>
  <c r="G49" i="59"/>
  <c r="A50" i="59"/>
  <c r="B50" i="59"/>
  <c r="C50" i="59"/>
  <c r="E50" i="59"/>
  <c r="G50" i="59"/>
  <c r="A51" i="59"/>
  <c r="B51" i="59"/>
  <c r="C51" i="59"/>
  <c r="E51" i="59"/>
  <c r="G51" i="59"/>
  <c r="A52" i="59"/>
  <c r="B52" i="59"/>
  <c r="C52" i="59"/>
  <c r="E52" i="59"/>
  <c r="G52" i="59"/>
  <c r="A53" i="59"/>
  <c r="B53" i="59"/>
  <c r="C53" i="59"/>
  <c r="E53" i="59"/>
  <c r="G53" i="59"/>
  <c r="A62" i="59"/>
  <c r="B62" i="59"/>
  <c r="C62" i="59"/>
  <c r="E62" i="59"/>
  <c r="G62" i="59"/>
  <c r="A63" i="59"/>
  <c r="B63" i="59"/>
  <c r="C63" i="59"/>
  <c r="E63" i="59"/>
  <c r="G63" i="59"/>
  <c r="A64" i="59"/>
  <c r="B64" i="59"/>
  <c r="C64" i="59"/>
  <c r="E64" i="59"/>
  <c r="G64" i="59"/>
  <c r="A65" i="59"/>
  <c r="B65" i="59"/>
  <c r="C65" i="59"/>
  <c r="E65" i="59"/>
  <c r="G65" i="59"/>
  <c r="A66" i="59"/>
  <c r="B66" i="59"/>
  <c r="C66" i="59"/>
  <c r="E66" i="59"/>
  <c r="G66" i="59"/>
  <c r="A67" i="59"/>
  <c r="B67" i="59"/>
  <c r="C67" i="59"/>
  <c r="E67" i="59"/>
  <c r="G67" i="59"/>
  <c r="A68" i="59"/>
  <c r="B68" i="59"/>
  <c r="C68" i="59"/>
  <c r="E68" i="59"/>
  <c r="G68" i="59"/>
  <c r="A69" i="59"/>
  <c r="B69" i="59"/>
  <c r="C69" i="59"/>
  <c r="E69" i="59"/>
  <c r="G69" i="59"/>
  <c r="A70" i="59"/>
  <c r="B70" i="59"/>
  <c r="C70" i="59"/>
  <c r="E70" i="59"/>
  <c r="G70" i="59"/>
  <c r="A71" i="59"/>
  <c r="B71" i="59"/>
  <c r="C71" i="59"/>
  <c r="E71" i="59"/>
  <c r="G71" i="59"/>
  <c r="A72" i="59"/>
  <c r="B72" i="59"/>
  <c r="C72" i="59"/>
  <c r="E72" i="59"/>
  <c r="G72" i="59"/>
  <c r="A73" i="59"/>
  <c r="B73" i="59"/>
  <c r="C73" i="59"/>
  <c r="E73" i="59"/>
  <c r="G73" i="59"/>
  <c r="F10" i="59"/>
  <c r="F9" i="59"/>
  <c r="D10" i="59"/>
  <c r="D9" i="59"/>
  <c r="B8" i="59"/>
  <c r="B6" i="64" s="1"/>
  <c r="W74" i="58"/>
  <c r="V74" i="58"/>
  <c r="S74" i="58"/>
  <c r="P74" i="58"/>
  <c r="M74" i="58"/>
  <c r="J74" i="58"/>
  <c r="F73" i="60"/>
  <c r="D73" i="60"/>
  <c r="W73" i="58"/>
  <c r="V73" i="58"/>
  <c r="S73" i="58"/>
  <c r="P73" i="58"/>
  <c r="M73" i="58"/>
  <c r="J73" i="58"/>
  <c r="F72" i="60"/>
  <c r="D72" i="60"/>
  <c r="W72" i="58"/>
  <c r="V72" i="58"/>
  <c r="S72" i="58"/>
  <c r="P72" i="58"/>
  <c r="M72" i="58"/>
  <c r="J72" i="58"/>
  <c r="F71" i="60"/>
  <c r="D71" i="60"/>
  <c r="W71" i="58"/>
  <c r="V71" i="58"/>
  <c r="S71" i="58"/>
  <c r="P71" i="58"/>
  <c r="M71" i="58"/>
  <c r="J71" i="58"/>
  <c r="F70" i="60"/>
  <c r="D70" i="60"/>
  <c r="W70" i="58"/>
  <c r="V70" i="58"/>
  <c r="S70" i="58"/>
  <c r="P70" i="58"/>
  <c r="M70" i="58"/>
  <c r="J70" i="58"/>
  <c r="W69" i="58"/>
  <c r="V69" i="58"/>
  <c r="S69" i="58"/>
  <c r="P69" i="58"/>
  <c r="M69" i="58"/>
  <c r="J69" i="58"/>
  <c r="W68" i="58"/>
  <c r="V68" i="58"/>
  <c r="S68" i="58"/>
  <c r="P68" i="58"/>
  <c r="M68" i="58"/>
  <c r="J68" i="58"/>
  <c r="W67" i="58"/>
  <c r="V67" i="58"/>
  <c r="S67" i="58"/>
  <c r="P67" i="58"/>
  <c r="M67" i="58"/>
  <c r="J67" i="58"/>
  <c r="W66" i="58"/>
  <c r="V66" i="58"/>
  <c r="S66" i="58"/>
  <c r="P66" i="58"/>
  <c r="M66" i="58"/>
  <c r="J66" i="58"/>
  <c r="W65" i="58"/>
  <c r="V65" i="58"/>
  <c r="S65" i="58"/>
  <c r="P65" i="58"/>
  <c r="M65" i="58"/>
  <c r="J65" i="58"/>
  <c r="W64" i="58"/>
  <c r="V64" i="58"/>
  <c r="S64" i="58"/>
  <c r="P64" i="58"/>
  <c r="M64" i="58"/>
  <c r="J64" i="58"/>
  <c r="W63" i="58"/>
  <c r="V63" i="58"/>
  <c r="S63" i="58"/>
  <c r="P63" i="58"/>
  <c r="M63" i="58"/>
  <c r="J63" i="58"/>
  <c r="W62" i="58"/>
  <c r="V62" i="58"/>
  <c r="S62" i="58"/>
  <c r="P62" i="58"/>
  <c r="M62" i="58"/>
  <c r="J62" i="58"/>
  <c r="W61" i="58"/>
  <c r="V61" i="58"/>
  <c r="S61" i="58"/>
  <c r="P61" i="58"/>
  <c r="M61" i="58"/>
  <c r="J61" i="58"/>
  <c r="W60" i="58"/>
  <c r="V60" i="58"/>
  <c r="S60" i="58"/>
  <c r="P60" i="58"/>
  <c r="M60" i="58"/>
  <c r="J60" i="58"/>
  <c r="W59" i="58"/>
  <c r="V59" i="58"/>
  <c r="S59" i="58"/>
  <c r="P59" i="58"/>
  <c r="M59" i="58"/>
  <c r="J59" i="58"/>
  <c r="W58" i="58"/>
  <c r="V58" i="58"/>
  <c r="S58" i="58"/>
  <c r="P58" i="58"/>
  <c r="M58" i="58"/>
  <c r="J58" i="58"/>
  <c r="W57" i="58"/>
  <c r="V57" i="58"/>
  <c r="S57" i="58"/>
  <c r="P57" i="58"/>
  <c r="M57" i="58"/>
  <c r="J57" i="58"/>
  <c r="W56" i="58"/>
  <c r="V56" i="58"/>
  <c r="S56" i="58"/>
  <c r="P56" i="58"/>
  <c r="M56" i="58"/>
  <c r="J56" i="58"/>
  <c r="W55" i="58"/>
  <c r="V55" i="58"/>
  <c r="S55" i="58"/>
  <c r="P55" i="58"/>
  <c r="M55" i="58"/>
  <c r="J55" i="58"/>
  <c r="W54" i="58"/>
  <c r="V54" i="58"/>
  <c r="S54" i="58"/>
  <c r="P54" i="58"/>
  <c r="M54" i="58"/>
  <c r="J54" i="58"/>
  <c r="W53" i="58"/>
  <c r="V53" i="58"/>
  <c r="S53" i="58"/>
  <c r="P53" i="58"/>
  <c r="M53" i="58"/>
  <c r="J53" i="58"/>
  <c r="W39" i="58"/>
  <c r="V39" i="58"/>
  <c r="S39" i="58"/>
  <c r="P39" i="58"/>
  <c r="M39" i="58"/>
  <c r="J39" i="58"/>
  <c r="W52" i="58"/>
  <c r="V52" i="58"/>
  <c r="S52" i="58"/>
  <c r="P52" i="58"/>
  <c r="M52" i="58"/>
  <c r="J52" i="58"/>
  <c r="W51" i="58"/>
  <c r="V51" i="58"/>
  <c r="S51" i="58"/>
  <c r="P51" i="58"/>
  <c r="M51" i="58"/>
  <c r="J51" i="58"/>
  <c r="W36" i="58"/>
  <c r="V36" i="58"/>
  <c r="S36" i="58"/>
  <c r="P36" i="58"/>
  <c r="M36" i="58"/>
  <c r="J36" i="58"/>
  <c r="W50" i="58"/>
  <c r="V50" i="58"/>
  <c r="S50" i="58"/>
  <c r="P50" i="58"/>
  <c r="M50" i="58"/>
  <c r="J50" i="58"/>
  <c r="W49" i="58"/>
  <c r="V49" i="58"/>
  <c r="S49" i="58"/>
  <c r="P49" i="58"/>
  <c r="M49" i="58"/>
  <c r="J49" i="58"/>
  <c r="W48" i="58"/>
  <c r="V48" i="58"/>
  <c r="S18" i="58"/>
  <c r="P18" i="58"/>
  <c r="M18" i="58"/>
  <c r="J18" i="58"/>
  <c r="W46" i="58"/>
  <c r="V46" i="58"/>
  <c r="S20" i="58"/>
  <c r="P20" i="58"/>
  <c r="M20" i="58"/>
  <c r="J20" i="58"/>
  <c r="W32" i="58"/>
  <c r="V32" i="58"/>
  <c r="S23" i="58"/>
  <c r="P23" i="58"/>
  <c r="M23" i="58"/>
  <c r="J23" i="58"/>
  <c r="W27" i="58"/>
  <c r="V27" i="58"/>
  <c r="S32" i="58"/>
  <c r="P32" i="58"/>
  <c r="M32" i="58"/>
  <c r="J32" i="58"/>
  <c r="W18" i="58"/>
  <c r="V18" i="58"/>
  <c r="S26" i="58"/>
  <c r="P26" i="58"/>
  <c r="M26" i="58"/>
  <c r="J26" i="58"/>
  <c r="W28" i="58"/>
  <c r="V28" i="58"/>
  <c r="S16" i="58"/>
  <c r="P16" i="58"/>
  <c r="M16" i="58"/>
  <c r="J16" i="58"/>
  <c r="W26" i="58"/>
  <c r="V26" i="58"/>
  <c r="S35" i="58"/>
  <c r="P35" i="58"/>
  <c r="M35" i="58"/>
  <c r="J35" i="58"/>
  <c r="W17" i="58"/>
  <c r="V17" i="58"/>
  <c r="S42" i="58"/>
  <c r="P42" i="58"/>
  <c r="M42" i="58"/>
  <c r="J42" i="58"/>
  <c r="W16" i="58"/>
  <c r="V16" i="58"/>
  <c r="S22" i="58"/>
  <c r="P22" i="58"/>
  <c r="M22" i="58"/>
  <c r="J22" i="58"/>
  <c r="W21" i="58"/>
  <c r="V21" i="58"/>
  <c r="S33" i="58"/>
  <c r="P33" i="58"/>
  <c r="M33" i="58"/>
  <c r="J33" i="58"/>
  <c r="W45" i="58"/>
  <c r="V45" i="58"/>
  <c r="S48" i="58"/>
  <c r="P48" i="58"/>
  <c r="M48" i="58"/>
  <c r="J48" i="58"/>
  <c r="W20" i="58"/>
  <c r="V20" i="58"/>
  <c r="S29" i="58"/>
  <c r="P29" i="58"/>
  <c r="M29" i="58"/>
  <c r="J29" i="58"/>
  <c r="W35" i="58"/>
  <c r="V35" i="58"/>
  <c r="S31" i="58"/>
  <c r="P31" i="58"/>
  <c r="M31" i="58"/>
  <c r="J31" i="58"/>
  <c r="W43" i="58"/>
  <c r="V43" i="58"/>
  <c r="S46" i="58"/>
  <c r="P46" i="58"/>
  <c r="M46" i="58"/>
  <c r="J46" i="58"/>
  <c r="W44" i="58"/>
  <c r="V44" i="58"/>
  <c r="S34" i="58"/>
  <c r="P34" i="58"/>
  <c r="M34" i="58"/>
  <c r="J34" i="58"/>
  <c r="W41" i="58"/>
  <c r="V41" i="58"/>
  <c r="S14" i="58"/>
  <c r="P14" i="58"/>
  <c r="M14" i="58"/>
  <c r="J14" i="58"/>
  <c r="W30" i="58"/>
  <c r="V30" i="58"/>
  <c r="S45" i="58"/>
  <c r="P45" i="58"/>
  <c r="M45" i="58"/>
  <c r="J45" i="58"/>
  <c r="W33" i="58"/>
  <c r="V33" i="58"/>
  <c r="S37" i="58"/>
  <c r="P37" i="58"/>
  <c r="M37" i="58"/>
  <c r="J37" i="58"/>
  <c r="W15" i="58"/>
  <c r="V15" i="58"/>
  <c r="S21" i="58"/>
  <c r="P21" i="58"/>
  <c r="M21" i="58"/>
  <c r="J21" i="58"/>
  <c r="W19" i="58"/>
  <c r="V19" i="58"/>
  <c r="S24" i="58"/>
  <c r="P24" i="58"/>
  <c r="M24" i="58"/>
  <c r="J24" i="58"/>
  <c r="W22" i="58"/>
  <c r="V22" i="58"/>
  <c r="S43" i="58"/>
  <c r="P43" i="58"/>
  <c r="M43" i="58"/>
  <c r="J43" i="58"/>
  <c r="W24" i="58"/>
  <c r="V24" i="58"/>
  <c r="S27" i="58"/>
  <c r="P27" i="58"/>
  <c r="M27" i="58"/>
  <c r="J27" i="58"/>
  <c r="W29" i="58"/>
  <c r="V29" i="58"/>
  <c r="S19" i="58"/>
  <c r="P19" i="58"/>
  <c r="M19" i="58"/>
  <c r="J19" i="58"/>
  <c r="W23" i="58"/>
  <c r="V23" i="58"/>
  <c r="S38" i="58"/>
  <c r="P38" i="58"/>
  <c r="M38" i="58"/>
  <c r="J38" i="58"/>
  <c r="W34" i="58"/>
  <c r="V34" i="58"/>
  <c r="S30" i="58"/>
  <c r="P30" i="58"/>
  <c r="M30" i="58"/>
  <c r="J30" i="58"/>
  <c r="W31" i="58"/>
  <c r="V31" i="58"/>
  <c r="S25" i="58"/>
  <c r="P25" i="58"/>
  <c r="M25" i="58"/>
  <c r="J25" i="58"/>
  <c r="W25" i="58"/>
  <c r="V25" i="58"/>
  <c r="S17" i="58"/>
  <c r="P17" i="58"/>
  <c r="M17" i="58"/>
  <c r="J17" i="58"/>
  <c r="W47" i="58"/>
  <c r="V47" i="58"/>
  <c r="S44" i="58"/>
  <c r="P44" i="58"/>
  <c r="M44" i="58"/>
  <c r="J44" i="58"/>
  <c r="W14" i="58"/>
  <c r="V14" i="58"/>
  <c r="S40" i="58"/>
  <c r="P40" i="58"/>
  <c r="M40" i="58"/>
  <c r="J40" i="58"/>
  <c r="W37" i="58"/>
  <c r="V37" i="58"/>
  <c r="S47" i="58"/>
  <c r="P47" i="58"/>
  <c r="M47" i="58"/>
  <c r="J47" i="58"/>
  <c r="W42" i="58"/>
  <c r="V42" i="58"/>
  <c r="S15" i="58"/>
  <c r="P15" i="58"/>
  <c r="M15" i="58"/>
  <c r="J15" i="58"/>
  <c r="W40" i="58"/>
  <c r="V40" i="58"/>
  <c r="S28" i="58"/>
  <c r="P28" i="58"/>
  <c r="M28" i="58"/>
  <c r="J28" i="58"/>
  <c r="D8" i="60"/>
  <c r="D6" i="65" s="1"/>
  <c r="C7" i="60"/>
  <c r="A4" i="65" s="1"/>
  <c r="C6" i="60"/>
  <c r="W73" i="57"/>
  <c r="V73" i="57"/>
  <c r="S73" i="57"/>
  <c r="P73" i="57"/>
  <c r="M73" i="57"/>
  <c r="J73" i="57"/>
  <c r="F73" i="59"/>
  <c r="D73" i="59"/>
  <c r="W72" i="57"/>
  <c r="V72" i="57"/>
  <c r="S72" i="57"/>
  <c r="P72" i="57"/>
  <c r="M72" i="57"/>
  <c r="J72" i="57"/>
  <c r="F72" i="59"/>
  <c r="D72" i="59"/>
  <c r="W71" i="57"/>
  <c r="V71" i="57"/>
  <c r="S71" i="57"/>
  <c r="P71" i="57"/>
  <c r="M71" i="57"/>
  <c r="J71" i="57"/>
  <c r="F71" i="59"/>
  <c r="D71" i="59"/>
  <c r="W70" i="57"/>
  <c r="V70" i="57"/>
  <c r="S70" i="57"/>
  <c r="P70" i="57"/>
  <c r="M70" i="57"/>
  <c r="J70" i="57"/>
  <c r="F70" i="59"/>
  <c r="D70" i="59"/>
  <c r="W69" i="57"/>
  <c r="V69" i="57"/>
  <c r="S69" i="57"/>
  <c r="P69" i="57"/>
  <c r="M69" i="57"/>
  <c r="J69" i="57"/>
  <c r="F69" i="59"/>
  <c r="D69" i="59"/>
  <c r="W68" i="57"/>
  <c r="V68" i="57"/>
  <c r="S68" i="57"/>
  <c r="P68" i="57"/>
  <c r="M68" i="57"/>
  <c r="J68" i="57"/>
  <c r="F68" i="59"/>
  <c r="D68" i="59"/>
  <c r="W67" i="57"/>
  <c r="V67" i="57"/>
  <c r="S67" i="57"/>
  <c r="P67" i="57"/>
  <c r="M67" i="57"/>
  <c r="J67" i="57"/>
  <c r="F67" i="59"/>
  <c r="D67" i="59"/>
  <c r="W66" i="57"/>
  <c r="V66" i="57"/>
  <c r="S66" i="57"/>
  <c r="P66" i="57"/>
  <c r="M66" i="57"/>
  <c r="J66" i="57"/>
  <c r="F66" i="59"/>
  <c r="D66" i="59"/>
  <c r="W65" i="57"/>
  <c r="V65" i="57"/>
  <c r="S65" i="57"/>
  <c r="P65" i="57"/>
  <c r="M65" i="57"/>
  <c r="J65" i="57"/>
  <c r="F65" i="59"/>
  <c r="D65" i="59"/>
  <c r="W64" i="57"/>
  <c r="V64" i="57"/>
  <c r="S64" i="57"/>
  <c r="P64" i="57"/>
  <c r="M64" i="57"/>
  <c r="J64" i="57"/>
  <c r="F64" i="59"/>
  <c r="D64" i="59"/>
  <c r="W63" i="57"/>
  <c r="V63" i="57"/>
  <c r="S63" i="57"/>
  <c r="P63" i="57"/>
  <c r="M63" i="57"/>
  <c r="J63" i="57"/>
  <c r="F63" i="59"/>
  <c r="D63" i="59"/>
  <c r="W62" i="57"/>
  <c r="V62" i="57"/>
  <c r="S62" i="57"/>
  <c r="P62" i="57"/>
  <c r="M62" i="57"/>
  <c r="J62" i="57"/>
  <c r="F62" i="59"/>
  <c r="D62" i="59"/>
  <c r="W61" i="57"/>
  <c r="V61" i="57"/>
  <c r="S61" i="57"/>
  <c r="P61" i="57"/>
  <c r="M61" i="57"/>
  <c r="J61" i="57"/>
  <c r="W60" i="57"/>
  <c r="V60" i="57"/>
  <c r="S60" i="57"/>
  <c r="P60" i="57"/>
  <c r="M60" i="57"/>
  <c r="J60" i="57"/>
  <c r="W59" i="57"/>
  <c r="V59" i="57"/>
  <c r="S59" i="57"/>
  <c r="P59" i="57"/>
  <c r="M59" i="57"/>
  <c r="J59" i="57"/>
  <c r="W58" i="57"/>
  <c r="V58" i="57"/>
  <c r="S58" i="57"/>
  <c r="P58" i="57"/>
  <c r="M58" i="57"/>
  <c r="J58" i="57"/>
  <c r="W57" i="57"/>
  <c r="V57" i="57"/>
  <c r="S57" i="57"/>
  <c r="P57" i="57"/>
  <c r="M57" i="57"/>
  <c r="J57" i="57"/>
  <c r="W56" i="57"/>
  <c r="V56" i="57"/>
  <c r="S56" i="57"/>
  <c r="P56" i="57"/>
  <c r="M56" i="57"/>
  <c r="J56" i="57"/>
  <c r="W55" i="57"/>
  <c r="V55" i="57"/>
  <c r="S55" i="57"/>
  <c r="P55" i="57"/>
  <c r="M55" i="57"/>
  <c r="J55" i="57"/>
  <c r="W54" i="57"/>
  <c r="V54" i="57"/>
  <c r="S54" i="57"/>
  <c r="P54" i="57"/>
  <c r="M54" i="57"/>
  <c r="J54" i="57"/>
  <c r="W53" i="57"/>
  <c r="V53" i="57"/>
  <c r="S53" i="57"/>
  <c r="P53" i="57"/>
  <c r="M53" i="57"/>
  <c r="J53" i="57"/>
  <c r="F53" i="59"/>
  <c r="D53" i="59"/>
  <c r="W52" i="57"/>
  <c r="V52" i="57"/>
  <c r="S52" i="57"/>
  <c r="P52" i="57"/>
  <c r="M52" i="57"/>
  <c r="J52" i="57"/>
  <c r="F52" i="59"/>
  <c r="D52" i="59"/>
  <c r="W51" i="57"/>
  <c r="V51" i="57"/>
  <c r="S51" i="57"/>
  <c r="P51" i="57"/>
  <c r="M51" i="57"/>
  <c r="J51" i="57"/>
  <c r="F51" i="59"/>
  <c r="D51" i="59"/>
  <c r="W50" i="57"/>
  <c r="V50" i="57"/>
  <c r="S20" i="57"/>
  <c r="P20" i="57"/>
  <c r="M20" i="57"/>
  <c r="J20" i="57"/>
  <c r="F50" i="59"/>
  <c r="D50" i="59"/>
  <c r="W49" i="57"/>
  <c r="V49" i="57"/>
  <c r="S50" i="57"/>
  <c r="P50" i="57"/>
  <c r="M50" i="57"/>
  <c r="J50" i="57"/>
  <c r="F49" i="59"/>
  <c r="D49" i="59"/>
  <c r="W48" i="57"/>
  <c r="V48" i="57"/>
  <c r="S28" i="57"/>
  <c r="P28" i="57"/>
  <c r="M28" i="57"/>
  <c r="J28" i="57"/>
  <c r="F48" i="59"/>
  <c r="D48" i="59"/>
  <c r="W47" i="57"/>
  <c r="V47" i="57"/>
  <c r="S49" i="57"/>
  <c r="P49" i="57"/>
  <c r="M49" i="57"/>
  <c r="J49" i="57"/>
  <c r="F47" i="59"/>
  <c r="D47" i="59"/>
  <c r="W46" i="57"/>
  <c r="V46" i="57"/>
  <c r="S48" i="57"/>
  <c r="P48" i="57"/>
  <c r="M48" i="57"/>
  <c r="J48" i="57"/>
  <c r="F46" i="59"/>
  <c r="D46" i="59"/>
  <c r="V45" i="57"/>
  <c r="S43" i="57"/>
  <c r="P43" i="57"/>
  <c r="M43" i="57"/>
  <c r="J43" i="57"/>
  <c r="D45" i="59"/>
  <c r="W19" i="57"/>
  <c r="V19" i="57"/>
  <c r="S30" i="57"/>
  <c r="P30" i="57"/>
  <c r="M30" i="57"/>
  <c r="J30" i="57"/>
  <c r="F44" i="59"/>
  <c r="D44" i="59"/>
  <c r="W28" i="57"/>
  <c r="V28" i="57"/>
  <c r="S36" i="57"/>
  <c r="P36" i="57"/>
  <c r="M36" i="57"/>
  <c r="J36" i="57"/>
  <c r="W37" i="57"/>
  <c r="V37" i="57"/>
  <c r="S39" i="57"/>
  <c r="P39" i="57"/>
  <c r="M39" i="57"/>
  <c r="J39" i="57"/>
  <c r="W27" i="57"/>
  <c r="V27" i="57"/>
  <c r="S33" i="57"/>
  <c r="P33" i="57"/>
  <c r="M33" i="57"/>
  <c r="J33" i="57"/>
  <c r="W38" i="57"/>
  <c r="V38" i="57"/>
  <c r="S40" i="57"/>
  <c r="P40" i="57"/>
  <c r="M40" i="57"/>
  <c r="J40" i="57"/>
  <c r="W20" i="57"/>
  <c r="V20" i="57"/>
  <c r="S17" i="57"/>
  <c r="P17" i="57"/>
  <c r="M17" i="57"/>
  <c r="J17" i="57"/>
  <c r="W26" i="57"/>
  <c r="V26" i="57"/>
  <c r="S19" i="57"/>
  <c r="P19" i="57"/>
  <c r="M19" i="57"/>
  <c r="J19" i="57"/>
  <c r="W40" i="57"/>
  <c r="V40" i="57"/>
  <c r="S42" i="57"/>
  <c r="P42" i="57"/>
  <c r="M42" i="57"/>
  <c r="J42" i="57"/>
  <c r="W30" i="57"/>
  <c r="V30" i="57"/>
  <c r="S16" i="57"/>
  <c r="P16" i="57"/>
  <c r="M16" i="57"/>
  <c r="J16" i="57"/>
  <c r="W33" i="57"/>
  <c r="V33" i="57"/>
  <c r="S37" i="57"/>
  <c r="P37" i="57"/>
  <c r="M37" i="57"/>
  <c r="J37" i="57"/>
  <c r="W39" i="57"/>
  <c r="V39" i="57"/>
  <c r="S41" i="57"/>
  <c r="P41" i="57"/>
  <c r="M41" i="57"/>
  <c r="J41" i="57"/>
  <c r="W16" i="57"/>
  <c r="V16" i="57"/>
  <c r="S26" i="57"/>
  <c r="P26" i="57"/>
  <c r="M26" i="57"/>
  <c r="J26" i="57"/>
  <c r="W36" i="57"/>
  <c r="V36" i="57"/>
  <c r="S18" i="57"/>
  <c r="P18" i="57"/>
  <c r="M18" i="57"/>
  <c r="J18" i="57"/>
  <c r="W41" i="57"/>
  <c r="V41" i="57"/>
  <c r="S47" i="57"/>
  <c r="P47" i="57"/>
  <c r="M47" i="57"/>
  <c r="J47" i="57"/>
  <c r="W14" i="57"/>
  <c r="V14" i="57"/>
  <c r="S27" i="57"/>
  <c r="P27" i="57"/>
  <c r="M27" i="57"/>
  <c r="J27" i="57"/>
  <c r="W24" i="57"/>
  <c r="V24" i="57"/>
  <c r="S14" i="57"/>
  <c r="P14" i="57"/>
  <c r="M14" i="57"/>
  <c r="J14" i="57"/>
  <c r="W32" i="57"/>
  <c r="V32" i="57"/>
  <c r="S25" i="57"/>
  <c r="P25" i="57"/>
  <c r="M25" i="57"/>
  <c r="J25" i="57"/>
  <c r="W18" i="57"/>
  <c r="V18" i="57"/>
  <c r="S31" i="57"/>
  <c r="P31" i="57"/>
  <c r="M31" i="57"/>
  <c r="J31" i="57"/>
  <c r="W42" i="57"/>
  <c r="V42" i="57"/>
  <c r="S44" i="57"/>
  <c r="P44" i="57"/>
  <c r="M44" i="57"/>
  <c r="J44" i="57"/>
  <c r="W23" i="57"/>
  <c r="V23" i="57"/>
  <c r="S32" i="57"/>
  <c r="P32" i="57"/>
  <c r="M32" i="57"/>
  <c r="J32" i="57"/>
  <c r="W25" i="57"/>
  <c r="V25" i="57"/>
  <c r="S15" i="57"/>
  <c r="P15" i="57"/>
  <c r="M15" i="57"/>
  <c r="J15" i="57"/>
  <c r="W35" i="57"/>
  <c r="V35" i="57"/>
  <c r="S22" i="57"/>
  <c r="P22" i="57"/>
  <c r="M22" i="57"/>
  <c r="J22" i="57"/>
  <c r="W29" i="57"/>
  <c r="V29" i="57"/>
  <c r="S24" i="57"/>
  <c r="P24" i="57"/>
  <c r="M24" i="57"/>
  <c r="J24" i="57"/>
  <c r="W44" i="57"/>
  <c r="V44" i="57"/>
  <c r="S46" i="57"/>
  <c r="P46" i="57"/>
  <c r="M46" i="57"/>
  <c r="J46" i="57"/>
  <c r="W17" i="57"/>
  <c r="V17" i="57"/>
  <c r="S23" i="57"/>
  <c r="P23" i="57"/>
  <c r="M23" i="57"/>
  <c r="J23" i="57"/>
  <c r="W15" i="57"/>
  <c r="V15" i="57"/>
  <c r="S34" i="57"/>
  <c r="P34" i="57"/>
  <c r="M34" i="57"/>
  <c r="J34" i="57"/>
  <c r="W31" i="57"/>
  <c r="V31" i="57"/>
  <c r="S29" i="57"/>
  <c r="P29" i="57"/>
  <c r="M29" i="57"/>
  <c r="J29" i="57"/>
  <c r="W21" i="57"/>
  <c r="V21" i="57"/>
  <c r="S35" i="57"/>
  <c r="P35" i="57"/>
  <c r="M35" i="57"/>
  <c r="J35" i="57"/>
  <c r="W22" i="57"/>
  <c r="V22" i="57"/>
  <c r="S38" i="57"/>
  <c r="P38" i="57"/>
  <c r="M38" i="57"/>
  <c r="J38" i="57"/>
  <c r="W43" i="57"/>
  <c r="V43" i="57"/>
  <c r="S45" i="57"/>
  <c r="P45" i="57"/>
  <c r="M45" i="57"/>
  <c r="J45" i="57"/>
  <c r="W34" i="57"/>
  <c r="V34" i="57"/>
  <c r="S21" i="57"/>
  <c r="P21" i="57"/>
  <c r="M21" i="57"/>
  <c r="J21" i="57"/>
  <c r="D8" i="59"/>
  <c r="D6" i="64" s="1"/>
  <c r="C7" i="59"/>
  <c r="A4" i="64" s="1"/>
  <c r="C6" i="59"/>
  <c r="A44" i="56" l="1"/>
  <c r="B44" i="56"/>
  <c r="C44" i="56"/>
  <c r="E44" i="56"/>
  <c r="G44" i="56"/>
  <c r="A45" i="56"/>
  <c r="B45" i="56"/>
  <c r="C45" i="56"/>
  <c r="E45" i="56"/>
  <c r="G45" i="56"/>
  <c r="A46" i="56"/>
  <c r="B46" i="56"/>
  <c r="C46" i="56"/>
  <c r="E46" i="56"/>
  <c r="G46" i="56"/>
  <c r="A47" i="56"/>
  <c r="B47" i="56"/>
  <c r="C47" i="56"/>
  <c r="E47" i="56"/>
  <c r="G47" i="56"/>
  <c r="A48" i="56"/>
  <c r="B48" i="56"/>
  <c r="C48" i="56"/>
  <c r="E48" i="56"/>
  <c r="G48" i="56"/>
  <c r="A49" i="56"/>
  <c r="B49" i="56"/>
  <c r="C49" i="56"/>
  <c r="E49" i="56"/>
  <c r="G49" i="56"/>
  <c r="A50" i="56"/>
  <c r="B50" i="56"/>
  <c r="C50" i="56"/>
  <c r="E50" i="56"/>
  <c r="G50" i="56"/>
  <c r="A51" i="56"/>
  <c r="B51" i="56"/>
  <c r="C51" i="56"/>
  <c r="E51" i="56"/>
  <c r="G51" i="56"/>
  <c r="A52" i="56"/>
  <c r="B52" i="56"/>
  <c r="C52" i="56"/>
  <c r="E52" i="56"/>
  <c r="G52" i="56"/>
  <c r="A53" i="56"/>
  <c r="B53" i="56"/>
  <c r="C53" i="56"/>
  <c r="E53" i="56"/>
  <c r="G53" i="56"/>
  <c r="A54" i="56"/>
  <c r="B54" i="56"/>
  <c r="C54" i="56"/>
  <c r="E54" i="56"/>
  <c r="G54" i="56"/>
  <c r="A55" i="56"/>
  <c r="B55" i="56"/>
  <c r="C55" i="56"/>
  <c r="E55" i="56"/>
  <c r="G55" i="56"/>
  <c r="A56" i="56"/>
  <c r="B56" i="56"/>
  <c r="C56" i="56"/>
  <c r="E56" i="56"/>
  <c r="G56" i="56"/>
  <c r="A57" i="56"/>
  <c r="B57" i="56"/>
  <c r="C57" i="56"/>
  <c r="E57" i="56"/>
  <c r="G57" i="56"/>
  <c r="A58" i="56"/>
  <c r="B58" i="56"/>
  <c r="C58" i="56"/>
  <c r="E58" i="56"/>
  <c r="G58" i="56"/>
  <c r="A59" i="56"/>
  <c r="B59" i="56"/>
  <c r="C59" i="56"/>
  <c r="E59" i="56"/>
  <c r="G59" i="56"/>
  <c r="A60" i="56"/>
  <c r="B60" i="56"/>
  <c r="C60" i="56"/>
  <c r="E60" i="56"/>
  <c r="G60" i="56"/>
  <c r="A61" i="56"/>
  <c r="B61" i="56"/>
  <c r="C61" i="56"/>
  <c r="E61" i="56"/>
  <c r="G61" i="56"/>
  <c r="A62" i="56"/>
  <c r="B62" i="56"/>
  <c r="C62" i="56"/>
  <c r="E62" i="56"/>
  <c r="G62" i="56"/>
  <c r="A63" i="56"/>
  <c r="B63" i="56"/>
  <c r="C63" i="56"/>
  <c r="E63" i="56"/>
  <c r="G63" i="56"/>
  <c r="A64" i="56"/>
  <c r="B64" i="56"/>
  <c r="C64" i="56"/>
  <c r="E64" i="56"/>
  <c r="G64" i="56"/>
  <c r="A65" i="56"/>
  <c r="B65" i="56"/>
  <c r="C65" i="56"/>
  <c r="E65" i="56"/>
  <c r="G65" i="56"/>
  <c r="A66" i="56"/>
  <c r="B66" i="56"/>
  <c r="C66" i="56"/>
  <c r="E66" i="56"/>
  <c r="G66" i="56"/>
  <c r="A67" i="56"/>
  <c r="B67" i="56"/>
  <c r="C67" i="56"/>
  <c r="E67" i="56"/>
  <c r="G67" i="56"/>
  <c r="A68" i="56"/>
  <c r="B68" i="56"/>
  <c r="C68" i="56"/>
  <c r="E68" i="56"/>
  <c r="G68" i="56"/>
  <c r="A69" i="56"/>
  <c r="B69" i="56"/>
  <c r="C69" i="56"/>
  <c r="E69" i="56"/>
  <c r="G69" i="56"/>
  <c r="A70" i="56"/>
  <c r="B70" i="56"/>
  <c r="C70" i="56"/>
  <c r="E70" i="56"/>
  <c r="G70" i="56"/>
  <c r="A71" i="56"/>
  <c r="B71" i="56"/>
  <c r="C71" i="56"/>
  <c r="E71" i="56"/>
  <c r="G71" i="56"/>
  <c r="A72" i="56"/>
  <c r="B72" i="56"/>
  <c r="C72" i="56"/>
  <c r="E72" i="56"/>
  <c r="G72" i="56"/>
  <c r="A73" i="56"/>
  <c r="B73" i="56"/>
  <c r="C73" i="56"/>
  <c r="E73" i="56"/>
  <c r="G73" i="56"/>
  <c r="G14" i="56"/>
  <c r="E14" i="56"/>
  <c r="C14" i="56"/>
  <c r="B14" i="56"/>
  <c r="A14" i="56"/>
  <c r="F10" i="56"/>
  <c r="F9" i="56"/>
  <c r="D10" i="56"/>
  <c r="D9" i="56"/>
  <c r="B8" i="56"/>
  <c r="B6" i="72" s="1"/>
  <c r="A44" i="55"/>
  <c r="B44" i="55"/>
  <c r="C44" i="55"/>
  <c r="E44" i="55"/>
  <c r="G44" i="55"/>
  <c r="A45" i="55"/>
  <c r="B45" i="55"/>
  <c r="C45" i="55"/>
  <c r="E45" i="55"/>
  <c r="G45" i="55"/>
  <c r="A46" i="55"/>
  <c r="B46" i="55"/>
  <c r="C46" i="55"/>
  <c r="E46" i="55"/>
  <c r="G46" i="55"/>
  <c r="A47" i="55"/>
  <c r="B47" i="55"/>
  <c r="C47" i="55"/>
  <c r="E47" i="55"/>
  <c r="G47" i="55"/>
  <c r="A48" i="55"/>
  <c r="B48" i="55"/>
  <c r="C48" i="55"/>
  <c r="E48" i="55"/>
  <c r="G48" i="55"/>
  <c r="A49" i="55"/>
  <c r="B49" i="55"/>
  <c r="C49" i="55"/>
  <c r="E49" i="55"/>
  <c r="G49" i="55"/>
  <c r="A50" i="55"/>
  <c r="B50" i="55"/>
  <c r="C50" i="55"/>
  <c r="E50" i="55"/>
  <c r="G50" i="55"/>
  <c r="A51" i="55"/>
  <c r="B51" i="55"/>
  <c r="C51" i="55"/>
  <c r="E51" i="55"/>
  <c r="G51" i="55"/>
  <c r="A52" i="55"/>
  <c r="B52" i="55"/>
  <c r="C52" i="55"/>
  <c r="E52" i="55"/>
  <c r="G52" i="55"/>
  <c r="A53" i="55"/>
  <c r="B53" i="55"/>
  <c r="C53" i="55"/>
  <c r="E53" i="55"/>
  <c r="G53" i="55"/>
  <c r="A54" i="55"/>
  <c r="B54" i="55"/>
  <c r="C54" i="55"/>
  <c r="E54" i="55"/>
  <c r="G54" i="55"/>
  <c r="A55" i="55"/>
  <c r="B55" i="55"/>
  <c r="C55" i="55"/>
  <c r="E55" i="55"/>
  <c r="G55" i="55"/>
  <c r="A56" i="55"/>
  <c r="B56" i="55"/>
  <c r="C56" i="55"/>
  <c r="E56" i="55"/>
  <c r="G56" i="55"/>
  <c r="A57" i="55"/>
  <c r="B57" i="55"/>
  <c r="C57" i="55"/>
  <c r="E57" i="55"/>
  <c r="G57" i="55"/>
  <c r="A58" i="55"/>
  <c r="B58" i="55"/>
  <c r="C58" i="55"/>
  <c r="E58" i="55"/>
  <c r="G58" i="55"/>
  <c r="A59" i="55"/>
  <c r="B59" i="55"/>
  <c r="C59" i="55"/>
  <c r="E59" i="55"/>
  <c r="G59" i="55"/>
  <c r="A60" i="55"/>
  <c r="B60" i="55"/>
  <c r="C60" i="55"/>
  <c r="E60" i="55"/>
  <c r="G60" i="55"/>
  <c r="A61" i="55"/>
  <c r="B61" i="55"/>
  <c r="C61" i="55"/>
  <c r="E61" i="55"/>
  <c r="G61" i="55"/>
  <c r="A62" i="55"/>
  <c r="B62" i="55"/>
  <c r="C62" i="55"/>
  <c r="E62" i="55"/>
  <c r="G62" i="55"/>
  <c r="A63" i="55"/>
  <c r="B63" i="55"/>
  <c r="C63" i="55"/>
  <c r="E63" i="55"/>
  <c r="G63" i="55"/>
  <c r="A64" i="55"/>
  <c r="B64" i="55"/>
  <c r="C64" i="55"/>
  <c r="E64" i="55"/>
  <c r="G64" i="55"/>
  <c r="A65" i="55"/>
  <c r="B65" i="55"/>
  <c r="C65" i="55"/>
  <c r="E65" i="55"/>
  <c r="G65" i="55"/>
  <c r="A66" i="55"/>
  <c r="B66" i="55"/>
  <c r="C66" i="55"/>
  <c r="E66" i="55"/>
  <c r="G66" i="55"/>
  <c r="A67" i="55"/>
  <c r="B67" i="55"/>
  <c r="C67" i="55"/>
  <c r="E67" i="55"/>
  <c r="G67" i="55"/>
  <c r="A68" i="55"/>
  <c r="B68" i="55"/>
  <c r="C68" i="55"/>
  <c r="E68" i="55"/>
  <c r="G68" i="55"/>
  <c r="A69" i="55"/>
  <c r="B69" i="55"/>
  <c r="C69" i="55"/>
  <c r="E69" i="55"/>
  <c r="G69" i="55"/>
  <c r="A70" i="55"/>
  <c r="B70" i="55"/>
  <c r="C70" i="55"/>
  <c r="E70" i="55"/>
  <c r="G70" i="55"/>
  <c r="A71" i="55"/>
  <c r="B71" i="55"/>
  <c r="C71" i="55"/>
  <c r="E71" i="55"/>
  <c r="G71" i="55"/>
  <c r="A72" i="55"/>
  <c r="B72" i="55"/>
  <c r="C72" i="55"/>
  <c r="E72" i="55"/>
  <c r="G72" i="55"/>
  <c r="A73" i="55"/>
  <c r="B73" i="55"/>
  <c r="C73" i="55"/>
  <c r="E73" i="55"/>
  <c r="G73" i="55"/>
  <c r="G14" i="55"/>
  <c r="E14" i="55"/>
  <c r="C14" i="55"/>
  <c r="B14" i="55"/>
  <c r="A14" i="55"/>
  <c r="F9" i="55"/>
  <c r="F10" i="55"/>
  <c r="D10" i="55"/>
  <c r="D9" i="55"/>
  <c r="B8" i="55"/>
  <c r="B6" i="71" s="1"/>
  <c r="W73" i="54"/>
  <c r="V73" i="54"/>
  <c r="S73" i="54"/>
  <c r="P73" i="54"/>
  <c r="M73" i="54"/>
  <c r="J73" i="54"/>
  <c r="F73" i="56"/>
  <c r="D73" i="56"/>
  <c r="W72" i="54"/>
  <c r="V72" i="54"/>
  <c r="S72" i="54"/>
  <c r="P72" i="54"/>
  <c r="M72" i="54"/>
  <c r="J72" i="54"/>
  <c r="F72" i="56"/>
  <c r="D72" i="56"/>
  <c r="W71" i="54"/>
  <c r="V71" i="54"/>
  <c r="S71" i="54"/>
  <c r="P71" i="54"/>
  <c r="M71" i="54"/>
  <c r="J71" i="54"/>
  <c r="F71" i="56"/>
  <c r="D71" i="56"/>
  <c r="W70" i="54"/>
  <c r="V70" i="54"/>
  <c r="S70" i="54"/>
  <c r="P70" i="54"/>
  <c r="M70" i="54"/>
  <c r="J70" i="54"/>
  <c r="F70" i="56"/>
  <c r="D70" i="56"/>
  <c r="W69" i="54"/>
  <c r="V69" i="54"/>
  <c r="S69" i="54"/>
  <c r="P69" i="54"/>
  <c r="M69" i="54"/>
  <c r="J69" i="54"/>
  <c r="F69" i="56"/>
  <c r="D69" i="56"/>
  <c r="W68" i="54"/>
  <c r="V68" i="54"/>
  <c r="S68" i="54"/>
  <c r="P68" i="54"/>
  <c r="M68" i="54"/>
  <c r="J68" i="54"/>
  <c r="F68" i="56"/>
  <c r="D68" i="56"/>
  <c r="W67" i="54"/>
  <c r="V67" i="54"/>
  <c r="S67" i="54"/>
  <c r="P67" i="54"/>
  <c r="M67" i="54"/>
  <c r="J67" i="54"/>
  <c r="F67" i="56"/>
  <c r="D67" i="56"/>
  <c r="W66" i="54"/>
  <c r="V66" i="54"/>
  <c r="S66" i="54"/>
  <c r="P66" i="54"/>
  <c r="M66" i="54"/>
  <c r="J66" i="54"/>
  <c r="F66" i="56"/>
  <c r="D66" i="56"/>
  <c r="W65" i="54"/>
  <c r="V65" i="54"/>
  <c r="S65" i="54"/>
  <c r="P65" i="54"/>
  <c r="M65" i="54"/>
  <c r="J65" i="54"/>
  <c r="F65" i="56"/>
  <c r="D65" i="56"/>
  <c r="W64" i="54"/>
  <c r="V64" i="54"/>
  <c r="S64" i="54"/>
  <c r="P64" i="54"/>
  <c r="M64" i="54"/>
  <c r="J64" i="54"/>
  <c r="F64" i="56"/>
  <c r="D64" i="56"/>
  <c r="W63" i="54"/>
  <c r="V63" i="54"/>
  <c r="S63" i="54"/>
  <c r="P63" i="54"/>
  <c r="M63" i="54"/>
  <c r="J63" i="54"/>
  <c r="F63" i="56"/>
  <c r="D63" i="56"/>
  <c r="W62" i="54"/>
  <c r="V62" i="54"/>
  <c r="S62" i="54"/>
  <c r="P62" i="54"/>
  <c r="M62" i="54"/>
  <c r="J62" i="54"/>
  <c r="F62" i="56"/>
  <c r="D62" i="56"/>
  <c r="W61" i="54"/>
  <c r="V61" i="54"/>
  <c r="S61" i="54"/>
  <c r="P61" i="54"/>
  <c r="M61" i="54"/>
  <c r="J61" i="54"/>
  <c r="F61" i="56"/>
  <c r="D61" i="56"/>
  <c r="W60" i="54"/>
  <c r="V60" i="54"/>
  <c r="S60" i="54"/>
  <c r="P60" i="54"/>
  <c r="M60" i="54"/>
  <c r="J60" i="54"/>
  <c r="F60" i="56"/>
  <c r="D60" i="56"/>
  <c r="W59" i="54"/>
  <c r="V59" i="54"/>
  <c r="S59" i="54"/>
  <c r="P59" i="54"/>
  <c r="M59" i="54"/>
  <c r="J59" i="54"/>
  <c r="F59" i="56"/>
  <c r="D59" i="56"/>
  <c r="W58" i="54"/>
  <c r="V58" i="54"/>
  <c r="S58" i="54"/>
  <c r="P58" i="54"/>
  <c r="M58" i="54"/>
  <c r="J58" i="54"/>
  <c r="F58" i="56"/>
  <c r="D58" i="56"/>
  <c r="W57" i="54"/>
  <c r="V57" i="54"/>
  <c r="S57" i="54"/>
  <c r="P57" i="54"/>
  <c r="M57" i="54"/>
  <c r="J57" i="54"/>
  <c r="F57" i="56"/>
  <c r="D57" i="56"/>
  <c r="W56" i="54"/>
  <c r="V56" i="54"/>
  <c r="S56" i="54"/>
  <c r="P56" i="54"/>
  <c r="M56" i="54"/>
  <c r="J56" i="54"/>
  <c r="F56" i="56"/>
  <c r="D56" i="56"/>
  <c r="W55" i="54"/>
  <c r="V55" i="54"/>
  <c r="S55" i="54"/>
  <c r="P55" i="54"/>
  <c r="M55" i="54"/>
  <c r="J55" i="54"/>
  <c r="F55" i="56"/>
  <c r="D55" i="56"/>
  <c r="W54" i="54"/>
  <c r="V54" i="54"/>
  <c r="S54" i="54"/>
  <c r="P54" i="54"/>
  <c r="M54" i="54"/>
  <c r="J54" i="54"/>
  <c r="F54" i="56"/>
  <c r="D54" i="56"/>
  <c r="W53" i="54"/>
  <c r="V53" i="54"/>
  <c r="S53" i="54"/>
  <c r="P53" i="54"/>
  <c r="M53" i="54"/>
  <c r="J53" i="54"/>
  <c r="F53" i="56"/>
  <c r="D53" i="56"/>
  <c r="W52" i="54"/>
  <c r="V52" i="54"/>
  <c r="S52" i="54"/>
  <c r="P52" i="54"/>
  <c r="M52" i="54"/>
  <c r="J52" i="54"/>
  <c r="F52" i="56"/>
  <c r="D52" i="56"/>
  <c r="W51" i="54"/>
  <c r="V51" i="54"/>
  <c r="S51" i="54"/>
  <c r="P51" i="54"/>
  <c r="M51" i="54"/>
  <c r="J51" i="54"/>
  <c r="F51" i="56"/>
  <c r="D51" i="56"/>
  <c r="W50" i="54"/>
  <c r="V50" i="54"/>
  <c r="S50" i="54"/>
  <c r="P50" i="54"/>
  <c r="M50" i="54"/>
  <c r="J50" i="54"/>
  <c r="F50" i="56"/>
  <c r="D50" i="56"/>
  <c r="W49" i="54"/>
  <c r="V49" i="54"/>
  <c r="S49" i="54"/>
  <c r="P49" i="54"/>
  <c r="M49" i="54"/>
  <c r="J49" i="54"/>
  <c r="F49" i="56"/>
  <c r="D49" i="56"/>
  <c r="W48" i="54"/>
  <c r="V48" i="54"/>
  <c r="S48" i="54"/>
  <c r="P48" i="54"/>
  <c r="M48" i="54"/>
  <c r="J48" i="54"/>
  <c r="F48" i="56"/>
  <c r="D48" i="56"/>
  <c r="W47" i="54"/>
  <c r="V47" i="54"/>
  <c r="S47" i="54"/>
  <c r="P47" i="54"/>
  <c r="M47" i="54"/>
  <c r="J47" i="54"/>
  <c r="F47" i="56"/>
  <c r="D47" i="56"/>
  <c r="W46" i="54"/>
  <c r="V46" i="54"/>
  <c r="S46" i="54"/>
  <c r="P46" i="54"/>
  <c r="M46" i="54"/>
  <c r="J46" i="54"/>
  <c r="F46" i="56"/>
  <c r="D46" i="56"/>
  <c r="W45" i="54"/>
  <c r="V45" i="54"/>
  <c r="S45" i="54"/>
  <c r="P45" i="54"/>
  <c r="M45" i="54"/>
  <c r="J45" i="54"/>
  <c r="F45" i="56"/>
  <c r="D45" i="56"/>
  <c r="W44" i="54"/>
  <c r="V44" i="54"/>
  <c r="S44" i="54"/>
  <c r="P44" i="54"/>
  <c r="M44" i="54"/>
  <c r="J44" i="54"/>
  <c r="F44" i="56"/>
  <c r="D44" i="56"/>
  <c r="W43" i="54"/>
  <c r="V43" i="54"/>
  <c r="S43" i="54"/>
  <c r="P43" i="54"/>
  <c r="M43" i="54"/>
  <c r="J43" i="54"/>
  <c r="W42" i="54"/>
  <c r="V42" i="54"/>
  <c r="S42" i="54"/>
  <c r="P42" i="54"/>
  <c r="M42" i="54"/>
  <c r="J42" i="54"/>
  <c r="W41" i="54"/>
  <c r="V41" i="54"/>
  <c r="S41" i="54"/>
  <c r="P41" i="54"/>
  <c r="M41" i="54"/>
  <c r="J41" i="54"/>
  <c r="W40" i="54"/>
  <c r="V40" i="54"/>
  <c r="S40" i="54"/>
  <c r="P40" i="54"/>
  <c r="M40" i="54"/>
  <c r="J40" i="54"/>
  <c r="W39" i="54"/>
  <c r="V39" i="54"/>
  <c r="S39" i="54"/>
  <c r="P39" i="54"/>
  <c r="M39" i="54"/>
  <c r="J39" i="54"/>
  <c r="W38" i="54"/>
  <c r="V38" i="54"/>
  <c r="S38" i="54"/>
  <c r="P38" i="54"/>
  <c r="M38" i="54"/>
  <c r="J38" i="54"/>
  <c r="W37" i="54"/>
  <c r="V37" i="54"/>
  <c r="S37" i="54"/>
  <c r="P37" i="54"/>
  <c r="M37" i="54"/>
  <c r="J37" i="54"/>
  <c r="W36" i="54"/>
  <c r="V36" i="54"/>
  <c r="S36" i="54"/>
  <c r="P36" i="54"/>
  <c r="M36" i="54"/>
  <c r="J36" i="54"/>
  <c r="W35" i="54"/>
  <c r="V35" i="54"/>
  <c r="S35" i="54"/>
  <c r="P35" i="54"/>
  <c r="M35" i="54"/>
  <c r="J35" i="54"/>
  <c r="W34" i="54"/>
  <c r="V34" i="54"/>
  <c r="S34" i="54"/>
  <c r="P34" i="54"/>
  <c r="M34" i="54"/>
  <c r="J34" i="54"/>
  <c r="W33" i="54"/>
  <c r="V33" i="54"/>
  <c r="S33" i="54"/>
  <c r="P33" i="54"/>
  <c r="M33" i="54"/>
  <c r="J33" i="54"/>
  <c r="W32" i="54"/>
  <c r="V32" i="54"/>
  <c r="S32" i="54"/>
  <c r="P32" i="54"/>
  <c r="M32" i="54"/>
  <c r="J32" i="54"/>
  <c r="W31" i="54"/>
  <c r="V31" i="54"/>
  <c r="S31" i="54"/>
  <c r="P31" i="54"/>
  <c r="M31" i="54"/>
  <c r="J31" i="54"/>
  <c r="W30" i="54"/>
  <c r="V30" i="54"/>
  <c r="S30" i="54"/>
  <c r="P30" i="54"/>
  <c r="M30" i="54"/>
  <c r="J30" i="54"/>
  <c r="W29" i="54"/>
  <c r="V29" i="54"/>
  <c r="S29" i="54"/>
  <c r="P29" i="54"/>
  <c r="M29" i="54"/>
  <c r="J29" i="54"/>
  <c r="W28" i="54"/>
  <c r="V28" i="54"/>
  <c r="S28" i="54"/>
  <c r="P28" i="54"/>
  <c r="M28" i="54"/>
  <c r="J28" i="54"/>
  <c r="W27" i="54"/>
  <c r="V27" i="54"/>
  <c r="S27" i="54"/>
  <c r="P27" i="54"/>
  <c r="M27" i="54"/>
  <c r="J27" i="54"/>
  <c r="W26" i="54"/>
  <c r="V26" i="54"/>
  <c r="S26" i="54"/>
  <c r="P26" i="54"/>
  <c r="M26" i="54"/>
  <c r="J26" i="54"/>
  <c r="W25" i="54"/>
  <c r="V25" i="54"/>
  <c r="S25" i="54"/>
  <c r="P25" i="54"/>
  <c r="M25" i="54"/>
  <c r="J25" i="54"/>
  <c r="W24" i="54"/>
  <c r="V24" i="54"/>
  <c r="S24" i="54"/>
  <c r="P24" i="54"/>
  <c r="M24" i="54"/>
  <c r="J24" i="54"/>
  <c r="W15" i="54"/>
  <c r="V15" i="54"/>
  <c r="S15" i="54"/>
  <c r="P15" i="54"/>
  <c r="M15" i="54"/>
  <c r="J15" i="54"/>
  <c r="W20" i="54"/>
  <c r="V20" i="54"/>
  <c r="S20" i="54"/>
  <c r="P20" i="54"/>
  <c r="M20" i="54"/>
  <c r="J20" i="54"/>
  <c r="W16" i="54"/>
  <c r="V16" i="54"/>
  <c r="S16" i="54"/>
  <c r="P16" i="54"/>
  <c r="M16" i="54"/>
  <c r="J16" i="54"/>
  <c r="W18" i="54"/>
  <c r="V18" i="54"/>
  <c r="S18" i="54"/>
  <c r="P18" i="54"/>
  <c r="M18" i="54"/>
  <c r="J18" i="54"/>
  <c r="W14" i="54"/>
  <c r="V14" i="54"/>
  <c r="S14" i="54"/>
  <c r="P14" i="54"/>
  <c r="M14" i="54"/>
  <c r="J14" i="54"/>
  <c r="W17" i="54"/>
  <c r="V17" i="54"/>
  <c r="S17" i="54"/>
  <c r="P17" i="54"/>
  <c r="M17" i="54"/>
  <c r="J17" i="54"/>
  <c r="W21" i="54"/>
  <c r="V21" i="54"/>
  <c r="S21" i="54"/>
  <c r="P21" i="54"/>
  <c r="M21" i="54"/>
  <c r="J21" i="54"/>
  <c r="W19" i="54"/>
  <c r="V19" i="54"/>
  <c r="S19" i="54"/>
  <c r="P19" i="54"/>
  <c r="M19" i="54"/>
  <c r="J19" i="54"/>
  <c r="W23" i="54"/>
  <c r="V23" i="54"/>
  <c r="S23" i="54"/>
  <c r="P23" i="54"/>
  <c r="M23" i="54"/>
  <c r="J23" i="54"/>
  <c r="W22" i="54"/>
  <c r="V22" i="54"/>
  <c r="S22" i="54"/>
  <c r="P22" i="54"/>
  <c r="M22" i="54"/>
  <c r="J22" i="54"/>
  <c r="F14" i="56"/>
  <c r="D14" i="56"/>
  <c r="W11" i="54"/>
  <c r="V11" i="54"/>
  <c r="D8" i="56"/>
  <c r="D6" i="72" s="1"/>
  <c r="C7" i="56"/>
  <c r="A4" i="72" s="1"/>
  <c r="C6" i="56"/>
  <c r="W73" i="53"/>
  <c r="V73" i="53"/>
  <c r="S73" i="53"/>
  <c r="P73" i="53"/>
  <c r="M73" i="53"/>
  <c r="J73" i="53"/>
  <c r="F73" i="55"/>
  <c r="D73" i="55"/>
  <c r="W72" i="53"/>
  <c r="V72" i="53"/>
  <c r="S72" i="53"/>
  <c r="P72" i="53"/>
  <c r="M72" i="53"/>
  <c r="J72" i="53"/>
  <c r="F72" i="55"/>
  <c r="D72" i="55"/>
  <c r="W71" i="53"/>
  <c r="V71" i="53"/>
  <c r="S71" i="53"/>
  <c r="P71" i="53"/>
  <c r="M71" i="53"/>
  <c r="J71" i="53"/>
  <c r="F71" i="55"/>
  <c r="D71" i="55"/>
  <c r="W70" i="53"/>
  <c r="V70" i="53"/>
  <c r="S70" i="53"/>
  <c r="P70" i="53"/>
  <c r="M70" i="53"/>
  <c r="J70" i="53"/>
  <c r="F70" i="55"/>
  <c r="D70" i="55"/>
  <c r="W69" i="53"/>
  <c r="V69" i="53"/>
  <c r="S69" i="53"/>
  <c r="P69" i="53"/>
  <c r="M69" i="53"/>
  <c r="J69" i="53"/>
  <c r="F69" i="55"/>
  <c r="D69" i="55"/>
  <c r="W68" i="53"/>
  <c r="V68" i="53"/>
  <c r="S68" i="53"/>
  <c r="P68" i="53"/>
  <c r="M68" i="53"/>
  <c r="J68" i="53"/>
  <c r="F68" i="55"/>
  <c r="D68" i="55"/>
  <c r="W67" i="53"/>
  <c r="V67" i="53"/>
  <c r="S67" i="53"/>
  <c r="P67" i="53"/>
  <c r="M67" i="53"/>
  <c r="J67" i="53"/>
  <c r="F67" i="55"/>
  <c r="D67" i="55"/>
  <c r="W66" i="53"/>
  <c r="V66" i="53"/>
  <c r="S66" i="53"/>
  <c r="P66" i="53"/>
  <c r="M66" i="53"/>
  <c r="J66" i="53"/>
  <c r="F66" i="55"/>
  <c r="D66" i="55"/>
  <c r="W65" i="53"/>
  <c r="V65" i="53"/>
  <c r="S65" i="53"/>
  <c r="P65" i="53"/>
  <c r="M65" i="53"/>
  <c r="J65" i="53"/>
  <c r="F65" i="55"/>
  <c r="D65" i="55"/>
  <c r="W64" i="53"/>
  <c r="V64" i="53"/>
  <c r="S64" i="53"/>
  <c r="P64" i="53"/>
  <c r="M64" i="53"/>
  <c r="J64" i="53"/>
  <c r="F64" i="55"/>
  <c r="D64" i="55"/>
  <c r="W63" i="53"/>
  <c r="V63" i="53"/>
  <c r="S63" i="53"/>
  <c r="P63" i="53"/>
  <c r="M63" i="53"/>
  <c r="J63" i="53"/>
  <c r="F63" i="55"/>
  <c r="D63" i="55"/>
  <c r="W62" i="53"/>
  <c r="V62" i="53"/>
  <c r="S62" i="53"/>
  <c r="P62" i="53"/>
  <c r="M62" i="53"/>
  <c r="J62" i="53"/>
  <c r="F62" i="55"/>
  <c r="D62" i="55"/>
  <c r="W61" i="53"/>
  <c r="V61" i="53"/>
  <c r="S61" i="53"/>
  <c r="P61" i="53"/>
  <c r="M61" i="53"/>
  <c r="J61" i="53"/>
  <c r="F61" i="55"/>
  <c r="D61" i="55"/>
  <c r="W60" i="53"/>
  <c r="V60" i="53"/>
  <c r="S60" i="53"/>
  <c r="P60" i="53"/>
  <c r="M60" i="53"/>
  <c r="J60" i="53"/>
  <c r="F60" i="55"/>
  <c r="D60" i="55"/>
  <c r="W24" i="53"/>
  <c r="V24" i="53"/>
  <c r="S24" i="53"/>
  <c r="P24" i="53"/>
  <c r="M24" i="53"/>
  <c r="J24" i="53"/>
  <c r="F59" i="55"/>
  <c r="D59" i="55"/>
  <c r="W17" i="53"/>
  <c r="V17" i="53"/>
  <c r="S17" i="53"/>
  <c r="P17" i="53"/>
  <c r="M17" i="53"/>
  <c r="J17" i="53"/>
  <c r="F58" i="55"/>
  <c r="D58" i="55"/>
  <c r="W34" i="53"/>
  <c r="V34" i="53"/>
  <c r="S34" i="53"/>
  <c r="P34" i="53"/>
  <c r="M34" i="53"/>
  <c r="J34" i="53"/>
  <c r="F57" i="55"/>
  <c r="D57" i="55"/>
  <c r="W42" i="53"/>
  <c r="V42" i="53"/>
  <c r="S42" i="53"/>
  <c r="P42" i="53"/>
  <c r="M42" i="53"/>
  <c r="J42" i="53"/>
  <c r="F56" i="55"/>
  <c r="D56" i="55"/>
  <c r="W28" i="53"/>
  <c r="V28" i="53"/>
  <c r="S28" i="53"/>
  <c r="P28" i="53"/>
  <c r="M28" i="53"/>
  <c r="J28" i="53"/>
  <c r="F55" i="55"/>
  <c r="D55" i="55"/>
  <c r="W46" i="53"/>
  <c r="V46" i="53"/>
  <c r="S46" i="53"/>
  <c r="P46" i="53"/>
  <c r="M46" i="53"/>
  <c r="J46" i="53"/>
  <c r="F54" i="55"/>
  <c r="D54" i="55"/>
  <c r="W23" i="53"/>
  <c r="V23" i="53"/>
  <c r="S23" i="53"/>
  <c r="P23" i="53"/>
  <c r="M23" i="53"/>
  <c r="J23" i="53"/>
  <c r="F53" i="55"/>
  <c r="D53" i="55"/>
  <c r="W35" i="53"/>
  <c r="V35" i="53"/>
  <c r="S35" i="53"/>
  <c r="P35" i="53"/>
  <c r="M35" i="53"/>
  <c r="J35" i="53"/>
  <c r="F52" i="55"/>
  <c r="D52" i="55"/>
  <c r="W54" i="53"/>
  <c r="V54" i="53"/>
  <c r="S54" i="53"/>
  <c r="P54" i="53"/>
  <c r="M54" i="53"/>
  <c r="J54" i="53"/>
  <c r="F51" i="55"/>
  <c r="D51" i="55"/>
  <c r="W29" i="53"/>
  <c r="V29" i="53"/>
  <c r="S29" i="53"/>
  <c r="P29" i="53"/>
  <c r="M29" i="53"/>
  <c r="J29" i="53"/>
  <c r="F50" i="55"/>
  <c r="D50" i="55"/>
  <c r="W47" i="53"/>
  <c r="V47" i="53"/>
  <c r="S47" i="53"/>
  <c r="P47" i="53"/>
  <c r="M47" i="53"/>
  <c r="J47" i="53"/>
  <c r="F49" i="55"/>
  <c r="D49" i="55"/>
  <c r="W49" i="53"/>
  <c r="V49" i="53"/>
  <c r="S49" i="53"/>
  <c r="P49" i="53"/>
  <c r="M49" i="53"/>
  <c r="J49" i="53"/>
  <c r="F48" i="55"/>
  <c r="D48" i="55"/>
  <c r="W37" i="53"/>
  <c r="V37" i="53"/>
  <c r="S37" i="53"/>
  <c r="P37" i="53"/>
  <c r="M37" i="53"/>
  <c r="J37" i="53"/>
  <c r="F47" i="55"/>
  <c r="D47" i="55"/>
  <c r="W56" i="53"/>
  <c r="V56" i="53"/>
  <c r="S56" i="53"/>
  <c r="P56" i="53"/>
  <c r="M56" i="53"/>
  <c r="J56" i="53"/>
  <c r="F46" i="55"/>
  <c r="D46" i="55"/>
  <c r="W19" i="53"/>
  <c r="V19" i="53"/>
  <c r="S19" i="53"/>
  <c r="P19" i="53"/>
  <c r="M19" i="53"/>
  <c r="J19" i="53"/>
  <c r="F45" i="55"/>
  <c r="D45" i="55"/>
  <c r="W50" i="53"/>
  <c r="V50" i="53"/>
  <c r="S50" i="53"/>
  <c r="P50" i="53"/>
  <c r="M50" i="53"/>
  <c r="J50" i="53"/>
  <c r="F44" i="55"/>
  <c r="D44" i="55"/>
  <c r="W43" i="53"/>
  <c r="V43" i="53"/>
  <c r="S43" i="53"/>
  <c r="P43" i="53"/>
  <c r="M43" i="53"/>
  <c r="J43" i="53"/>
  <c r="W51" i="53"/>
  <c r="V51" i="53"/>
  <c r="S51" i="53"/>
  <c r="P51" i="53"/>
  <c r="M51" i="53"/>
  <c r="J51" i="53"/>
  <c r="W27" i="53"/>
  <c r="V27" i="53"/>
  <c r="S27" i="53"/>
  <c r="P27" i="53"/>
  <c r="M27" i="53"/>
  <c r="J27" i="53"/>
  <c r="W39" i="53"/>
  <c r="V39" i="53"/>
  <c r="S39" i="53"/>
  <c r="P39" i="53"/>
  <c r="M39" i="53"/>
  <c r="J39" i="53"/>
  <c r="W57" i="53"/>
  <c r="V57" i="53"/>
  <c r="S57" i="53"/>
  <c r="P57" i="53"/>
  <c r="M57" i="53"/>
  <c r="J57" i="53"/>
  <c r="W41" i="53"/>
  <c r="V41" i="53"/>
  <c r="S41" i="53"/>
  <c r="P41" i="53"/>
  <c r="M41" i="53"/>
  <c r="J41" i="53"/>
  <c r="W55" i="53"/>
  <c r="V55" i="53"/>
  <c r="S55" i="53"/>
  <c r="P55" i="53"/>
  <c r="M55" i="53"/>
  <c r="J55" i="53"/>
  <c r="W45" i="53"/>
  <c r="V45" i="53"/>
  <c r="S45" i="53"/>
  <c r="P45" i="53"/>
  <c r="M45" i="53"/>
  <c r="J45" i="53"/>
  <c r="W22" i="53"/>
  <c r="V22" i="53"/>
  <c r="S22" i="53"/>
  <c r="P22" i="53"/>
  <c r="M22" i="53"/>
  <c r="J22" i="53"/>
  <c r="W48" i="53"/>
  <c r="V48" i="53"/>
  <c r="S48" i="53"/>
  <c r="P48" i="53"/>
  <c r="M48" i="53"/>
  <c r="J48" i="53"/>
  <c r="W53" i="53"/>
  <c r="V53" i="53"/>
  <c r="S53" i="53"/>
  <c r="P53" i="53"/>
  <c r="M53" i="53"/>
  <c r="J53" i="53"/>
  <c r="W36" i="53"/>
  <c r="V36" i="53"/>
  <c r="S36" i="53"/>
  <c r="P36" i="53"/>
  <c r="M36" i="53"/>
  <c r="J36" i="53"/>
  <c r="W44" i="53"/>
  <c r="V44" i="53"/>
  <c r="S44" i="53"/>
  <c r="P44" i="53"/>
  <c r="M44" i="53"/>
  <c r="J44" i="53"/>
  <c r="W40" i="53"/>
  <c r="V40" i="53"/>
  <c r="S40" i="53"/>
  <c r="P40" i="53"/>
  <c r="M40" i="53"/>
  <c r="J40" i="53"/>
  <c r="W26" i="53"/>
  <c r="V26" i="53"/>
  <c r="S26" i="53"/>
  <c r="P26" i="53"/>
  <c r="M26" i="53"/>
  <c r="J26" i="53"/>
  <c r="W20" i="53"/>
  <c r="V20" i="53"/>
  <c r="S20" i="53"/>
  <c r="P20" i="53"/>
  <c r="M20" i="53"/>
  <c r="J20" i="53"/>
  <c r="W31" i="53"/>
  <c r="V31" i="53"/>
  <c r="S31" i="53"/>
  <c r="P31" i="53"/>
  <c r="M31" i="53"/>
  <c r="J31" i="53"/>
  <c r="W32" i="53"/>
  <c r="V32" i="53"/>
  <c r="S32" i="53"/>
  <c r="P32" i="53"/>
  <c r="M32" i="53"/>
  <c r="J32" i="53"/>
  <c r="W25" i="53"/>
  <c r="V25" i="53"/>
  <c r="S25" i="53"/>
  <c r="P25" i="53"/>
  <c r="M25" i="53"/>
  <c r="J25" i="53"/>
  <c r="W18" i="53"/>
  <c r="V18" i="53"/>
  <c r="S18" i="53"/>
  <c r="P18" i="53"/>
  <c r="M18" i="53"/>
  <c r="J18" i="53"/>
  <c r="W14" i="53"/>
  <c r="V14" i="53"/>
  <c r="S14" i="53"/>
  <c r="P14" i="53"/>
  <c r="M14" i="53"/>
  <c r="J14" i="53"/>
  <c r="W33" i="53"/>
  <c r="V33" i="53"/>
  <c r="S33" i="53"/>
  <c r="P33" i="53"/>
  <c r="M33" i="53"/>
  <c r="J33" i="53"/>
  <c r="W58" i="53"/>
  <c r="V58" i="53"/>
  <c r="S58" i="53"/>
  <c r="P58" i="53"/>
  <c r="M58" i="53"/>
  <c r="J58" i="53"/>
  <c r="W38" i="53"/>
  <c r="V38" i="53"/>
  <c r="S38" i="53"/>
  <c r="P38" i="53"/>
  <c r="M38" i="53"/>
  <c r="J38" i="53"/>
  <c r="W59" i="53"/>
  <c r="V59" i="53"/>
  <c r="S59" i="53"/>
  <c r="P59" i="53"/>
  <c r="M59" i="53"/>
  <c r="J59" i="53"/>
  <c r="W15" i="53"/>
  <c r="V15" i="53"/>
  <c r="S15" i="53"/>
  <c r="P15" i="53"/>
  <c r="M15" i="53"/>
  <c r="J15" i="53"/>
  <c r="W16" i="53"/>
  <c r="V16" i="53"/>
  <c r="S16" i="53"/>
  <c r="P16" i="53"/>
  <c r="M16" i="53"/>
  <c r="J16" i="53"/>
  <c r="W21" i="53"/>
  <c r="V21" i="53"/>
  <c r="S21" i="53"/>
  <c r="P21" i="53"/>
  <c r="M21" i="53"/>
  <c r="J21" i="53"/>
  <c r="W52" i="53"/>
  <c r="V52" i="53"/>
  <c r="S52" i="53"/>
  <c r="P52" i="53"/>
  <c r="M52" i="53"/>
  <c r="J52" i="53"/>
  <c r="W30" i="53"/>
  <c r="V30" i="53"/>
  <c r="S30" i="53"/>
  <c r="P30" i="53"/>
  <c r="M30" i="53"/>
  <c r="J30" i="53"/>
  <c r="F14" i="55"/>
  <c r="D14" i="55"/>
  <c r="W11" i="53"/>
  <c r="V11" i="53"/>
  <c r="D8" i="55"/>
  <c r="D6" i="71" s="1"/>
  <c r="C7" i="55"/>
  <c r="C6" i="55"/>
  <c r="A44" i="46"/>
  <c r="B44" i="46"/>
  <c r="C44" i="46"/>
  <c r="E44" i="46"/>
  <c r="G44" i="46"/>
  <c r="A45" i="46"/>
  <c r="B45" i="46"/>
  <c r="C45" i="46"/>
  <c r="E45" i="46"/>
  <c r="G45" i="46"/>
  <c r="A46" i="46"/>
  <c r="B46" i="46"/>
  <c r="C46" i="46"/>
  <c r="E46" i="46"/>
  <c r="G46" i="46"/>
  <c r="A47" i="46"/>
  <c r="B47" i="46"/>
  <c r="C47" i="46"/>
  <c r="E47" i="46"/>
  <c r="G47" i="46"/>
  <c r="A48" i="46"/>
  <c r="B48" i="46"/>
  <c r="C48" i="46"/>
  <c r="E48" i="46"/>
  <c r="G48" i="46"/>
  <c r="A49" i="46"/>
  <c r="B49" i="46"/>
  <c r="C49" i="46"/>
  <c r="E49" i="46"/>
  <c r="G49" i="46"/>
  <c r="A50" i="46"/>
  <c r="B50" i="46"/>
  <c r="C50" i="46"/>
  <c r="E50" i="46"/>
  <c r="G50" i="46"/>
  <c r="A51" i="46"/>
  <c r="B51" i="46"/>
  <c r="C51" i="46"/>
  <c r="E51" i="46"/>
  <c r="G51" i="46"/>
  <c r="A52" i="46"/>
  <c r="B52" i="46"/>
  <c r="C52" i="46"/>
  <c r="E52" i="46"/>
  <c r="G52" i="46"/>
  <c r="A53" i="46"/>
  <c r="B53" i="46"/>
  <c r="C53" i="46"/>
  <c r="E53" i="46"/>
  <c r="G53" i="46"/>
  <c r="A54" i="46"/>
  <c r="B54" i="46"/>
  <c r="C54" i="46"/>
  <c r="E54" i="46"/>
  <c r="G54" i="46"/>
  <c r="A55" i="46"/>
  <c r="B55" i="46"/>
  <c r="C55" i="46"/>
  <c r="E55" i="46"/>
  <c r="G55" i="46"/>
  <c r="A56" i="46"/>
  <c r="B56" i="46"/>
  <c r="C56" i="46"/>
  <c r="E56" i="46"/>
  <c r="G56" i="46"/>
  <c r="A57" i="46"/>
  <c r="B57" i="46"/>
  <c r="C57" i="46"/>
  <c r="E57" i="46"/>
  <c r="G57" i="46"/>
  <c r="A58" i="46"/>
  <c r="B58" i="46"/>
  <c r="C58" i="46"/>
  <c r="E58" i="46"/>
  <c r="G58" i="46"/>
  <c r="A59" i="46"/>
  <c r="B59" i="46"/>
  <c r="C59" i="46"/>
  <c r="E59" i="46"/>
  <c r="G59" i="46"/>
  <c r="A60" i="46"/>
  <c r="B60" i="46"/>
  <c r="C60" i="46"/>
  <c r="E60" i="46"/>
  <c r="G60" i="46"/>
  <c r="A61" i="46"/>
  <c r="B61" i="46"/>
  <c r="C61" i="46"/>
  <c r="E61" i="46"/>
  <c r="G61" i="46"/>
  <c r="A62" i="46"/>
  <c r="B62" i="46"/>
  <c r="C62" i="46"/>
  <c r="E62" i="46"/>
  <c r="G62" i="46"/>
  <c r="A63" i="46"/>
  <c r="B63" i="46"/>
  <c r="C63" i="46"/>
  <c r="E63" i="46"/>
  <c r="G63" i="46"/>
  <c r="A64" i="46"/>
  <c r="B64" i="46"/>
  <c r="C64" i="46"/>
  <c r="E64" i="46"/>
  <c r="G64" i="46"/>
  <c r="A65" i="46"/>
  <c r="B65" i="46"/>
  <c r="C65" i="46"/>
  <c r="E65" i="46"/>
  <c r="G65" i="46"/>
  <c r="A66" i="46"/>
  <c r="B66" i="46"/>
  <c r="C66" i="46"/>
  <c r="E66" i="46"/>
  <c r="G66" i="46"/>
  <c r="A67" i="46"/>
  <c r="B67" i="46"/>
  <c r="C67" i="46"/>
  <c r="E67" i="46"/>
  <c r="G67" i="46"/>
  <c r="A68" i="46"/>
  <c r="B68" i="46"/>
  <c r="C68" i="46"/>
  <c r="E68" i="46"/>
  <c r="G68" i="46"/>
  <c r="A69" i="46"/>
  <c r="B69" i="46"/>
  <c r="C69" i="46"/>
  <c r="E69" i="46"/>
  <c r="G69" i="46"/>
  <c r="A70" i="46"/>
  <c r="B70" i="46"/>
  <c r="C70" i="46"/>
  <c r="E70" i="46"/>
  <c r="G70" i="46"/>
  <c r="A71" i="46"/>
  <c r="B71" i="46"/>
  <c r="C71" i="46"/>
  <c r="E71" i="46"/>
  <c r="G71" i="46"/>
  <c r="A72" i="46"/>
  <c r="B72" i="46"/>
  <c r="C72" i="46"/>
  <c r="E72" i="46"/>
  <c r="G72" i="46"/>
  <c r="A73" i="46"/>
  <c r="B73" i="46"/>
  <c r="C73" i="46"/>
  <c r="E73" i="46"/>
  <c r="G73" i="46"/>
  <c r="G14" i="46"/>
  <c r="E14" i="46"/>
  <c r="C14" i="46"/>
  <c r="B14" i="46"/>
  <c r="A14" i="46"/>
  <c r="F10" i="46"/>
  <c r="F9" i="46"/>
  <c r="D10" i="46"/>
  <c r="D9" i="46"/>
  <c r="B8" i="46"/>
  <c r="B6" i="70" s="1"/>
  <c r="W73" i="36"/>
  <c r="V73" i="36"/>
  <c r="W72" i="36"/>
  <c r="V72" i="36"/>
  <c r="W71" i="36"/>
  <c r="V71" i="36"/>
  <c r="W70" i="36"/>
  <c r="V70" i="36"/>
  <c r="W69" i="36"/>
  <c r="V69" i="36"/>
  <c r="W68" i="36"/>
  <c r="V68" i="36"/>
  <c r="W67" i="36"/>
  <c r="V67" i="36"/>
  <c r="W66" i="36"/>
  <c r="V66" i="36"/>
  <c r="W65" i="36"/>
  <c r="V65" i="36"/>
  <c r="W64" i="36"/>
  <c r="V64" i="36"/>
  <c r="W63" i="36"/>
  <c r="V63" i="36"/>
  <c r="W62" i="36"/>
  <c r="V62" i="36"/>
  <c r="W61" i="36"/>
  <c r="V61" i="36"/>
  <c r="W60" i="36"/>
  <c r="V60" i="36"/>
  <c r="W59" i="36"/>
  <c r="V59" i="36"/>
  <c r="W58" i="36"/>
  <c r="V58" i="36"/>
  <c r="W57" i="36"/>
  <c r="V57" i="36"/>
  <c r="W56" i="36"/>
  <c r="V56" i="36"/>
  <c r="W55" i="36"/>
  <c r="V55" i="36"/>
  <c r="W54" i="36"/>
  <c r="V54" i="36"/>
  <c r="W53" i="36"/>
  <c r="V53" i="36"/>
  <c r="W52" i="36"/>
  <c r="V52" i="36"/>
  <c r="W51" i="36"/>
  <c r="V51" i="36"/>
  <c r="W50" i="36"/>
  <c r="V50" i="36"/>
  <c r="W49" i="36"/>
  <c r="V49" i="36"/>
  <c r="W48" i="36"/>
  <c r="V48" i="36"/>
  <c r="W47" i="36"/>
  <c r="V47" i="36"/>
  <c r="W46" i="36"/>
  <c r="V46" i="36"/>
  <c r="W45" i="36"/>
  <c r="V45" i="36"/>
  <c r="W44" i="36"/>
  <c r="V44" i="36"/>
  <c r="W20" i="36"/>
  <c r="V20" i="36"/>
  <c r="W41" i="36"/>
  <c r="V41" i="36"/>
  <c r="W40" i="36"/>
  <c r="V40" i="36"/>
  <c r="W39" i="36"/>
  <c r="V39" i="36"/>
  <c r="W28" i="36"/>
  <c r="V28" i="36"/>
  <c r="W42" i="36"/>
  <c r="V42" i="36"/>
  <c r="W29" i="36"/>
  <c r="V29" i="36"/>
  <c r="W38" i="36"/>
  <c r="V38" i="36"/>
  <c r="W22" i="36"/>
  <c r="V22" i="36"/>
  <c r="W35" i="36"/>
  <c r="V35" i="36"/>
  <c r="W18" i="36"/>
  <c r="V18" i="36"/>
  <c r="W27" i="36"/>
  <c r="V27" i="36"/>
  <c r="W33" i="36"/>
  <c r="V33" i="36"/>
  <c r="W21" i="36"/>
  <c r="V21" i="36"/>
  <c r="W25" i="36"/>
  <c r="V25" i="36"/>
  <c r="W31" i="36"/>
  <c r="V31" i="36"/>
  <c r="W15" i="36"/>
  <c r="V15" i="36"/>
  <c r="W19" i="36"/>
  <c r="V19" i="36"/>
  <c r="W26" i="36"/>
  <c r="V26" i="36"/>
  <c r="W16" i="36"/>
  <c r="V16" i="36"/>
  <c r="W30" i="36"/>
  <c r="V30" i="36"/>
  <c r="W34" i="36"/>
  <c r="V34" i="36"/>
  <c r="W14" i="36"/>
  <c r="V14" i="36"/>
  <c r="W17" i="36"/>
  <c r="V17" i="36"/>
  <c r="W24" i="36"/>
  <c r="V24" i="36"/>
  <c r="W37" i="36"/>
  <c r="V37" i="36"/>
  <c r="W36" i="36"/>
  <c r="V36" i="36"/>
  <c r="W32" i="36"/>
  <c r="V32" i="36"/>
  <c r="W23" i="36"/>
  <c r="V23" i="36"/>
  <c r="W43" i="36"/>
  <c r="V43" i="36"/>
  <c r="W53" i="51"/>
  <c r="V53" i="51"/>
  <c r="W74" i="51"/>
  <c r="V74" i="51"/>
  <c r="W30" i="51"/>
  <c r="V30" i="51"/>
  <c r="W29" i="51"/>
  <c r="V29" i="51"/>
  <c r="W25" i="51"/>
  <c r="V25" i="51"/>
  <c r="W75" i="51"/>
  <c r="V75" i="51"/>
  <c r="W44" i="51"/>
  <c r="V44" i="51"/>
  <c r="W41" i="51"/>
  <c r="V41" i="51"/>
  <c r="W47" i="51"/>
  <c r="V47" i="51"/>
  <c r="W86" i="51"/>
  <c r="V86" i="51"/>
  <c r="W51" i="51"/>
  <c r="V51" i="51"/>
  <c r="W21" i="51"/>
  <c r="V21" i="51"/>
  <c r="W26" i="51"/>
  <c r="V26" i="51"/>
  <c r="W76" i="51"/>
  <c r="V76" i="51"/>
  <c r="W42" i="51"/>
  <c r="V42" i="51"/>
  <c r="W14" i="51"/>
  <c r="V14" i="51"/>
  <c r="W40" i="51"/>
  <c r="V40" i="51"/>
  <c r="W73" i="51"/>
  <c r="V73" i="51"/>
  <c r="W52" i="51"/>
  <c r="V52" i="51"/>
  <c r="W15" i="51"/>
  <c r="V15" i="51"/>
  <c r="W37" i="51"/>
  <c r="V37" i="51"/>
  <c r="W19" i="51"/>
  <c r="V19" i="51"/>
  <c r="W70" i="51"/>
  <c r="V70" i="51"/>
  <c r="W81" i="51"/>
  <c r="V81" i="51"/>
  <c r="W16" i="51"/>
  <c r="V16" i="51"/>
  <c r="W79" i="51"/>
  <c r="V79" i="51"/>
  <c r="W36" i="51"/>
  <c r="V36" i="51"/>
  <c r="W85" i="51"/>
  <c r="V85" i="51"/>
  <c r="W69" i="51"/>
  <c r="V69" i="51"/>
  <c r="W80" i="51"/>
  <c r="V80" i="51"/>
  <c r="W50" i="51"/>
  <c r="V50" i="51"/>
  <c r="W49" i="51"/>
  <c r="V49" i="51"/>
  <c r="W22" i="51"/>
  <c r="V22" i="51"/>
  <c r="W17" i="51"/>
  <c r="V17" i="51"/>
  <c r="W23" i="51"/>
  <c r="V23" i="51"/>
  <c r="W87" i="51"/>
  <c r="V87" i="51"/>
  <c r="W39" i="51"/>
  <c r="V39" i="51"/>
  <c r="W68" i="51"/>
  <c r="V68" i="51"/>
  <c r="W46" i="51"/>
  <c r="V46" i="51"/>
  <c r="W84" i="51"/>
  <c r="V84" i="51"/>
  <c r="W48" i="51"/>
  <c r="V48" i="51"/>
  <c r="W18" i="51"/>
  <c r="V18" i="51"/>
  <c r="W27" i="51"/>
  <c r="V27" i="51"/>
  <c r="W78" i="51"/>
  <c r="V78" i="51"/>
  <c r="W72" i="51"/>
  <c r="V72" i="51"/>
  <c r="W88" i="51"/>
  <c r="V88" i="51"/>
  <c r="W34" i="51"/>
  <c r="V34" i="51"/>
  <c r="W28" i="51"/>
  <c r="V28" i="51"/>
  <c r="W77" i="51"/>
  <c r="V77" i="51"/>
  <c r="W31" i="51"/>
  <c r="V31" i="51"/>
  <c r="W45" i="51"/>
  <c r="V45" i="51"/>
  <c r="W66" i="51"/>
  <c r="V66" i="51"/>
  <c r="W71" i="51"/>
  <c r="V71" i="51"/>
  <c r="W67" i="51"/>
  <c r="V67" i="51"/>
  <c r="W35" i="51"/>
  <c r="V35" i="51"/>
  <c r="W20" i="51"/>
  <c r="V20" i="51"/>
  <c r="W33" i="51"/>
  <c r="V33" i="51"/>
  <c r="W24" i="51"/>
  <c r="V24" i="51"/>
  <c r="W83" i="51"/>
  <c r="V83" i="51"/>
  <c r="W82" i="51"/>
  <c r="V82" i="51"/>
  <c r="W73" i="37"/>
  <c r="V73" i="37"/>
  <c r="W72" i="37"/>
  <c r="V72" i="37"/>
  <c r="W71" i="37"/>
  <c r="V71" i="37"/>
  <c r="W70" i="37"/>
  <c r="V70" i="37"/>
  <c r="W69" i="37"/>
  <c r="V69" i="37"/>
  <c r="W68" i="37"/>
  <c r="V68" i="37"/>
  <c r="W67" i="37"/>
  <c r="V67" i="37"/>
  <c r="W66" i="37"/>
  <c r="V66" i="37"/>
  <c r="W65" i="37"/>
  <c r="V65" i="37"/>
  <c r="W64" i="37"/>
  <c r="V64" i="37"/>
  <c r="W63" i="37"/>
  <c r="V63" i="37"/>
  <c r="W62" i="37"/>
  <c r="V62" i="37"/>
  <c r="W61" i="37"/>
  <c r="V61" i="37"/>
  <c r="W60" i="37"/>
  <c r="V60" i="37"/>
  <c r="W59" i="37"/>
  <c r="V59" i="37"/>
  <c r="W57" i="37"/>
  <c r="V57" i="37"/>
  <c r="W56" i="37"/>
  <c r="V56" i="37"/>
  <c r="W14" i="37"/>
  <c r="V14" i="37"/>
  <c r="W15" i="37"/>
  <c r="V15" i="37"/>
  <c r="W17" i="37"/>
  <c r="V17" i="37"/>
  <c r="W18" i="37"/>
  <c r="V18" i="37"/>
  <c r="W27" i="37"/>
  <c r="V27" i="37"/>
  <c r="W51" i="37"/>
  <c r="V51" i="37"/>
  <c r="W31" i="37"/>
  <c r="V31" i="37"/>
  <c r="W36" i="37"/>
  <c r="V36" i="37"/>
  <c r="W30" i="37"/>
  <c r="V30" i="37"/>
  <c r="W23" i="37"/>
  <c r="V23" i="37"/>
  <c r="W49" i="37"/>
  <c r="V49" i="37"/>
  <c r="W20" i="37"/>
  <c r="V20" i="37"/>
  <c r="W29" i="37"/>
  <c r="V29" i="37"/>
  <c r="W33" i="37"/>
  <c r="V33" i="37"/>
  <c r="W19" i="37"/>
  <c r="V19" i="37"/>
  <c r="W52" i="37"/>
  <c r="V52" i="37"/>
  <c r="W44" i="37"/>
  <c r="V44" i="37"/>
  <c r="W26" i="37"/>
  <c r="V26" i="37"/>
  <c r="W46" i="37"/>
  <c r="V46" i="37"/>
  <c r="W24" i="37"/>
  <c r="V24" i="37"/>
  <c r="W16" i="37"/>
  <c r="V16" i="37"/>
  <c r="W43" i="37"/>
  <c r="V43" i="37"/>
  <c r="W28" i="37"/>
  <c r="V28" i="37"/>
  <c r="W48" i="37"/>
  <c r="V48" i="37"/>
  <c r="W35" i="37"/>
  <c r="V35" i="37"/>
  <c r="W21" i="37"/>
  <c r="V21" i="37"/>
  <c r="W58" i="37"/>
  <c r="V58" i="37"/>
  <c r="W25" i="37"/>
  <c r="V25" i="37"/>
  <c r="W38" i="37"/>
  <c r="V38" i="37"/>
  <c r="W41" i="37"/>
  <c r="V41" i="37"/>
  <c r="W54" i="37"/>
  <c r="V54" i="37"/>
  <c r="W42" i="37"/>
  <c r="V42" i="37"/>
  <c r="W40" i="37"/>
  <c r="V40" i="37"/>
  <c r="W50" i="37"/>
  <c r="V50" i="37"/>
  <c r="W53" i="37"/>
  <c r="V53" i="37"/>
  <c r="W39" i="37"/>
  <c r="V39" i="37"/>
  <c r="W45" i="37"/>
  <c r="V45" i="37"/>
  <c r="W47" i="37"/>
  <c r="V47" i="37"/>
  <c r="W22" i="37"/>
  <c r="V22" i="37"/>
  <c r="W37" i="37"/>
  <c r="V37" i="37"/>
  <c r="W32" i="37"/>
  <c r="V32" i="37"/>
  <c r="W55" i="37"/>
  <c r="V55" i="37"/>
  <c r="W34" i="37"/>
  <c r="V34" i="37"/>
  <c r="W73" i="52"/>
  <c r="V73" i="52"/>
  <c r="W72" i="52"/>
  <c r="V72" i="52"/>
  <c r="W71" i="52"/>
  <c r="V71" i="52"/>
  <c r="W70" i="52"/>
  <c r="V70" i="52"/>
  <c r="W69" i="52"/>
  <c r="V69" i="52"/>
  <c r="W68" i="52"/>
  <c r="V68" i="52"/>
  <c r="W67" i="52"/>
  <c r="V67" i="52"/>
  <c r="W66" i="52"/>
  <c r="V66" i="52"/>
  <c r="W65" i="52"/>
  <c r="V65" i="52"/>
  <c r="W64" i="52"/>
  <c r="V64" i="52"/>
  <c r="W63" i="52"/>
  <c r="V63" i="52"/>
  <c r="W62" i="52"/>
  <c r="V62" i="52"/>
  <c r="W61" i="52"/>
  <c r="V61" i="52"/>
  <c r="W60" i="52"/>
  <c r="V60" i="52"/>
  <c r="W59" i="52"/>
  <c r="V59" i="52"/>
  <c r="W58" i="52"/>
  <c r="V58" i="52"/>
  <c r="W57" i="52"/>
  <c r="V57" i="52"/>
  <c r="W56" i="52"/>
  <c r="V56" i="52"/>
  <c r="W55" i="52"/>
  <c r="V55" i="52"/>
  <c r="W54" i="52"/>
  <c r="V54" i="52"/>
  <c r="W53" i="52"/>
  <c r="V53" i="52"/>
  <c r="W52" i="52"/>
  <c r="V52" i="52"/>
  <c r="W51" i="52"/>
  <c r="V51" i="52"/>
  <c r="W32" i="52"/>
  <c r="V32" i="52"/>
  <c r="W25" i="52"/>
  <c r="V25" i="52"/>
  <c r="W28" i="52"/>
  <c r="V28" i="52"/>
  <c r="W38" i="52"/>
  <c r="V38" i="52"/>
  <c r="W40" i="52"/>
  <c r="V40" i="52"/>
  <c r="W37" i="52"/>
  <c r="V37" i="52"/>
  <c r="W20" i="52"/>
  <c r="V20" i="52"/>
  <c r="W44" i="52"/>
  <c r="V44" i="52"/>
  <c r="W22" i="52"/>
  <c r="V22" i="52"/>
  <c r="W23" i="52"/>
  <c r="V23" i="52"/>
  <c r="W39" i="52"/>
  <c r="V39" i="52"/>
  <c r="W36" i="52"/>
  <c r="V36" i="52"/>
  <c r="W42" i="52"/>
  <c r="V42" i="52"/>
  <c r="W50" i="52"/>
  <c r="V50" i="52"/>
  <c r="W14" i="52"/>
  <c r="V14" i="52"/>
  <c r="W33" i="52"/>
  <c r="V33" i="52"/>
  <c r="W49" i="52"/>
  <c r="V49" i="52"/>
  <c r="W41" i="52"/>
  <c r="V41" i="52"/>
  <c r="W16" i="52"/>
  <c r="V16" i="52"/>
  <c r="W34" i="52"/>
  <c r="V34" i="52"/>
  <c r="W43" i="52"/>
  <c r="V43" i="52"/>
  <c r="W47" i="52"/>
  <c r="V47" i="52"/>
  <c r="W27" i="52"/>
  <c r="V27" i="52"/>
  <c r="W48" i="52"/>
  <c r="V48" i="52"/>
  <c r="W31" i="52"/>
  <c r="V31" i="52"/>
  <c r="W21" i="52"/>
  <c r="V21" i="52"/>
  <c r="W26" i="52"/>
  <c r="V26" i="52"/>
  <c r="W29" i="52"/>
  <c r="V29" i="52"/>
  <c r="W19" i="52"/>
  <c r="V19" i="52"/>
  <c r="W17" i="52"/>
  <c r="V17" i="52"/>
  <c r="W35" i="52"/>
  <c r="V35" i="52"/>
  <c r="W30" i="52"/>
  <c r="V30" i="52"/>
  <c r="W15" i="52"/>
  <c r="V15" i="52"/>
  <c r="W46" i="52"/>
  <c r="V46" i="52"/>
  <c r="W18" i="52"/>
  <c r="V18" i="52"/>
  <c r="W24" i="52"/>
  <c r="V24" i="52"/>
  <c r="W45" i="52"/>
  <c r="V45" i="52"/>
  <c r="W73" i="39"/>
  <c r="V73" i="39"/>
  <c r="W72" i="39"/>
  <c r="V72" i="39"/>
  <c r="W71" i="39"/>
  <c r="V71" i="39"/>
  <c r="W70" i="39"/>
  <c r="V70" i="39"/>
  <c r="W69" i="39"/>
  <c r="V69" i="39"/>
  <c r="W68" i="39"/>
  <c r="V68" i="39"/>
  <c r="W67" i="39"/>
  <c r="V67" i="39"/>
  <c r="W66" i="39"/>
  <c r="V66" i="39"/>
  <c r="W65" i="39"/>
  <c r="V65" i="39"/>
  <c r="W64" i="39"/>
  <c r="V64" i="39"/>
  <c r="W63" i="39"/>
  <c r="V63" i="39"/>
  <c r="W62" i="39"/>
  <c r="V62" i="39"/>
  <c r="W61" i="39"/>
  <c r="V61" i="39"/>
  <c r="W60" i="39"/>
  <c r="V60" i="39"/>
  <c r="W59" i="39"/>
  <c r="V59" i="39"/>
  <c r="W58" i="39"/>
  <c r="V58" i="39"/>
  <c r="W57" i="39"/>
  <c r="V57" i="39"/>
  <c r="W56" i="39"/>
  <c r="V56" i="39"/>
  <c r="W55" i="39"/>
  <c r="V55" i="39"/>
  <c r="W54" i="39"/>
  <c r="V54" i="39"/>
  <c r="W53" i="39"/>
  <c r="V53" i="39"/>
  <c r="W52" i="39"/>
  <c r="V52" i="39"/>
  <c r="W51" i="39"/>
  <c r="V51" i="39"/>
  <c r="W50" i="39"/>
  <c r="V50" i="39"/>
  <c r="W49" i="39"/>
  <c r="V49" i="39"/>
  <c r="W48" i="39"/>
  <c r="V48" i="39"/>
  <c r="W47" i="39"/>
  <c r="V47" i="39"/>
  <c r="W46" i="39"/>
  <c r="V46" i="39"/>
  <c r="W45" i="39"/>
  <c r="V45" i="39"/>
  <c r="W44" i="39"/>
  <c r="V44" i="39"/>
  <c r="W43" i="39"/>
  <c r="V43" i="39"/>
  <c r="W42" i="39"/>
  <c r="V42" i="39"/>
  <c r="W41" i="39"/>
  <c r="V41" i="39"/>
  <c r="W40" i="39"/>
  <c r="V40" i="39"/>
  <c r="W39" i="39"/>
  <c r="V39" i="39"/>
  <c r="W38" i="39"/>
  <c r="V38" i="39"/>
  <c r="W37" i="39"/>
  <c r="V37" i="39"/>
  <c r="W36" i="39"/>
  <c r="V36" i="39"/>
  <c r="W35" i="39"/>
  <c r="V35" i="39"/>
  <c r="W34" i="39"/>
  <c r="V34" i="39"/>
  <c r="W33" i="39"/>
  <c r="V33" i="39"/>
  <c r="W32" i="39"/>
  <c r="V32" i="39"/>
  <c r="W31" i="39"/>
  <c r="V31" i="39"/>
  <c r="W30" i="39"/>
  <c r="V30" i="39"/>
  <c r="W29" i="39"/>
  <c r="V29" i="39"/>
  <c r="W28" i="39"/>
  <c r="V28" i="39"/>
  <c r="W27" i="39"/>
  <c r="V27" i="39"/>
  <c r="W26" i="39"/>
  <c r="V26" i="39"/>
  <c r="W25" i="39"/>
  <c r="V25" i="39"/>
  <c r="W24" i="39"/>
  <c r="V24" i="39"/>
  <c r="W23" i="39"/>
  <c r="V23" i="39"/>
  <c r="W22" i="39"/>
  <c r="V22" i="39"/>
  <c r="W21" i="39"/>
  <c r="V21" i="39"/>
  <c r="W20" i="39"/>
  <c r="V20" i="39"/>
  <c r="W19" i="39"/>
  <c r="V19" i="39"/>
  <c r="W18" i="39"/>
  <c r="V18" i="39"/>
  <c r="W17" i="39"/>
  <c r="V17" i="39"/>
  <c r="W16" i="39"/>
  <c r="V16" i="39"/>
  <c r="W14" i="39"/>
  <c r="V14" i="39"/>
  <c r="W15" i="39"/>
  <c r="V15" i="39"/>
  <c r="W73" i="28"/>
  <c r="V73" i="28"/>
  <c r="W72" i="28"/>
  <c r="V72" i="28"/>
  <c r="W71" i="28"/>
  <c r="V71" i="28"/>
  <c r="W70" i="28"/>
  <c r="V70" i="28"/>
  <c r="W69" i="28"/>
  <c r="V69" i="28"/>
  <c r="W68" i="28"/>
  <c r="V68" i="28"/>
  <c r="W67" i="28"/>
  <c r="V67" i="28"/>
  <c r="W66" i="28"/>
  <c r="V66" i="28"/>
  <c r="W65" i="28"/>
  <c r="V65" i="28"/>
  <c r="W64" i="28"/>
  <c r="V64" i="28"/>
  <c r="W63" i="28"/>
  <c r="V63" i="28"/>
  <c r="W62" i="28"/>
  <c r="V62" i="28"/>
  <c r="W61" i="28"/>
  <c r="V61" i="28"/>
  <c r="W60" i="28"/>
  <c r="V60" i="28"/>
  <c r="W59" i="28"/>
  <c r="V59" i="28"/>
  <c r="W58" i="28"/>
  <c r="V58" i="28"/>
  <c r="W57" i="28"/>
  <c r="V57" i="28"/>
  <c r="W56" i="28"/>
  <c r="V56" i="28"/>
  <c r="W55" i="28"/>
  <c r="V55" i="28"/>
  <c r="W54" i="28"/>
  <c r="V54" i="28"/>
  <c r="W53" i="28"/>
  <c r="V53" i="28"/>
  <c r="W52" i="28"/>
  <c r="V52" i="28"/>
  <c r="W51" i="28"/>
  <c r="V51" i="28"/>
  <c r="W48" i="28"/>
  <c r="V48" i="28"/>
  <c r="W42" i="28"/>
  <c r="V42" i="28"/>
  <c r="W34" i="28"/>
  <c r="V34" i="28"/>
  <c r="W29" i="28"/>
  <c r="V29" i="28"/>
  <c r="W45" i="28"/>
  <c r="V45" i="28"/>
  <c r="W38" i="28"/>
  <c r="V38" i="28"/>
  <c r="W28" i="28"/>
  <c r="V28" i="28"/>
  <c r="W24" i="28"/>
  <c r="V24" i="28"/>
  <c r="W19" i="28"/>
  <c r="V19" i="28"/>
  <c r="W20" i="28"/>
  <c r="V20" i="28"/>
  <c r="W16" i="28"/>
  <c r="V16" i="28"/>
  <c r="W14" i="28"/>
  <c r="V14" i="28"/>
  <c r="W50" i="28"/>
  <c r="V50" i="28"/>
  <c r="W47" i="28"/>
  <c r="V47" i="28"/>
  <c r="W41" i="28"/>
  <c r="V41" i="28"/>
  <c r="W32" i="28"/>
  <c r="V32" i="28"/>
  <c r="W40" i="28"/>
  <c r="V40" i="28"/>
  <c r="W30" i="28"/>
  <c r="V30" i="28"/>
  <c r="W43" i="28"/>
  <c r="V43" i="28"/>
  <c r="W26" i="28"/>
  <c r="V26" i="28"/>
  <c r="W39" i="28"/>
  <c r="V39" i="28"/>
  <c r="W15" i="28"/>
  <c r="V15" i="28"/>
  <c r="W22" i="28"/>
  <c r="V22" i="28"/>
  <c r="W36" i="28"/>
  <c r="V36" i="28"/>
  <c r="W27" i="28"/>
  <c r="V27" i="28"/>
  <c r="W17" i="28"/>
  <c r="V17" i="28"/>
  <c r="W46" i="28"/>
  <c r="V46" i="28"/>
  <c r="W31" i="28"/>
  <c r="V31" i="28"/>
  <c r="W37" i="28"/>
  <c r="V37" i="28"/>
  <c r="W18" i="28"/>
  <c r="V18" i="28"/>
  <c r="W49" i="28"/>
  <c r="V49" i="28"/>
  <c r="W44" i="28"/>
  <c r="V44" i="28"/>
  <c r="W21" i="28"/>
  <c r="V21" i="28"/>
  <c r="W35" i="28"/>
  <c r="V35" i="28"/>
  <c r="W25" i="28"/>
  <c r="V25" i="28"/>
  <c r="W33" i="28"/>
  <c r="V33" i="28"/>
  <c r="W23" i="28"/>
  <c r="V23" i="28"/>
  <c r="F73" i="21"/>
  <c r="D73" i="21"/>
  <c r="D72" i="21"/>
  <c r="F71" i="21"/>
  <c r="F70" i="21"/>
  <c r="D70" i="21"/>
  <c r="F69" i="21"/>
  <c r="D69" i="21"/>
  <c r="F68" i="21"/>
  <c r="D68" i="21"/>
  <c r="F67" i="21"/>
  <c r="F66" i="21"/>
  <c r="D66" i="21"/>
  <c r="F65" i="21"/>
  <c r="D65" i="21"/>
  <c r="D64" i="21"/>
  <c r="F63" i="21"/>
  <c r="F62" i="21"/>
  <c r="D62" i="21"/>
  <c r="F61" i="21"/>
  <c r="F73" i="44"/>
  <c r="D73" i="44"/>
  <c r="D72" i="44"/>
  <c r="F71" i="44"/>
  <c r="D71" i="44"/>
  <c r="F70" i="44"/>
  <c r="D70" i="44"/>
  <c r="F69" i="44"/>
  <c r="D69" i="44"/>
  <c r="F68" i="44"/>
  <c r="D68" i="44"/>
  <c r="F67" i="44"/>
  <c r="D67" i="44"/>
  <c r="F66" i="44"/>
  <c r="D66" i="44"/>
  <c r="F65" i="44"/>
  <c r="D65" i="44"/>
  <c r="D64" i="44"/>
  <c r="F63" i="44"/>
  <c r="D63" i="44"/>
  <c r="F62" i="44"/>
  <c r="D62" i="44"/>
  <c r="F14" i="44"/>
  <c r="D14" i="44"/>
  <c r="F73" i="42"/>
  <c r="F72" i="42"/>
  <c r="D72" i="42"/>
  <c r="F71" i="42"/>
  <c r="D71" i="42"/>
  <c r="D70" i="42"/>
  <c r="F69" i="42"/>
  <c r="D69" i="42"/>
  <c r="F68" i="42"/>
  <c r="D68" i="42"/>
  <c r="D67" i="42"/>
  <c r="F66" i="42"/>
  <c r="D66" i="42"/>
  <c r="F65" i="42"/>
  <c r="D65" i="42"/>
  <c r="F64" i="42"/>
  <c r="D64" i="42"/>
  <c r="F62" i="42"/>
  <c r="D62" i="42"/>
  <c r="D61" i="42"/>
  <c r="F60" i="42"/>
  <c r="D60" i="42"/>
  <c r="D59" i="42"/>
  <c r="F58" i="42"/>
  <c r="D58" i="42"/>
  <c r="F57" i="42"/>
  <c r="D57" i="42"/>
  <c r="F56" i="42"/>
  <c r="D56" i="42"/>
  <c r="F55" i="42"/>
  <c r="F54" i="42"/>
  <c r="D54" i="42"/>
  <c r="F53" i="42"/>
  <c r="D53" i="42"/>
  <c r="D52" i="42"/>
  <c r="F51" i="42"/>
  <c r="D51" i="42"/>
  <c r="F50" i="42"/>
  <c r="D50" i="42"/>
  <c r="F49" i="42"/>
  <c r="D49" i="42"/>
  <c r="F48" i="42"/>
  <c r="D48" i="42"/>
  <c r="F47" i="42"/>
  <c r="D47" i="42"/>
  <c r="F46" i="42"/>
  <c r="D46" i="42"/>
  <c r="D45" i="42"/>
  <c r="F44" i="42"/>
  <c r="D44" i="42"/>
  <c r="F14" i="42"/>
  <c r="D14" i="42"/>
  <c r="F73" i="50"/>
  <c r="D73" i="50"/>
  <c r="F72" i="50"/>
  <c r="D72" i="50"/>
  <c r="F71" i="50"/>
  <c r="D71" i="50"/>
  <c r="F70" i="50"/>
  <c r="D70" i="50"/>
  <c r="F69" i="50"/>
  <c r="D69" i="50"/>
  <c r="F68" i="50"/>
  <c r="D68" i="50"/>
  <c r="F67" i="50"/>
  <c r="D67" i="50"/>
  <c r="F66" i="50"/>
  <c r="D66" i="50"/>
  <c r="F65" i="50"/>
  <c r="D65" i="50"/>
  <c r="F64" i="50"/>
  <c r="D64" i="50"/>
  <c r="F63" i="50"/>
  <c r="D63" i="50"/>
  <c r="F62" i="50"/>
  <c r="D62" i="50"/>
  <c r="F61" i="50"/>
  <c r="D61" i="50"/>
  <c r="F60" i="50"/>
  <c r="D60" i="50"/>
  <c r="F59" i="50"/>
  <c r="D59" i="50"/>
  <c r="F58" i="50"/>
  <c r="D58" i="50"/>
  <c r="F57" i="50"/>
  <c r="D57" i="50"/>
  <c r="F56" i="50"/>
  <c r="D56" i="50"/>
  <c r="F55" i="50"/>
  <c r="D55" i="50"/>
  <c r="F54" i="50"/>
  <c r="D54" i="50"/>
  <c r="F53" i="50"/>
  <c r="D53" i="50"/>
  <c r="F52" i="50"/>
  <c r="D52" i="50"/>
  <c r="F51" i="50"/>
  <c r="D51" i="50"/>
  <c r="F50" i="50"/>
  <c r="D50" i="50"/>
  <c r="F49" i="50"/>
  <c r="D49" i="50"/>
  <c r="F48" i="50"/>
  <c r="D48" i="50"/>
  <c r="F47" i="50"/>
  <c r="D47" i="50"/>
  <c r="F46" i="50"/>
  <c r="D46" i="50"/>
  <c r="F45" i="50"/>
  <c r="D45" i="50"/>
  <c r="F44" i="50"/>
  <c r="D44" i="50"/>
  <c r="F14" i="50"/>
  <c r="D14" i="50"/>
  <c r="F73" i="46"/>
  <c r="D73" i="46"/>
  <c r="F72" i="46"/>
  <c r="D72" i="46"/>
  <c r="F71" i="46"/>
  <c r="D71" i="46"/>
  <c r="F70" i="46"/>
  <c r="D70" i="46"/>
  <c r="F69" i="46"/>
  <c r="D69" i="46"/>
  <c r="F68" i="46"/>
  <c r="D68" i="46"/>
  <c r="F67" i="46"/>
  <c r="D67" i="46"/>
  <c r="F66" i="46"/>
  <c r="D66" i="46"/>
  <c r="F65" i="46"/>
  <c r="D65" i="46"/>
  <c r="F64" i="46"/>
  <c r="D64" i="46"/>
  <c r="F63" i="46"/>
  <c r="D63" i="46"/>
  <c r="F62" i="46"/>
  <c r="D62" i="46"/>
  <c r="F61" i="46"/>
  <c r="D61" i="46"/>
  <c r="F60" i="46"/>
  <c r="D60" i="46"/>
  <c r="F59" i="46"/>
  <c r="D59" i="46"/>
  <c r="F58" i="46"/>
  <c r="D58" i="46"/>
  <c r="F57" i="46"/>
  <c r="D57" i="46"/>
  <c r="F56" i="46"/>
  <c r="D56" i="46"/>
  <c r="F55" i="46"/>
  <c r="D55" i="46"/>
  <c r="F54" i="46"/>
  <c r="D54" i="46"/>
  <c r="F53" i="46"/>
  <c r="D53" i="46"/>
  <c r="F52" i="46"/>
  <c r="D52" i="46"/>
  <c r="F51" i="46"/>
  <c r="D51" i="46"/>
  <c r="F50" i="46"/>
  <c r="D50" i="46"/>
  <c r="F49" i="46"/>
  <c r="D49" i="46"/>
  <c r="F48" i="46"/>
  <c r="D48" i="46"/>
  <c r="F47" i="46"/>
  <c r="D47" i="46"/>
  <c r="F46" i="46"/>
  <c r="D46" i="46"/>
  <c r="F45" i="46"/>
  <c r="D45" i="46"/>
  <c r="F44" i="46"/>
  <c r="D44" i="46"/>
  <c r="F14" i="46"/>
  <c r="D14" i="46"/>
  <c r="F73" i="27"/>
  <c r="F72" i="27"/>
  <c r="D72" i="27"/>
  <c r="F71" i="27"/>
  <c r="D71" i="27"/>
  <c r="F70" i="27"/>
  <c r="D70" i="27"/>
  <c r="F69" i="27"/>
  <c r="D69" i="27"/>
  <c r="F68" i="27"/>
  <c r="D68" i="27"/>
  <c r="F67" i="27"/>
  <c r="D67" i="27"/>
  <c r="D66" i="27"/>
  <c r="F65" i="27"/>
  <c r="F64" i="27"/>
  <c r="D64" i="27"/>
  <c r="F63" i="27"/>
  <c r="D63" i="27"/>
  <c r="F62" i="27"/>
  <c r="D62" i="27"/>
  <c r="F61" i="27"/>
  <c r="D61" i="27"/>
  <c r="F60" i="27"/>
  <c r="D60" i="27"/>
  <c r="F59" i="27"/>
  <c r="D59" i="27"/>
  <c r="F58" i="27"/>
  <c r="F57" i="27"/>
  <c r="D57" i="27"/>
  <c r="F56" i="27"/>
  <c r="D56" i="27"/>
  <c r="F55" i="27"/>
  <c r="D55" i="27"/>
  <c r="F54" i="27"/>
  <c r="D54" i="27"/>
  <c r="F64" i="44"/>
  <c r="D8" i="50"/>
  <c r="D6" i="69" s="1"/>
  <c r="C7" i="50"/>
  <c r="A4" i="69" s="1"/>
  <c r="C6" i="50"/>
  <c r="W11" i="51"/>
  <c r="V11" i="51"/>
  <c r="D8" i="44"/>
  <c r="D6" i="68" s="1"/>
  <c r="C7" i="44"/>
  <c r="C6" i="44"/>
  <c r="A62" i="44"/>
  <c r="B62" i="44"/>
  <c r="C62" i="44"/>
  <c r="E62" i="44"/>
  <c r="G62" i="44"/>
  <c r="A63" i="44"/>
  <c r="B63" i="44"/>
  <c r="C63" i="44"/>
  <c r="E63" i="44"/>
  <c r="G63" i="44"/>
  <c r="A64" i="44"/>
  <c r="B64" i="44"/>
  <c r="C64" i="44"/>
  <c r="E64" i="44"/>
  <c r="G64" i="44"/>
  <c r="A65" i="44"/>
  <c r="B65" i="44"/>
  <c r="C65" i="44"/>
  <c r="E65" i="44"/>
  <c r="G65" i="44"/>
  <c r="A66" i="44"/>
  <c r="B66" i="44"/>
  <c r="C66" i="44"/>
  <c r="E66" i="44"/>
  <c r="G66" i="44"/>
  <c r="A67" i="44"/>
  <c r="B67" i="44"/>
  <c r="C67" i="44"/>
  <c r="E67" i="44"/>
  <c r="G67" i="44"/>
  <c r="A68" i="44"/>
  <c r="B68" i="44"/>
  <c r="C68" i="44"/>
  <c r="E68" i="44"/>
  <c r="G68" i="44"/>
  <c r="A69" i="44"/>
  <c r="B69" i="44"/>
  <c r="C69" i="44"/>
  <c r="E69" i="44"/>
  <c r="G69" i="44"/>
  <c r="A70" i="44"/>
  <c r="B70" i="44"/>
  <c r="C70" i="44"/>
  <c r="E70" i="44"/>
  <c r="G70" i="44"/>
  <c r="A71" i="44"/>
  <c r="B71" i="44"/>
  <c r="C71" i="44"/>
  <c r="E71" i="44"/>
  <c r="G71" i="44"/>
  <c r="A72" i="44"/>
  <c r="B72" i="44"/>
  <c r="C72" i="44"/>
  <c r="E72" i="44"/>
  <c r="F72" i="44"/>
  <c r="G72" i="44"/>
  <c r="A73" i="44"/>
  <c r="B73" i="44"/>
  <c r="C73" i="44"/>
  <c r="E73" i="44"/>
  <c r="G73" i="44"/>
  <c r="G14" i="44"/>
  <c r="E14" i="44"/>
  <c r="C14" i="44"/>
  <c r="B14" i="44"/>
  <c r="A14" i="44"/>
  <c r="F10" i="44"/>
  <c r="F9" i="44"/>
  <c r="D10" i="44"/>
  <c r="D9" i="44"/>
  <c r="B8" i="44"/>
  <c r="B6" i="68" s="1"/>
  <c r="B8" i="42"/>
  <c r="B6" i="67" s="1"/>
  <c r="S73" i="52"/>
  <c r="P73" i="52"/>
  <c r="M73" i="52"/>
  <c r="J73" i="52"/>
  <c r="S72" i="52"/>
  <c r="P72" i="52"/>
  <c r="M72" i="52"/>
  <c r="J72" i="52"/>
  <c r="S71" i="52"/>
  <c r="P71" i="52"/>
  <c r="M71" i="52"/>
  <c r="J71" i="52"/>
  <c r="S70" i="52"/>
  <c r="P70" i="52"/>
  <c r="M70" i="52"/>
  <c r="J70" i="52"/>
  <c r="S69" i="52"/>
  <c r="P69" i="52"/>
  <c r="M69" i="52"/>
  <c r="J69" i="52"/>
  <c r="S68" i="52"/>
  <c r="P68" i="52"/>
  <c r="M68" i="52"/>
  <c r="J68" i="52"/>
  <c r="S67" i="52"/>
  <c r="P67" i="52"/>
  <c r="M67" i="52"/>
  <c r="J67" i="52"/>
  <c r="S66" i="52"/>
  <c r="P66" i="52"/>
  <c r="M66" i="52"/>
  <c r="J66" i="52"/>
  <c r="S65" i="52"/>
  <c r="P65" i="52"/>
  <c r="M65" i="52"/>
  <c r="J65" i="52"/>
  <c r="S64" i="52"/>
  <c r="P64" i="52"/>
  <c r="M64" i="52"/>
  <c r="J64" i="52"/>
  <c r="S63" i="52"/>
  <c r="P63" i="52"/>
  <c r="M63" i="52"/>
  <c r="J63" i="52"/>
  <c r="S62" i="52"/>
  <c r="P62" i="52"/>
  <c r="M62" i="52"/>
  <c r="J62" i="52"/>
  <c r="S61" i="52"/>
  <c r="P61" i="52"/>
  <c r="M61" i="52"/>
  <c r="J61" i="52"/>
  <c r="S60" i="52"/>
  <c r="P60" i="52"/>
  <c r="M60" i="52"/>
  <c r="J60" i="52"/>
  <c r="S59" i="52"/>
  <c r="P59" i="52"/>
  <c r="M59" i="52"/>
  <c r="J59" i="52"/>
  <c r="S58" i="52"/>
  <c r="P58" i="52"/>
  <c r="M58" i="52"/>
  <c r="J58" i="52"/>
  <c r="S57" i="52"/>
  <c r="P57" i="52"/>
  <c r="M57" i="52"/>
  <c r="J57" i="52"/>
  <c r="S56" i="52"/>
  <c r="P56" i="52"/>
  <c r="M56" i="52"/>
  <c r="J56" i="52"/>
  <c r="S55" i="52"/>
  <c r="P55" i="52"/>
  <c r="M55" i="52"/>
  <c r="J55" i="52"/>
  <c r="S54" i="52"/>
  <c r="P54" i="52"/>
  <c r="M54" i="52"/>
  <c r="J54" i="52"/>
  <c r="S53" i="52"/>
  <c r="P53" i="52"/>
  <c r="M53" i="52"/>
  <c r="J53" i="52"/>
  <c r="S52" i="52"/>
  <c r="P52" i="52"/>
  <c r="M52" i="52"/>
  <c r="J52" i="52"/>
  <c r="S51" i="52"/>
  <c r="P51" i="52"/>
  <c r="M51" i="52"/>
  <c r="J51" i="52"/>
  <c r="S32" i="52"/>
  <c r="P32" i="52"/>
  <c r="M32" i="52"/>
  <c r="J32" i="52"/>
  <c r="S25" i="52"/>
  <c r="P25" i="52"/>
  <c r="M25" i="52"/>
  <c r="J25" i="52"/>
  <c r="S28" i="52"/>
  <c r="P28" i="52"/>
  <c r="M28" i="52"/>
  <c r="J28" i="52"/>
  <c r="S38" i="52"/>
  <c r="P38" i="52"/>
  <c r="M38" i="52"/>
  <c r="J38" i="52"/>
  <c r="S40" i="52"/>
  <c r="P40" i="52"/>
  <c r="M40" i="52"/>
  <c r="J40" i="52"/>
  <c r="S37" i="52"/>
  <c r="P37" i="52"/>
  <c r="M37" i="52"/>
  <c r="J37" i="52"/>
  <c r="S20" i="52"/>
  <c r="P20" i="52"/>
  <c r="M20" i="52"/>
  <c r="J20" i="52"/>
  <c r="S44" i="52"/>
  <c r="P44" i="52"/>
  <c r="M44" i="52"/>
  <c r="J44" i="52"/>
  <c r="S22" i="52"/>
  <c r="P22" i="52"/>
  <c r="M22" i="52"/>
  <c r="J22" i="52"/>
  <c r="S23" i="52"/>
  <c r="P23" i="52"/>
  <c r="M23" i="52"/>
  <c r="J23" i="52"/>
  <c r="S39" i="52"/>
  <c r="P39" i="52"/>
  <c r="M39" i="52"/>
  <c r="J39" i="52"/>
  <c r="S36" i="52"/>
  <c r="P36" i="52"/>
  <c r="M36" i="52"/>
  <c r="J36" i="52"/>
  <c r="S42" i="52"/>
  <c r="P42" i="52"/>
  <c r="M42" i="52"/>
  <c r="J42" i="52"/>
  <c r="S50" i="52"/>
  <c r="P50" i="52"/>
  <c r="M50" i="52"/>
  <c r="J50" i="52"/>
  <c r="S14" i="52"/>
  <c r="P14" i="52"/>
  <c r="M14" i="52"/>
  <c r="J14" i="52"/>
  <c r="S33" i="52"/>
  <c r="P33" i="52"/>
  <c r="M33" i="52"/>
  <c r="J33" i="52"/>
  <c r="S49" i="52"/>
  <c r="P49" i="52"/>
  <c r="M49" i="52"/>
  <c r="J49" i="52"/>
  <c r="S41" i="52"/>
  <c r="P41" i="52"/>
  <c r="M41" i="52"/>
  <c r="J41" i="52"/>
  <c r="S16" i="52"/>
  <c r="P16" i="52"/>
  <c r="M16" i="52"/>
  <c r="J16" i="52"/>
  <c r="S34" i="52"/>
  <c r="P34" i="52"/>
  <c r="M34" i="52"/>
  <c r="J34" i="52"/>
  <c r="S43" i="52"/>
  <c r="P43" i="52"/>
  <c r="M43" i="52"/>
  <c r="J43" i="52"/>
  <c r="S47" i="52"/>
  <c r="P47" i="52"/>
  <c r="M47" i="52"/>
  <c r="J47" i="52"/>
  <c r="S27" i="52"/>
  <c r="P27" i="52"/>
  <c r="M27" i="52"/>
  <c r="J27" i="52"/>
  <c r="S48" i="52"/>
  <c r="P48" i="52"/>
  <c r="M48" i="52"/>
  <c r="J48" i="52"/>
  <c r="S31" i="52"/>
  <c r="P31" i="52"/>
  <c r="M31" i="52"/>
  <c r="J31" i="52"/>
  <c r="S21" i="52"/>
  <c r="P21" i="52"/>
  <c r="M21" i="52"/>
  <c r="J21" i="52"/>
  <c r="S26" i="52"/>
  <c r="P26" i="52"/>
  <c r="M26" i="52"/>
  <c r="J26" i="52"/>
  <c r="S29" i="52"/>
  <c r="P29" i="52"/>
  <c r="M29" i="52"/>
  <c r="J29" i="52"/>
  <c r="S19" i="52"/>
  <c r="P19" i="52"/>
  <c r="M19" i="52"/>
  <c r="J19" i="52"/>
  <c r="S17" i="52"/>
  <c r="P17" i="52"/>
  <c r="M17" i="52"/>
  <c r="J17" i="52"/>
  <c r="S35" i="52"/>
  <c r="P35" i="52"/>
  <c r="M35" i="52"/>
  <c r="J35" i="52"/>
  <c r="S30" i="52"/>
  <c r="P30" i="52"/>
  <c r="M30" i="52"/>
  <c r="J30" i="52"/>
  <c r="S15" i="52"/>
  <c r="P15" i="52"/>
  <c r="M15" i="52"/>
  <c r="J15" i="52"/>
  <c r="S46" i="52"/>
  <c r="P46" i="52"/>
  <c r="M46" i="52"/>
  <c r="J46" i="52"/>
  <c r="S18" i="52"/>
  <c r="P18" i="52"/>
  <c r="M18" i="52"/>
  <c r="J18" i="52"/>
  <c r="S24" i="52"/>
  <c r="P24" i="52"/>
  <c r="M24" i="52"/>
  <c r="J24" i="52"/>
  <c r="S45" i="52"/>
  <c r="P45" i="52"/>
  <c r="M45" i="52"/>
  <c r="J45" i="52"/>
  <c r="W11" i="52"/>
  <c r="V11" i="52"/>
  <c r="S41" i="51"/>
  <c r="P41" i="51"/>
  <c r="M41" i="51"/>
  <c r="J41" i="51"/>
  <c r="S76" i="51"/>
  <c r="P76" i="51"/>
  <c r="M76" i="51"/>
  <c r="J76" i="51"/>
  <c r="S18" i="51"/>
  <c r="P18" i="51"/>
  <c r="M18" i="51"/>
  <c r="J18" i="51"/>
  <c r="S24" i="51"/>
  <c r="P24" i="51"/>
  <c r="M24" i="51"/>
  <c r="J24" i="51"/>
  <c r="S40" i="51"/>
  <c r="P40" i="51"/>
  <c r="M40" i="51"/>
  <c r="J40" i="51"/>
  <c r="S77" i="51"/>
  <c r="P77" i="51"/>
  <c r="M77" i="51"/>
  <c r="J77" i="51"/>
  <c r="S46" i="51"/>
  <c r="P46" i="51"/>
  <c r="M46" i="51"/>
  <c r="J46" i="51"/>
  <c r="S37" i="51"/>
  <c r="P37" i="51"/>
  <c r="M37" i="51"/>
  <c r="J37" i="51"/>
  <c r="S49" i="51"/>
  <c r="P49" i="51"/>
  <c r="M49" i="51"/>
  <c r="J49" i="51"/>
  <c r="S88" i="51"/>
  <c r="P88" i="51"/>
  <c r="M88" i="51"/>
  <c r="J88" i="51"/>
  <c r="S53" i="51"/>
  <c r="P53" i="51"/>
  <c r="M53" i="51"/>
  <c r="J53" i="51"/>
  <c r="S30" i="51"/>
  <c r="P30" i="51"/>
  <c r="M30" i="51"/>
  <c r="J30" i="51"/>
  <c r="S22" i="51"/>
  <c r="P22" i="51"/>
  <c r="M22" i="51"/>
  <c r="J22" i="51"/>
  <c r="S78" i="51"/>
  <c r="P78" i="51"/>
  <c r="M78" i="51"/>
  <c r="J78" i="51"/>
  <c r="S15" i="51"/>
  <c r="P15" i="51"/>
  <c r="M15" i="51"/>
  <c r="J15" i="51"/>
  <c r="S68" i="51"/>
  <c r="P68" i="51"/>
  <c r="M68" i="51"/>
  <c r="J68" i="51"/>
  <c r="S35" i="51"/>
  <c r="P35" i="51"/>
  <c r="M35" i="51"/>
  <c r="J35" i="51"/>
  <c r="S75" i="51"/>
  <c r="P75" i="51"/>
  <c r="M75" i="51"/>
  <c r="J75" i="51"/>
  <c r="S54" i="51"/>
  <c r="P54" i="51"/>
  <c r="M54" i="51"/>
  <c r="J54" i="51"/>
  <c r="S66" i="51"/>
  <c r="P66" i="51"/>
  <c r="M66" i="51"/>
  <c r="J66" i="51"/>
  <c r="S14" i="51"/>
  <c r="P14" i="51"/>
  <c r="M14" i="51"/>
  <c r="J14" i="51"/>
  <c r="S31" i="51"/>
  <c r="P31" i="51"/>
  <c r="M31" i="51"/>
  <c r="J31" i="51"/>
  <c r="S72" i="51"/>
  <c r="P72" i="51"/>
  <c r="M72" i="51"/>
  <c r="J72" i="51"/>
  <c r="S83" i="51"/>
  <c r="P83" i="51"/>
  <c r="M83" i="51"/>
  <c r="J83" i="51"/>
  <c r="S23" i="51"/>
  <c r="P23" i="51"/>
  <c r="M23" i="51"/>
  <c r="J23" i="51"/>
  <c r="S81" i="51"/>
  <c r="P81" i="51"/>
  <c r="M81" i="51"/>
  <c r="J81" i="51"/>
  <c r="S39" i="51"/>
  <c r="P39" i="51"/>
  <c r="M39" i="51"/>
  <c r="J39" i="51"/>
  <c r="S34" i="51"/>
  <c r="P34" i="51"/>
  <c r="M34" i="51"/>
  <c r="J34" i="51"/>
  <c r="S71" i="51"/>
  <c r="P71" i="51"/>
  <c r="M71" i="51"/>
  <c r="J71" i="51"/>
  <c r="S82" i="51"/>
  <c r="P82" i="51"/>
  <c r="M82" i="51"/>
  <c r="J82" i="51"/>
  <c r="S52" i="51"/>
  <c r="P52" i="51"/>
  <c r="M52" i="51"/>
  <c r="J52" i="51"/>
  <c r="S51" i="51"/>
  <c r="P51" i="51"/>
  <c r="M51" i="51"/>
  <c r="J51" i="51"/>
  <c r="S45" i="51"/>
  <c r="P45" i="51"/>
  <c r="M45" i="51"/>
  <c r="J45" i="51"/>
  <c r="S27" i="51"/>
  <c r="P27" i="51"/>
  <c r="M27" i="51"/>
  <c r="J27" i="51"/>
  <c r="S26" i="51"/>
  <c r="P26" i="51"/>
  <c r="M26" i="51"/>
  <c r="J26" i="51"/>
  <c r="S19" i="51"/>
  <c r="P19" i="51"/>
  <c r="M19" i="51"/>
  <c r="J19" i="51"/>
  <c r="S20" i="51"/>
  <c r="P20" i="51"/>
  <c r="M20" i="51"/>
  <c r="J20" i="51"/>
  <c r="S70" i="51"/>
  <c r="P70" i="51"/>
  <c r="M70" i="51"/>
  <c r="J70" i="51"/>
  <c r="S48" i="51"/>
  <c r="P48" i="51"/>
  <c r="M48" i="51"/>
  <c r="J48" i="51"/>
  <c r="S86" i="51"/>
  <c r="P86" i="51"/>
  <c r="M86" i="51"/>
  <c r="J86" i="51"/>
  <c r="S50" i="51"/>
  <c r="P50" i="51"/>
  <c r="M50" i="51"/>
  <c r="J50" i="51"/>
  <c r="S28" i="51"/>
  <c r="P28" i="51"/>
  <c r="M28" i="51"/>
  <c r="J28" i="51"/>
  <c r="S16" i="51"/>
  <c r="P16" i="51"/>
  <c r="M16" i="51"/>
  <c r="J16" i="51"/>
  <c r="S80" i="51"/>
  <c r="P80" i="51"/>
  <c r="M80" i="51"/>
  <c r="J80" i="51"/>
  <c r="S74" i="51"/>
  <c r="P74" i="51"/>
  <c r="M74" i="51"/>
  <c r="J74" i="51"/>
  <c r="S36" i="51"/>
  <c r="P36" i="51"/>
  <c r="M36" i="51"/>
  <c r="J36" i="51"/>
  <c r="S42" i="51"/>
  <c r="P42" i="51"/>
  <c r="M42" i="51"/>
  <c r="J42" i="51"/>
  <c r="S17" i="51"/>
  <c r="P17" i="51"/>
  <c r="M17" i="51"/>
  <c r="J17" i="51"/>
  <c r="S79" i="51"/>
  <c r="P79" i="51"/>
  <c r="M79" i="51"/>
  <c r="J79" i="51"/>
  <c r="S21" i="51"/>
  <c r="P21" i="51"/>
  <c r="M21" i="51"/>
  <c r="J21" i="51"/>
  <c r="S47" i="51"/>
  <c r="P47" i="51"/>
  <c r="M47" i="51"/>
  <c r="J47" i="51"/>
  <c r="S44" i="51"/>
  <c r="P44" i="51"/>
  <c r="M44" i="51"/>
  <c r="J44" i="51"/>
  <c r="S73" i="51"/>
  <c r="P73" i="51"/>
  <c r="M73" i="51"/>
  <c r="J73" i="51"/>
  <c r="S69" i="51"/>
  <c r="P69" i="51"/>
  <c r="M69" i="51"/>
  <c r="J69" i="51"/>
  <c r="S85" i="51"/>
  <c r="P85" i="51"/>
  <c r="M85" i="51"/>
  <c r="J85" i="51"/>
  <c r="S25" i="51"/>
  <c r="P25" i="51"/>
  <c r="M25" i="51"/>
  <c r="J25" i="51"/>
  <c r="S87" i="51"/>
  <c r="P87" i="51"/>
  <c r="M87" i="51"/>
  <c r="J87" i="51"/>
  <c r="S67" i="51"/>
  <c r="P67" i="51"/>
  <c r="M67" i="51"/>
  <c r="J67" i="51"/>
  <c r="S33" i="51"/>
  <c r="P33" i="51"/>
  <c r="M33" i="51"/>
  <c r="J33" i="51"/>
  <c r="S84" i="51"/>
  <c r="P84" i="51"/>
  <c r="M84" i="51"/>
  <c r="J84" i="51"/>
  <c r="A44" i="42"/>
  <c r="B44" i="42"/>
  <c r="C44" i="42"/>
  <c r="E44" i="42"/>
  <c r="G44" i="42"/>
  <c r="A45" i="42"/>
  <c r="B45" i="42"/>
  <c r="C45" i="42"/>
  <c r="E45" i="42"/>
  <c r="F45" i="42"/>
  <c r="G45" i="42"/>
  <c r="A46" i="42"/>
  <c r="B46" i="42"/>
  <c r="C46" i="42"/>
  <c r="E46" i="42"/>
  <c r="G46" i="42"/>
  <c r="A47" i="42"/>
  <c r="B47" i="42"/>
  <c r="C47" i="42"/>
  <c r="E47" i="42"/>
  <c r="G47" i="42"/>
  <c r="A48" i="42"/>
  <c r="B48" i="42"/>
  <c r="C48" i="42"/>
  <c r="E48" i="42"/>
  <c r="G48" i="42"/>
  <c r="A49" i="42"/>
  <c r="B49" i="42"/>
  <c r="C49" i="42"/>
  <c r="E49" i="42"/>
  <c r="G49" i="42"/>
  <c r="A50" i="42"/>
  <c r="B50" i="42"/>
  <c r="C50" i="42"/>
  <c r="E50" i="42"/>
  <c r="G50" i="42"/>
  <c r="A51" i="42"/>
  <c r="B51" i="42"/>
  <c r="C51" i="42"/>
  <c r="E51" i="42"/>
  <c r="G51" i="42"/>
  <c r="A52" i="42"/>
  <c r="B52" i="42"/>
  <c r="C52" i="42"/>
  <c r="E52" i="42"/>
  <c r="F52" i="42"/>
  <c r="G52" i="42"/>
  <c r="A53" i="42"/>
  <c r="B53" i="42"/>
  <c r="C53" i="42"/>
  <c r="E53" i="42"/>
  <c r="G53" i="42"/>
  <c r="A54" i="42"/>
  <c r="B54" i="42"/>
  <c r="C54" i="42"/>
  <c r="E54" i="42"/>
  <c r="G54" i="42"/>
  <c r="A55" i="42"/>
  <c r="B55" i="42"/>
  <c r="C55" i="42"/>
  <c r="D55" i="42"/>
  <c r="E55" i="42"/>
  <c r="G55" i="42"/>
  <c r="A56" i="42"/>
  <c r="B56" i="42"/>
  <c r="C56" i="42"/>
  <c r="E56" i="42"/>
  <c r="G56" i="42"/>
  <c r="A57" i="42"/>
  <c r="B57" i="42"/>
  <c r="C57" i="42"/>
  <c r="E57" i="42"/>
  <c r="G57" i="42"/>
  <c r="A58" i="42"/>
  <c r="B58" i="42"/>
  <c r="C58" i="42"/>
  <c r="E58" i="42"/>
  <c r="G58" i="42"/>
  <c r="A59" i="42"/>
  <c r="B59" i="42"/>
  <c r="C59" i="42"/>
  <c r="E59" i="42"/>
  <c r="F59" i="42"/>
  <c r="G59" i="42"/>
  <c r="A60" i="42"/>
  <c r="B60" i="42"/>
  <c r="C60" i="42"/>
  <c r="E60" i="42"/>
  <c r="G60" i="42"/>
  <c r="A61" i="42"/>
  <c r="B61" i="42"/>
  <c r="C61" i="42"/>
  <c r="E61" i="42"/>
  <c r="F61" i="42"/>
  <c r="G61" i="42"/>
  <c r="A62" i="42"/>
  <c r="B62" i="42"/>
  <c r="C62" i="42"/>
  <c r="E62" i="42"/>
  <c r="G62" i="42"/>
  <c r="A63" i="42"/>
  <c r="B63" i="42"/>
  <c r="C63" i="42"/>
  <c r="D63" i="42"/>
  <c r="E63" i="42"/>
  <c r="F63" i="42"/>
  <c r="G63" i="42"/>
  <c r="A64" i="42"/>
  <c r="B64" i="42"/>
  <c r="C64" i="42"/>
  <c r="E64" i="42"/>
  <c r="G64" i="42"/>
  <c r="A65" i="42"/>
  <c r="B65" i="42"/>
  <c r="C65" i="42"/>
  <c r="E65" i="42"/>
  <c r="G65" i="42"/>
  <c r="A66" i="42"/>
  <c r="B66" i="42"/>
  <c r="C66" i="42"/>
  <c r="E66" i="42"/>
  <c r="G66" i="42"/>
  <c r="A67" i="42"/>
  <c r="B67" i="42"/>
  <c r="C67" i="42"/>
  <c r="E67" i="42"/>
  <c r="F67" i="42"/>
  <c r="G67" i="42"/>
  <c r="A68" i="42"/>
  <c r="B68" i="42"/>
  <c r="C68" i="42"/>
  <c r="E68" i="42"/>
  <c r="G68" i="42"/>
  <c r="A69" i="42"/>
  <c r="B69" i="42"/>
  <c r="C69" i="42"/>
  <c r="E69" i="42"/>
  <c r="G69" i="42"/>
  <c r="A70" i="42"/>
  <c r="B70" i="42"/>
  <c r="C70" i="42"/>
  <c r="E70" i="42"/>
  <c r="F70" i="42"/>
  <c r="G70" i="42"/>
  <c r="A71" i="42"/>
  <c r="B71" i="42"/>
  <c r="C71" i="42"/>
  <c r="E71" i="42"/>
  <c r="G71" i="42"/>
  <c r="A72" i="42"/>
  <c r="B72" i="42"/>
  <c r="C72" i="42"/>
  <c r="E72" i="42"/>
  <c r="G72" i="42"/>
  <c r="A73" i="42"/>
  <c r="B73" i="42"/>
  <c r="C73" i="42"/>
  <c r="D73" i="42"/>
  <c r="E73" i="42"/>
  <c r="G73" i="42"/>
  <c r="G14" i="42"/>
  <c r="E14" i="42"/>
  <c r="C14" i="42"/>
  <c r="B14" i="42"/>
  <c r="A14" i="42"/>
  <c r="F10" i="42"/>
  <c r="D10" i="42"/>
  <c r="D9" i="42"/>
  <c r="S73" i="39"/>
  <c r="P73" i="39"/>
  <c r="M73" i="39"/>
  <c r="J73" i="39"/>
  <c r="S72" i="39"/>
  <c r="P72" i="39"/>
  <c r="M72" i="39"/>
  <c r="J72" i="39"/>
  <c r="S71" i="39"/>
  <c r="P71" i="39"/>
  <c r="M71" i="39"/>
  <c r="J71" i="39"/>
  <c r="S70" i="39"/>
  <c r="P70" i="39"/>
  <c r="M70" i="39"/>
  <c r="J70" i="39"/>
  <c r="S69" i="39"/>
  <c r="P69" i="39"/>
  <c r="M69" i="39"/>
  <c r="J69" i="39"/>
  <c r="S68" i="39"/>
  <c r="P68" i="39"/>
  <c r="M68" i="39"/>
  <c r="J68" i="39"/>
  <c r="S67" i="39"/>
  <c r="P67" i="39"/>
  <c r="M67" i="39"/>
  <c r="J67" i="39"/>
  <c r="S66" i="39"/>
  <c r="P66" i="39"/>
  <c r="M66" i="39"/>
  <c r="J66" i="39"/>
  <c r="S65" i="39"/>
  <c r="P65" i="39"/>
  <c r="M65" i="39"/>
  <c r="J65" i="39"/>
  <c r="S64" i="39"/>
  <c r="P64" i="39"/>
  <c r="M64" i="39"/>
  <c r="J64" i="39"/>
  <c r="S63" i="39"/>
  <c r="P63" i="39"/>
  <c r="M63" i="39"/>
  <c r="J63" i="39"/>
  <c r="S62" i="39"/>
  <c r="P62" i="39"/>
  <c r="M62" i="39"/>
  <c r="J62" i="39"/>
  <c r="S61" i="39"/>
  <c r="P61" i="39"/>
  <c r="M61" i="39"/>
  <c r="J61" i="39"/>
  <c r="S60" i="39"/>
  <c r="P60" i="39"/>
  <c r="M60" i="39"/>
  <c r="J60" i="39"/>
  <c r="S59" i="39"/>
  <c r="P59" i="39"/>
  <c r="M59" i="39"/>
  <c r="J59" i="39"/>
  <c r="S58" i="39"/>
  <c r="P58" i="39"/>
  <c r="M58" i="39"/>
  <c r="J58" i="39"/>
  <c r="S57" i="39"/>
  <c r="P57" i="39"/>
  <c r="M57" i="39"/>
  <c r="J57" i="39"/>
  <c r="S56" i="39"/>
  <c r="P56" i="39"/>
  <c r="M56" i="39"/>
  <c r="J56" i="39"/>
  <c r="S55" i="39"/>
  <c r="P55" i="39"/>
  <c r="M55" i="39"/>
  <c r="J55" i="39"/>
  <c r="S54" i="39"/>
  <c r="P54" i="39"/>
  <c r="M54" i="39"/>
  <c r="J54" i="39"/>
  <c r="S53" i="39"/>
  <c r="P53" i="39"/>
  <c r="M53" i="39"/>
  <c r="J53" i="39"/>
  <c r="S52" i="39"/>
  <c r="P52" i="39"/>
  <c r="M52" i="39"/>
  <c r="J52" i="39"/>
  <c r="S51" i="39"/>
  <c r="P51" i="39"/>
  <c r="M51" i="39"/>
  <c r="J51" i="39"/>
  <c r="S50" i="39"/>
  <c r="P50" i="39"/>
  <c r="M50" i="39"/>
  <c r="J50" i="39"/>
  <c r="S49" i="39"/>
  <c r="P49" i="39"/>
  <c r="M49" i="39"/>
  <c r="J49" i="39"/>
  <c r="S48" i="39"/>
  <c r="P48" i="39"/>
  <c r="M48" i="39"/>
  <c r="J48" i="39"/>
  <c r="S47" i="39"/>
  <c r="P47" i="39"/>
  <c r="M47" i="39"/>
  <c r="J47" i="39"/>
  <c r="S46" i="39"/>
  <c r="P46" i="39"/>
  <c r="M46" i="39"/>
  <c r="J46" i="39"/>
  <c r="S45" i="39"/>
  <c r="P45" i="39"/>
  <c r="M45" i="39"/>
  <c r="J45" i="39"/>
  <c r="S44" i="39"/>
  <c r="P44" i="39"/>
  <c r="M44" i="39"/>
  <c r="J44" i="39"/>
  <c r="S43" i="39"/>
  <c r="P43" i="39"/>
  <c r="M43" i="39"/>
  <c r="J43" i="39"/>
  <c r="S42" i="39"/>
  <c r="P42" i="39"/>
  <c r="M42" i="39"/>
  <c r="J42" i="39"/>
  <c r="S41" i="39"/>
  <c r="P41" i="39"/>
  <c r="M41" i="39"/>
  <c r="J41" i="39"/>
  <c r="S40" i="39"/>
  <c r="P40" i="39"/>
  <c r="M40" i="39"/>
  <c r="J40" i="39"/>
  <c r="S39" i="39"/>
  <c r="P39" i="39"/>
  <c r="M39" i="39"/>
  <c r="J39" i="39"/>
  <c r="S38" i="39"/>
  <c r="P38" i="39"/>
  <c r="M38" i="39"/>
  <c r="J38" i="39"/>
  <c r="S37" i="39"/>
  <c r="P37" i="39"/>
  <c r="M37" i="39"/>
  <c r="J37" i="39"/>
  <c r="S36" i="39"/>
  <c r="P36" i="39"/>
  <c r="M36" i="39"/>
  <c r="J36" i="39"/>
  <c r="S35" i="39"/>
  <c r="P35" i="39"/>
  <c r="M35" i="39"/>
  <c r="J35" i="39"/>
  <c r="S34" i="39"/>
  <c r="P34" i="39"/>
  <c r="M34" i="39"/>
  <c r="J34" i="39"/>
  <c r="S33" i="39"/>
  <c r="P33" i="39"/>
  <c r="M33" i="39"/>
  <c r="J33" i="39"/>
  <c r="S32" i="39"/>
  <c r="P32" i="39"/>
  <c r="M32" i="39"/>
  <c r="J32" i="39"/>
  <c r="S31" i="39"/>
  <c r="P31" i="39"/>
  <c r="M31" i="39"/>
  <c r="J31" i="39"/>
  <c r="S30" i="39"/>
  <c r="P30" i="39"/>
  <c r="M30" i="39"/>
  <c r="J30" i="39"/>
  <c r="S29" i="39"/>
  <c r="P29" i="39"/>
  <c r="M29" i="39"/>
  <c r="J29" i="39"/>
  <c r="S28" i="39"/>
  <c r="P28" i="39"/>
  <c r="M28" i="39"/>
  <c r="J28" i="39"/>
  <c r="S27" i="39"/>
  <c r="P27" i="39"/>
  <c r="M27" i="39"/>
  <c r="J27" i="39"/>
  <c r="S26" i="39"/>
  <c r="P26" i="39"/>
  <c r="M26" i="39"/>
  <c r="J26" i="39"/>
  <c r="S25" i="39"/>
  <c r="P25" i="39"/>
  <c r="M25" i="39"/>
  <c r="J25" i="39"/>
  <c r="S24" i="39"/>
  <c r="P24" i="39"/>
  <c r="M24" i="39"/>
  <c r="J24" i="39"/>
  <c r="S23" i="39"/>
  <c r="P23" i="39"/>
  <c r="M23" i="39"/>
  <c r="J23" i="39"/>
  <c r="S22" i="39"/>
  <c r="P22" i="39"/>
  <c r="M22" i="39"/>
  <c r="J22" i="39"/>
  <c r="S21" i="39"/>
  <c r="P21" i="39"/>
  <c r="M21" i="39"/>
  <c r="J21" i="39"/>
  <c r="S20" i="39"/>
  <c r="P20" i="39"/>
  <c r="M20" i="39"/>
  <c r="J20" i="39"/>
  <c r="S19" i="39"/>
  <c r="P19" i="39"/>
  <c r="M19" i="39"/>
  <c r="J19" i="39"/>
  <c r="S18" i="39"/>
  <c r="P18" i="39"/>
  <c r="M18" i="39"/>
  <c r="J18" i="39"/>
  <c r="S17" i="39"/>
  <c r="P17" i="39"/>
  <c r="M17" i="39"/>
  <c r="J17" i="39"/>
  <c r="S16" i="39"/>
  <c r="P16" i="39"/>
  <c r="M16" i="39"/>
  <c r="J16" i="39"/>
  <c r="S14" i="39"/>
  <c r="P14" i="39"/>
  <c r="M14" i="39"/>
  <c r="J14" i="39"/>
  <c r="S15" i="39"/>
  <c r="P15" i="39"/>
  <c r="M15" i="39"/>
  <c r="J15" i="39"/>
  <c r="D8" i="46"/>
  <c r="D6" i="70" s="1"/>
  <c r="C7" i="46"/>
  <c r="A4" i="70" s="1"/>
  <c r="C6" i="46"/>
  <c r="S73" i="37"/>
  <c r="P73" i="37"/>
  <c r="M73" i="37"/>
  <c r="J73" i="37"/>
  <c r="S72" i="37"/>
  <c r="P72" i="37"/>
  <c r="M72" i="37"/>
  <c r="J72" i="37"/>
  <c r="S71" i="37"/>
  <c r="P71" i="37"/>
  <c r="M71" i="37"/>
  <c r="J71" i="37"/>
  <c r="S70" i="37"/>
  <c r="P70" i="37"/>
  <c r="M70" i="37"/>
  <c r="J70" i="37"/>
  <c r="S69" i="37"/>
  <c r="P69" i="37"/>
  <c r="M69" i="37"/>
  <c r="J69" i="37"/>
  <c r="S68" i="37"/>
  <c r="P68" i="37"/>
  <c r="M68" i="37"/>
  <c r="J68" i="37"/>
  <c r="S67" i="37"/>
  <c r="P67" i="37"/>
  <c r="M67" i="37"/>
  <c r="J67" i="37"/>
  <c r="S66" i="37"/>
  <c r="P66" i="37"/>
  <c r="M66" i="37"/>
  <c r="J66" i="37"/>
  <c r="S65" i="37"/>
  <c r="P65" i="37"/>
  <c r="M65" i="37"/>
  <c r="J65" i="37"/>
  <c r="S64" i="37"/>
  <c r="P64" i="37"/>
  <c r="M64" i="37"/>
  <c r="J64" i="37"/>
  <c r="S63" i="37"/>
  <c r="P63" i="37"/>
  <c r="M63" i="37"/>
  <c r="J63" i="37"/>
  <c r="S62" i="37"/>
  <c r="P62" i="37"/>
  <c r="M62" i="37"/>
  <c r="J62" i="37"/>
  <c r="S61" i="37"/>
  <c r="P61" i="37"/>
  <c r="M61" i="37"/>
  <c r="J61" i="37"/>
  <c r="S60" i="37"/>
  <c r="P60" i="37"/>
  <c r="M60" i="37"/>
  <c r="J60" i="37"/>
  <c r="S59" i="37"/>
  <c r="P59" i="37"/>
  <c r="M59" i="37"/>
  <c r="J59" i="37"/>
  <c r="S57" i="37"/>
  <c r="P57" i="37"/>
  <c r="M57" i="37"/>
  <c r="J57" i="37"/>
  <c r="S56" i="37"/>
  <c r="P56" i="37"/>
  <c r="M56" i="37"/>
  <c r="J56" i="37"/>
  <c r="S14" i="37"/>
  <c r="P14" i="37"/>
  <c r="M14" i="37"/>
  <c r="J14" i="37"/>
  <c r="S15" i="37"/>
  <c r="P15" i="37"/>
  <c r="M15" i="37"/>
  <c r="J15" i="37"/>
  <c r="S17" i="37"/>
  <c r="P17" i="37"/>
  <c r="M17" i="37"/>
  <c r="J17" i="37"/>
  <c r="S18" i="37"/>
  <c r="P18" i="37"/>
  <c r="M18" i="37"/>
  <c r="J18" i="37"/>
  <c r="S27" i="37"/>
  <c r="P27" i="37"/>
  <c r="M27" i="37"/>
  <c r="J27" i="37"/>
  <c r="S51" i="37"/>
  <c r="P51" i="37"/>
  <c r="M51" i="37"/>
  <c r="J51" i="37"/>
  <c r="S31" i="37"/>
  <c r="P31" i="37"/>
  <c r="M31" i="37"/>
  <c r="J31" i="37"/>
  <c r="S36" i="37"/>
  <c r="P36" i="37"/>
  <c r="M36" i="37"/>
  <c r="J36" i="37"/>
  <c r="S30" i="37"/>
  <c r="P30" i="37"/>
  <c r="M30" i="37"/>
  <c r="J30" i="37"/>
  <c r="S23" i="37"/>
  <c r="P23" i="37"/>
  <c r="M23" i="37"/>
  <c r="J23" i="37"/>
  <c r="S49" i="37"/>
  <c r="P49" i="37"/>
  <c r="M49" i="37"/>
  <c r="J49" i="37"/>
  <c r="S20" i="37"/>
  <c r="P20" i="37"/>
  <c r="M20" i="37"/>
  <c r="J20" i="37"/>
  <c r="S29" i="37"/>
  <c r="P29" i="37"/>
  <c r="M29" i="37"/>
  <c r="J29" i="37"/>
  <c r="S33" i="37"/>
  <c r="P33" i="37"/>
  <c r="M33" i="37"/>
  <c r="J33" i="37"/>
  <c r="S19" i="37"/>
  <c r="P19" i="37"/>
  <c r="M19" i="37"/>
  <c r="J19" i="37"/>
  <c r="S52" i="37"/>
  <c r="P52" i="37"/>
  <c r="M52" i="37"/>
  <c r="J52" i="37"/>
  <c r="S44" i="37"/>
  <c r="P44" i="37"/>
  <c r="M44" i="37"/>
  <c r="J44" i="37"/>
  <c r="S26" i="37"/>
  <c r="P26" i="37"/>
  <c r="M26" i="37"/>
  <c r="J26" i="37"/>
  <c r="S46" i="37"/>
  <c r="P46" i="37"/>
  <c r="M46" i="37"/>
  <c r="J46" i="37"/>
  <c r="S24" i="37"/>
  <c r="P24" i="37"/>
  <c r="M24" i="37"/>
  <c r="J24" i="37"/>
  <c r="S16" i="37"/>
  <c r="P16" i="37"/>
  <c r="M16" i="37"/>
  <c r="J16" i="37"/>
  <c r="S43" i="37"/>
  <c r="P43" i="37"/>
  <c r="M43" i="37"/>
  <c r="J43" i="37"/>
  <c r="S28" i="37"/>
  <c r="P28" i="37"/>
  <c r="M28" i="37"/>
  <c r="J28" i="37"/>
  <c r="S48" i="37"/>
  <c r="P48" i="37"/>
  <c r="M48" i="37"/>
  <c r="J48" i="37"/>
  <c r="S35" i="37"/>
  <c r="P35" i="37"/>
  <c r="M35" i="37"/>
  <c r="J35" i="37"/>
  <c r="S21" i="37"/>
  <c r="P21" i="37"/>
  <c r="M21" i="37"/>
  <c r="J21" i="37"/>
  <c r="S58" i="37"/>
  <c r="P58" i="37"/>
  <c r="M58" i="37"/>
  <c r="J58" i="37"/>
  <c r="S25" i="37"/>
  <c r="P25" i="37"/>
  <c r="M25" i="37"/>
  <c r="J25" i="37"/>
  <c r="S38" i="37"/>
  <c r="P38" i="37"/>
  <c r="M38" i="37"/>
  <c r="J38" i="37"/>
  <c r="S41" i="37"/>
  <c r="P41" i="37"/>
  <c r="M41" i="37"/>
  <c r="J41" i="37"/>
  <c r="S54" i="37"/>
  <c r="P54" i="37"/>
  <c r="M54" i="37"/>
  <c r="J54" i="37"/>
  <c r="S42" i="37"/>
  <c r="P42" i="37"/>
  <c r="M42" i="37"/>
  <c r="J42" i="37"/>
  <c r="S40" i="37"/>
  <c r="P40" i="37"/>
  <c r="M40" i="37"/>
  <c r="J40" i="37"/>
  <c r="S50" i="37"/>
  <c r="P50" i="37"/>
  <c r="M50" i="37"/>
  <c r="J50" i="37"/>
  <c r="S53" i="37"/>
  <c r="P53" i="37"/>
  <c r="M53" i="37"/>
  <c r="J53" i="37"/>
  <c r="S39" i="37"/>
  <c r="P39" i="37"/>
  <c r="M39" i="37"/>
  <c r="J39" i="37"/>
  <c r="S45" i="37"/>
  <c r="P45" i="37"/>
  <c r="M45" i="37"/>
  <c r="J45" i="37"/>
  <c r="S47" i="37"/>
  <c r="P47" i="37"/>
  <c r="M47" i="37"/>
  <c r="J47" i="37"/>
  <c r="S22" i="37"/>
  <c r="P22" i="37"/>
  <c r="M22" i="37"/>
  <c r="J22" i="37"/>
  <c r="S37" i="37"/>
  <c r="P37" i="37"/>
  <c r="M37" i="37"/>
  <c r="J37" i="37"/>
  <c r="S32" i="37"/>
  <c r="P32" i="37"/>
  <c r="M32" i="37"/>
  <c r="J32" i="37"/>
  <c r="S55" i="37"/>
  <c r="P55" i="37"/>
  <c r="M55" i="37"/>
  <c r="J55" i="37"/>
  <c r="S34" i="37"/>
  <c r="P34" i="37"/>
  <c r="M34" i="37"/>
  <c r="J34" i="37"/>
  <c r="D8" i="42"/>
  <c r="D6" i="67" s="1"/>
  <c r="C7" i="42"/>
  <c r="A4" i="67" s="1"/>
  <c r="C6" i="42"/>
  <c r="C6" i="21"/>
  <c r="J43" i="36"/>
  <c r="M43" i="36"/>
  <c r="P43" i="36"/>
  <c r="S43" i="36"/>
  <c r="J23" i="36"/>
  <c r="M23" i="36"/>
  <c r="P23" i="36"/>
  <c r="S23" i="36"/>
  <c r="J32" i="36"/>
  <c r="M32" i="36"/>
  <c r="P32" i="36"/>
  <c r="S32" i="36"/>
  <c r="J36" i="36"/>
  <c r="M36" i="36"/>
  <c r="P36" i="36"/>
  <c r="S36" i="36"/>
  <c r="J37" i="36"/>
  <c r="M37" i="36"/>
  <c r="P37" i="36"/>
  <c r="S37" i="36"/>
  <c r="J24" i="36"/>
  <c r="M24" i="36"/>
  <c r="P24" i="36"/>
  <c r="S24" i="36"/>
  <c r="J17" i="36"/>
  <c r="M17" i="36"/>
  <c r="P17" i="36"/>
  <c r="S17" i="36"/>
  <c r="J14" i="36"/>
  <c r="M14" i="36"/>
  <c r="P14" i="36"/>
  <c r="S14" i="36"/>
  <c r="J34" i="36"/>
  <c r="M34" i="36"/>
  <c r="P34" i="36"/>
  <c r="S34" i="36"/>
  <c r="J30" i="36"/>
  <c r="M30" i="36"/>
  <c r="P30" i="36"/>
  <c r="S30" i="36"/>
  <c r="J16" i="36"/>
  <c r="M16" i="36"/>
  <c r="P16" i="36"/>
  <c r="S16" i="36"/>
  <c r="J26" i="36"/>
  <c r="M26" i="36"/>
  <c r="P26" i="36"/>
  <c r="S26" i="36"/>
  <c r="J19" i="36"/>
  <c r="M19" i="36"/>
  <c r="P19" i="36"/>
  <c r="S19" i="36"/>
  <c r="J15" i="36"/>
  <c r="M15" i="36"/>
  <c r="P15" i="36"/>
  <c r="S15" i="36"/>
  <c r="J31" i="36"/>
  <c r="M31" i="36"/>
  <c r="P31" i="36"/>
  <c r="S31" i="36"/>
  <c r="J25" i="36"/>
  <c r="M25" i="36"/>
  <c r="P25" i="36"/>
  <c r="S25" i="36"/>
  <c r="J21" i="36"/>
  <c r="M21" i="36"/>
  <c r="P21" i="36"/>
  <c r="S21" i="36"/>
  <c r="J33" i="36"/>
  <c r="M33" i="36"/>
  <c r="P33" i="36"/>
  <c r="S33" i="36"/>
  <c r="J27" i="36"/>
  <c r="M27" i="36"/>
  <c r="P27" i="36"/>
  <c r="S27" i="36"/>
  <c r="J18" i="36"/>
  <c r="M18" i="36"/>
  <c r="P18" i="36"/>
  <c r="S18" i="36"/>
  <c r="J35" i="36"/>
  <c r="M35" i="36"/>
  <c r="P35" i="36"/>
  <c r="S35" i="36"/>
  <c r="J22" i="36"/>
  <c r="M22" i="36"/>
  <c r="P22" i="36"/>
  <c r="S22" i="36"/>
  <c r="J38" i="36"/>
  <c r="M38" i="36"/>
  <c r="P38" i="36"/>
  <c r="S38" i="36"/>
  <c r="J29" i="36"/>
  <c r="M29" i="36"/>
  <c r="P29" i="36"/>
  <c r="S29" i="36"/>
  <c r="J42" i="36"/>
  <c r="M42" i="36"/>
  <c r="P42" i="36"/>
  <c r="S42" i="36"/>
  <c r="J28" i="36"/>
  <c r="M28" i="36"/>
  <c r="P28" i="36"/>
  <c r="S28" i="36"/>
  <c r="J39" i="36"/>
  <c r="M39" i="36"/>
  <c r="P39" i="36"/>
  <c r="S39" i="36"/>
  <c r="J40" i="36"/>
  <c r="M40" i="36"/>
  <c r="P40" i="36"/>
  <c r="S40" i="36"/>
  <c r="J41" i="36"/>
  <c r="M41" i="36"/>
  <c r="P41" i="36"/>
  <c r="S41" i="36"/>
  <c r="J20" i="36"/>
  <c r="M20" i="36"/>
  <c r="P20" i="36"/>
  <c r="S20" i="36"/>
  <c r="J44" i="36"/>
  <c r="M44" i="36"/>
  <c r="P44" i="36"/>
  <c r="S44" i="36"/>
  <c r="J45" i="36"/>
  <c r="M45" i="36"/>
  <c r="P45" i="36"/>
  <c r="S45" i="36"/>
  <c r="J46" i="36"/>
  <c r="M46" i="36"/>
  <c r="P46" i="36"/>
  <c r="S46" i="36"/>
  <c r="J47" i="36"/>
  <c r="M47" i="36"/>
  <c r="P47" i="36"/>
  <c r="S47" i="36"/>
  <c r="J48" i="36"/>
  <c r="M48" i="36"/>
  <c r="P48" i="36"/>
  <c r="S48" i="36"/>
  <c r="J49" i="36"/>
  <c r="M49" i="36"/>
  <c r="P49" i="36"/>
  <c r="S49" i="36"/>
  <c r="J50" i="36"/>
  <c r="M50" i="36"/>
  <c r="P50" i="36"/>
  <c r="S50" i="36"/>
  <c r="J51" i="36"/>
  <c r="M51" i="36"/>
  <c r="P51" i="36"/>
  <c r="S51" i="36"/>
  <c r="J52" i="36"/>
  <c r="M52" i="36"/>
  <c r="P52" i="36"/>
  <c r="S52" i="36"/>
  <c r="J53" i="36"/>
  <c r="M53" i="36"/>
  <c r="P53" i="36"/>
  <c r="S53" i="36"/>
  <c r="J54" i="36"/>
  <c r="M54" i="36"/>
  <c r="P54" i="36"/>
  <c r="S54" i="36"/>
  <c r="J55" i="36"/>
  <c r="M55" i="36"/>
  <c r="P55" i="36"/>
  <c r="S55" i="36"/>
  <c r="J56" i="36"/>
  <c r="M56" i="36"/>
  <c r="P56" i="36"/>
  <c r="S56" i="36"/>
  <c r="J57" i="36"/>
  <c r="M57" i="36"/>
  <c r="P57" i="36"/>
  <c r="S57" i="36"/>
  <c r="J58" i="36"/>
  <c r="M58" i="36"/>
  <c r="P58" i="36"/>
  <c r="S58" i="36"/>
  <c r="J59" i="36"/>
  <c r="M59" i="36"/>
  <c r="P59" i="36"/>
  <c r="S59" i="36"/>
  <c r="J60" i="36"/>
  <c r="M60" i="36"/>
  <c r="P60" i="36"/>
  <c r="S60" i="36"/>
  <c r="D61" i="21"/>
  <c r="J61" i="36"/>
  <c r="M61" i="36"/>
  <c r="P61" i="36"/>
  <c r="S61" i="36"/>
  <c r="J62" i="36"/>
  <c r="M62" i="36"/>
  <c r="P62" i="36"/>
  <c r="S62" i="36"/>
  <c r="J63" i="36"/>
  <c r="M63" i="36"/>
  <c r="P63" i="36"/>
  <c r="S63" i="36"/>
  <c r="J64" i="36"/>
  <c r="M64" i="36"/>
  <c r="P64" i="36"/>
  <c r="S64" i="36"/>
  <c r="J65" i="36"/>
  <c r="M65" i="36"/>
  <c r="P65" i="36"/>
  <c r="S65" i="36"/>
  <c r="J66" i="36"/>
  <c r="M66" i="36"/>
  <c r="P66" i="36"/>
  <c r="S66" i="36"/>
  <c r="J67" i="36"/>
  <c r="M67" i="36"/>
  <c r="P67" i="36"/>
  <c r="S67" i="36"/>
  <c r="J68" i="36"/>
  <c r="M68" i="36"/>
  <c r="P68" i="36"/>
  <c r="S68" i="36"/>
  <c r="J69" i="36"/>
  <c r="M69" i="36"/>
  <c r="P69" i="36"/>
  <c r="S69" i="36"/>
  <c r="J70" i="36"/>
  <c r="M70" i="36"/>
  <c r="P70" i="36"/>
  <c r="S70" i="36"/>
  <c r="J71" i="36"/>
  <c r="M71" i="36"/>
  <c r="P71" i="36"/>
  <c r="S71" i="36"/>
  <c r="J72" i="36"/>
  <c r="M72" i="36"/>
  <c r="P72" i="36"/>
  <c r="S72" i="36"/>
  <c r="J73" i="36"/>
  <c r="M73" i="36"/>
  <c r="P73" i="36"/>
  <c r="S73" i="36"/>
  <c r="C6" i="27"/>
  <c r="J41" i="28"/>
  <c r="M41" i="28"/>
  <c r="P41" i="28"/>
  <c r="S41" i="28"/>
  <c r="J33" i="28"/>
  <c r="M33" i="28"/>
  <c r="P33" i="28"/>
  <c r="S33" i="28"/>
  <c r="J16" i="28"/>
  <c r="M16" i="28"/>
  <c r="P16" i="28"/>
  <c r="S16" i="28"/>
  <c r="J31" i="28"/>
  <c r="M31" i="28"/>
  <c r="P31" i="28"/>
  <c r="S31" i="28"/>
  <c r="J17" i="28"/>
  <c r="M17" i="28"/>
  <c r="P17" i="28"/>
  <c r="S17" i="28"/>
  <c r="J14" i="28"/>
  <c r="M14" i="28"/>
  <c r="P14" i="28"/>
  <c r="S14" i="28"/>
  <c r="J26" i="28"/>
  <c r="M26" i="28"/>
  <c r="P26" i="28"/>
  <c r="S26" i="28"/>
  <c r="J18" i="28"/>
  <c r="M18" i="28"/>
  <c r="P18" i="28"/>
  <c r="S18" i="28"/>
  <c r="J15" i="28"/>
  <c r="M15" i="28"/>
  <c r="P15" i="28"/>
  <c r="S15" i="28"/>
  <c r="J43" i="28"/>
  <c r="M43" i="28"/>
  <c r="P43" i="28"/>
  <c r="S43" i="28"/>
  <c r="J46" i="28"/>
  <c r="M46" i="28"/>
  <c r="P46" i="28"/>
  <c r="S46" i="28"/>
  <c r="J35" i="28"/>
  <c r="M35" i="28"/>
  <c r="P35" i="28"/>
  <c r="S35" i="28"/>
  <c r="J47" i="28"/>
  <c r="M47" i="28"/>
  <c r="P47" i="28"/>
  <c r="S47" i="28"/>
  <c r="J32" i="28"/>
  <c r="M32" i="28"/>
  <c r="P32" i="28"/>
  <c r="S32" i="28"/>
  <c r="J39" i="28"/>
  <c r="M39" i="28"/>
  <c r="P39" i="28"/>
  <c r="S39" i="28"/>
  <c r="J25" i="28"/>
  <c r="M25" i="28"/>
  <c r="P25" i="28"/>
  <c r="S25" i="28"/>
  <c r="J37" i="28"/>
  <c r="M37" i="28"/>
  <c r="P37" i="28"/>
  <c r="S37" i="28"/>
  <c r="J40" i="28"/>
  <c r="M40" i="28"/>
  <c r="P40" i="28"/>
  <c r="S40" i="28"/>
  <c r="J36" i="28"/>
  <c r="M36" i="28"/>
  <c r="P36" i="28"/>
  <c r="S36" i="28"/>
  <c r="J22" i="28"/>
  <c r="M22" i="28"/>
  <c r="P22" i="28"/>
  <c r="S22" i="28"/>
  <c r="J30" i="28"/>
  <c r="M30" i="28"/>
  <c r="P30" i="28"/>
  <c r="S30" i="28"/>
  <c r="J44" i="28"/>
  <c r="M44" i="28"/>
  <c r="P44" i="28"/>
  <c r="S44" i="28"/>
  <c r="J21" i="28"/>
  <c r="M21" i="28"/>
  <c r="P21" i="28"/>
  <c r="S21" i="28"/>
  <c r="J50" i="28"/>
  <c r="M50" i="28"/>
  <c r="P50" i="28"/>
  <c r="S50" i="28"/>
  <c r="J27" i="28"/>
  <c r="M27" i="28"/>
  <c r="P27" i="28"/>
  <c r="S27" i="28"/>
  <c r="J49" i="28"/>
  <c r="M49" i="28"/>
  <c r="P49" i="28"/>
  <c r="S49" i="28"/>
  <c r="J23" i="28"/>
  <c r="M23" i="28"/>
  <c r="P23" i="28"/>
  <c r="S23" i="28"/>
  <c r="J20" i="28"/>
  <c r="M20" i="28"/>
  <c r="P20" i="28"/>
  <c r="S20" i="28"/>
  <c r="J19" i="28"/>
  <c r="M19" i="28"/>
  <c r="P19" i="28"/>
  <c r="S19" i="28"/>
  <c r="J24" i="28"/>
  <c r="M24" i="28"/>
  <c r="P24" i="28"/>
  <c r="S24" i="28"/>
  <c r="J28" i="28"/>
  <c r="M28" i="28"/>
  <c r="P28" i="28"/>
  <c r="S28" i="28"/>
  <c r="J38" i="28"/>
  <c r="M38" i="28"/>
  <c r="P38" i="28"/>
  <c r="S38" i="28"/>
  <c r="J45" i="28"/>
  <c r="M45" i="28"/>
  <c r="P45" i="28"/>
  <c r="S45" i="28"/>
  <c r="J29" i="28"/>
  <c r="M29" i="28"/>
  <c r="P29" i="28"/>
  <c r="S29" i="28"/>
  <c r="J34" i="28"/>
  <c r="M34" i="28"/>
  <c r="P34" i="28"/>
  <c r="S34" i="28"/>
  <c r="J42" i="28"/>
  <c r="M42" i="28"/>
  <c r="P42" i="28"/>
  <c r="S42" i="28"/>
  <c r="J48" i="28"/>
  <c r="M48" i="28"/>
  <c r="P48" i="28"/>
  <c r="S48" i="28"/>
  <c r="J51" i="28"/>
  <c r="M51" i="28"/>
  <c r="P51" i="28"/>
  <c r="S51" i="28"/>
  <c r="J52" i="28"/>
  <c r="M52" i="28"/>
  <c r="P52" i="28"/>
  <c r="S52" i="28"/>
  <c r="J53" i="28"/>
  <c r="M53" i="28"/>
  <c r="P53" i="28"/>
  <c r="S53" i="28"/>
  <c r="J54" i="28"/>
  <c r="M54" i="28"/>
  <c r="P54" i="28"/>
  <c r="S54" i="28"/>
  <c r="J55" i="28"/>
  <c r="M55" i="28"/>
  <c r="P55" i="28"/>
  <c r="S55" i="28"/>
  <c r="J56" i="28"/>
  <c r="M56" i="28"/>
  <c r="P56" i="28"/>
  <c r="S56" i="28"/>
  <c r="J57" i="28"/>
  <c r="M57" i="28"/>
  <c r="P57" i="28"/>
  <c r="S57" i="28"/>
  <c r="J58" i="28"/>
  <c r="M58" i="28"/>
  <c r="P58" i="28"/>
  <c r="S58" i="28"/>
  <c r="J59" i="28"/>
  <c r="M59" i="28"/>
  <c r="P59" i="28"/>
  <c r="S59" i="28"/>
  <c r="J60" i="28"/>
  <c r="M60" i="28"/>
  <c r="P60" i="28"/>
  <c r="S60" i="28"/>
  <c r="J61" i="28"/>
  <c r="M61" i="28"/>
  <c r="P61" i="28"/>
  <c r="S61" i="28"/>
  <c r="J62" i="28"/>
  <c r="M62" i="28"/>
  <c r="P62" i="28"/>
  <c r="S62" i="28"/>
  <c r="J63" i="28"/>
  <c r="M63" i="28"/>
  <c r="P63" i="28"/>
  <c r="S63" i="28"/>
  <c r="J64" i="28"/>
  <c r="M64" i="28"/>
  <c r="P64" i="28"/>
  <c r="S64" i="28"/>
  <c r="J65" i="28"/>
  <c r="M65" i="28"/>
  <c r="P65" i="28"/>
  <c r="S65" i="28"/>
  <c r="J66" i="28"/>
  <c r="M66" i="28"/>
  <c r="P66" i="28"/>
  <c r="S66" i="28"/>
  <c r="J67" i="28"/>
  <c r="M67" i="28"/>
  <c r="P67" i="28"/>
  <c r="S67" i="28"/>
  <c r="J68" i="28"/>
  <c r="M68" i="28"/>
  <c r="P68" i="28"/>
  <c r="S68" i="28"/>
  <c r="J69" i="28"/>
  <c r="M69" i="28"/>
  <c r="P69" i="28"/>
  <c r="S69" i="28"/>
  <c r="J70" i="28"/>
  <c r="M70" i="28"/>
  <c r="P70" i="28"/>
  <c r="S70" i="28"/>
  <c r="J71" i="28"/>
  <c r="M71" i="28"/>
  <c r="P71" i="28"/>
  <c r="S71" i="28"/>
  <c r="J72" i="28"/>
  <c r="M72" i="28"/>
  <c r="P72" i="28"/>
  <c r="S72" i="28"/>
  <c r="J73" i="28"/>
  <c r="M73" i="28"/>
  <c r="P73" i="28"/>
  <c r="S73" i="28"/>
  <c r="B8" i="21"/>
  <c r="B6" i="66" s="1"/>
  <c r="D9" i="21"/>
  <c r="F9" i="21"/>
  <c r="D10" i="21"/>
  <c r="F10" i="21"/>
  <c r="A61" i="21"/>
  <c r="B61" i="21"/>
  <c r="C61" i="21"/>
  <c r="E61" i="21"/>
  <c r="G61" i="21"/>
  <c r="A62" i="21"/>
  <c r="B62" i="21"/>
  <c r="C62" i="21"/>
  <c r="E62" i="21"/>
  <c r="G62" i="21"/>
  <c r="A63" i="21"/>
  <c r="B63" i="21"/>
  <c r="C63" i="21"/>
  <c r="D63" i="21"/>
  <c r="E63" i="21"/>
  <c r="G63" i="21"/>
  <c r="A64" i="21"/>
  <c r="B64" i="21"/>
  <c r="C64" i="21"/>
  <c r="E64" i="21"/>
  <c r="F64" i="21"/>
  <c r="G64" i="21"/>
  <c r="A65" i="21"/>
  <c r="B65" i="21"/>
  <c r="C65" i="21"/>
  <c r="E65" i="21"/>
  <c r="G65" i="21"/>
  <c r="A66" i="21"/>
  <c r="B66" i="21"/>
  <c r="C66" i="21"/>
  <c r="E66" i="21"/>
  <c r="G66" i="21"/>
  <c r="A67" i="21"/>
  <c r="B67" i="21"/>
  <c r="C67" i="21"/>
  <c r="D67" i="21"/>
  <c r="E67" i="21"/>
  <c r="G67" i="21"/>
  <c r="A68" i="21"/>
  <c r="B68" i="21"/>
  <c r="C68" i="21"/>
  <c r="E68" i="21"/>
  <c r="G68" i="21"/>
  <c r="A69" i="21"/>
  <c r="B69" i="21"/>
  <c r="C69" i="21"/>
  <c r="E69" i="21"/>
  <c r="G69" i="21"/>
  <c r="A70" i="21"/>
  <c r="B70" i="21"/>
  <c r="C70" i="21"/>
  <c r="E70" i="21"/>
  <c r="G70" i="21"/>
  <c r="A71" i="21"/>
  <c r="B71" i="21"/>
  <c r="C71" i="21"/>
  <c r="D71" i="21"/>
  <c r="E71" i="21"/>
  <c r="G71" i="21"/>
  <c r="A72" i="21"/>
  <c r="B72" i="21"/>
  <c r="C72" i="21"/>
  <c r="E72" i="21"/>
  <c r="F72" i="21"/>
  <c r="G72" i="21"/>
  <c r="A73" i="21"/>
  <c r="B73" i="21"/>
  <c r="C73" i="21"/>
  <c r="E73" i="21"/>
  <c r="G73" i="21"/>
  <c r="C7" i="27"/>
  <c r="B8" i="27"/>
  <c r="B6" i="63" s="1"/>
  <c r="D9" i="27"/>
  <c r="F9" i="27"/>
  <c r="D10" i="27"/>
  <c r="F10" i="27"/>
  <c r="A54" i="27"/>
  <c r="B54" i="27"/>
  <c r="C54" i="27"/>
  <c r="E54" i="27"/>
  <c r="G54" i="27"/>
  <c r="A55" i="27"/>
  <c r="B55" i="27"/>
  <c r="C55" i="27"/>
  <c r="E55" i="27"/>
  <c r="G55" i="27"/>
  <c r="A56" i="27"/>
  <c r="B56" i="27"/>
  <c r="C56" i="27"/>
  <c r="E56" i="27"/>
  <c r="G56" i="27"/>
  <c r="A57" i="27"/>
  <c r="B57" i="27"/>
  <c r="C57" i="27"/>
  <c r="E57" i="27"/>
  <c r="G57" i="27"/>
  <c r="A58" i="27"/>
  <c r="B58" i="27"/>
  <c r="C58" i="27"/>
  <c r="D58" i="27"/>
  <c r="E58" i="27"/>
  <c r="G58" i="27"/>
  <c r="A59" i="27"/>
  <c r="B59" i="27"/>
  <c r="C59" i="27"/>
  <c r="E59" i="27"/>
  <c r="G59" i="27"/>
  <c r="A60" i="27"/>
  <c r="B60" i="27"/>
  <c r="C60" i="27"/>
  <c r="E60" i="27"/>
  <c r="G60" i="27"/>
  <c r="A61" i="27"/>
  <c r="B61" i="27"/>
  <c r="C61" i="27"/>
  <c r="E61" i="27"/>
  <c r="G61" i="27"/>
  <c r="A62" i="27"/>
  <c r="B62" i="27"/>
  <c r="C62" i="27"/>
  <c r="E62" i="27"/>
  <c r="G62" i="27"/>
  <c r="A63" i="27"/>
  <c r="B63" i="27"/>
  <c r="C63" i="27"/>
  <c r="E63" i="27"/>
  <c r="G63" i="27"/>
  <c r="A64" i="27"/>
  <c r="B64" i="27"/>
  <c r="C64" i="27"/>
  <c r="E64" i="27"/>
  <c r="G64" i="27"/>
  <c r="A65" i="27"/>
  <c r="B65" i="27"/>
  <c r="C65" i="27"/>
  <c r="D65" i="27"/>
  <c r="E65" i="27"/>
  <c r="G65" i="27"/>
  <c r="A66" i="27"/>
  <c r="B66" i="27"/>
  <c r="C66" i="27"/>
  <c r="E66" i="27"/>
  <c r="F66" i="27"/>
  <c r="G66" i="27"/>
  <c r="A67" i="27"/>
  <c r="B67" i="27"/>
  <c r="C67" i="27"/>
  <c r="E67" i="27"/>
  <c r="G67" i="27"/>
  <c r="A68" i="27"/>
  <c r="B68" i="27"/>
  <c r="C68" i="27"/>
  <c r="E68" i="27"/>
  <c r="G68" i="27"/>
  <c r="A69" i="27"/>
  <c r="B69" i="27"/>
  <c r="C69" i="27"/>
  <c r="E69" i="27"/>
  <c r="G69" i="27"/>
  <c r="A70" i="27"/>
  <c r="B70" i="27"/>
  <c r="C70" i="27"/>
  <c r="E70" i="27"/>
  <c r="G70" i="27"/>
  <c r="A71" i="27"/>
  <c r="B71" i="27"/>
  <c r="C71" i="27"/>
  <c r="E71" i="27"/>
  <c r="G71" i="27"/>
  <c r="A72" i="27"/>
  <c r="B72" i="27"/>
  <c r="C72" i="27"/>
  <c r="E72" i="27"/>
  <c r="G72" i="27"/>
  <c r="A73" i="27"/>
  <c r="B73" i="27"/>
  <c r="C73" i="27"/>
  <c r="D73" i="27"/>
  <c r="E73" i="27"/>
  <c r="G73" i="27"/>
  <c r="A4" i="68" l="1"/>
  <c r="A4" i="71"/>
  <c r="A4" i="63"/>
  <c r="C7" i="21"/>
  <c r="A4" i="66" s="1"/>
  <c r="D8" i="21"/>
  <c r="D6" i="66" s="1"/>
  <c r="D8" i="27"/>
  <c r="D6" i="63" s="1"/>
  <c r="E45" i="59"/>
  <c r="W45" i="57"/>
  <c r="F45" i="59"/>
  <c r="G45" i="59"/>
</calcChain>
</file>

<file path=xl/sharedStrings.xml><?xml version="1.0" encoding="utf-8"?>
<sst xmlns="http://schemas.openxmlformats.org/spreadsheetml/2006/main" count="2587" uniqueCount="737">
  <si>
    <t>会員番号</t>
  </si>
  <si>
    <t>大会登録No.</t>
  </si>
  <si>
    <t>開催日：</t>
  </si>
  <si>
    <t>主任審判員署名：</t>
  </si>
  <si>
    <t>大会名：</t>
  </si>
  <si>
    <t>公式発表時刻：</t>
  </si>
  <si>
    <t>第</t>
  </si>
  <si>
    <t>競技</t>
  </si>
  <si>
    <t>競技名：</t>
  </si>
  <si>
    <t>グレード：</t>
  </si>
  <si>
    <t>分速：</t>
  </si>
  <si>
    <t>認定競技No.</t>
  </si>
  <si>
    <t>カテゴリー：</t>
  </si>
  <si>
    <t>適用規程：</t>
  </si>
  <si>
    <t>基準</t>
  </si>
  <si>
    <t>全長</t>
  </si>
  <si>
    <t>規定タイム</t>
  </si>
  <si>
    <t>制限
タイム</t>
  </si>
  <si>
    <t>決勝競技の場合
予選種目の認定
競技No.</t>
  </si>
  <si>
    <t>競技場タイプ：</t>
  </si>
  <si>
    <t>アウトドア</t>
  </si>
  <si>
    <t>ジャンプオフ：</t>
  </si>
  <si>
    <t>　全長</t>
  </si>
  <si>
    <t>ジャンプオフ</t>
  </si>
  <si>
    <t>順位</t>
  </si>
  <si>
    <t>出番</t>
  </si>
  <si>
    <t>選手名</t>
  </si>
  <si>
    <t>馬匹名</t>
  </si>
  <si>
    <t>登録番号</t>
  </si>
  <si>
    <t>所　　　属</t>
  </si>
  <si>
    <t>走行
タイム</t>
  </si>
  <si>
    <t>加算秒</t>
  </si>
  <si>
    <t>所要
タイム</t>
  </si>
  <si>
    <t>タイム
減点</t>
  </si>
  <si>
    <t>障害
減点</t>
  </si>
  <si>
    <t>総減点</t>
  </si>
  <si>
    <t>障害減点／
落下加算秒</t>
  </si>
  <si>
    <t>総減点／
総タイム</t>
  </si>
  <si>
    <t>備考</t>
  </si>
  <si>
    <t>Ａ</t>
    <phoneticPr fontId="10" type="Hiragana"/>
  </si>
  <si>
    <t>-</t>
    <phoneticPr fontId="10" type="Hiragana"/>
  </si>
  <si>
    <t>UpLoad|UnProtect</t>
    <phoneticPr fontId="15"/>
  </si>
  <si>
    <t>第</t>
    <rPh sb="0" eb="1">
      <t>ダイ</t>
    </rPh>
    <phoneticPr fontId="10"/>
  </si>
  <si>
    <t>競技　　　　　競技名：</t>
    <rPh sb="0" eb="2">
      <t>キョウギ</t>
    </rPh>
    <phoneticPr fontId="10"/>
  </si>
  <si>
    <t>決勝競技の場合
予選種目の認定競技No.</t>
    <phoneticPr fontId="10"/>
  </si>
  <si>
    <t>競技場：第１競技場</t>
    <rPh sb="0" eb="3">
      <t>キョウギジョウ</t>
    </rPh>
    <rPh sb="4" eb="5">
      <t>ダイ</t>
    </rPh>
    <rPh sb="6" eb="9">
      <t>キョウギジョウ</t>
    </rPh>
    <phoneticPr fontId="10"/>
  </si>
  <si>
    <t>OP</t>
    <phoneticPr fontId="15"/>
  </si>
  <si>
    <t>出番</t>
    <rPh sb="0" eb="2">
      <t>デバン</t>
    </rPh>
    <phoneticPr fontId="15"/>
  </si>
  <si>
    <t>選　　　手</t>
    <rPh sb="0" eb="1">
      <t>セン</t>
    </rPh>
    <rPh sb="4" eb="5">
      <t>テ</t>
    </rPh>
    <phoneticPr fontId="15"/>
  </si>
  <si>
    <t>馬　　　匹</t>
    <rPh sb="0" eb="1">
      <t>バ</t>
    </rPh>
    <rPh sb="4" eb="5">
      <t>ヒキ</t>
    </rPh>
    <phoneticPr fontId="15"/>
  </si>
  <si>
    <t>所　　　属</t>
    <phoneticPr fontId="15"/>
  </si>
  <si>
    <t>選手</t>
    <rPh sb="0" eb="2">
      <t>センシュ</t>
    </rPh>
    <phoneticPr fontId="15"/>
  </si>
  <si>
    <t>馬匹</t>
    <rPh sb="0" eb="2">
      <t>バヒツ</t>
    </rPh>
    <phoneticPr fontId="15"/>
  </si>
  <si>
    <t>氏名</t>
    <rPh sb="0" eb="1">
      <t>シ</t>
    </rPh>
    <rPh sb="1" eb="2">
      <t>メイ</t>
    </rPh>
    <phoneticPr fontId="15"/>
  </si>
  <si>
    <t>会員番号</t>
    <phoneticPr fontId="15"/>
  </si>
  <si>
    <t>馬匹名</t>
    <phoneticPr fontId="15"/>
  </si>
  <si>
    <t>登録番号</t>
    <rPh sb="0" eb="2">
      <t>トウロク</t>
    </rPh>
    <phoneticPr fontId="15"/>
  </si>
  <si>
    <t>資格</t>
    <rPh sb="0" eb="2">
      <t>シカク</t>
    </rPh>
    <phoneticPr fontId="15"/>
  </si>
  <si>
    <t>グレード</t>
    <phoneticPr fontId="15"/>
  </si>
  <si>
    <t>-</t>
    <phoneticPr fontId="10"/>
  </si>
  <si>
    <t>（H１００cm）</t>
  </si>
  <si>
    <t>規定タイム</t>
    <phoneticPr fontId="10" type="Hiragana"/>
  </si>
  <si>
    <t>UpLoad|UnProtect</t>
    <phoneticPr fontId="15"/>
  </si>
  <si>
    <t>決勝競技の場合
予選種目の認定競技No.</t>
    <phoneticPr fontId="10"/>
  </si>
  <si>
    <t>OP</t>
    <phoneticPr fontId="15"/>
  </si>
  <si>
    <t>所　　　属</t>
    <phoneticPr fontId="15"/>
  </si>
  <si>
    <t>会員番号</t>
    <phoneticPr fontId="15"/>
  </si>
  <si>
    <t>馬匹名</t>
    <phoneticPr fontId="15"/>
  </si>
  <si>
    <t>グレード</t>
    <phoneticPr fontId="15"/>
  </si>
  <si>
    <t>P：</t>
  </si>
  <si>
    <t>審判名</t>
  </si>
  <si>
    <t>J1：</t>
  </si>
  <si>
    <t>J2：</t>
  </si>
  <si>
    <t>J3：</t>
  </si>
  <si>
    <t>水濠：</t>
  </si>
  <si>
    <t>中障害Ｃ</t>
    <phoneticPr fontId="10"/>
  </si>
  <si>
    <t/>
  </si>
  <si>
    <t>バーティカルジャンプ７０</t>
  </si>
  <si>
    <t>バーティカルジャンプ８０</t>
  </si>
  <si>
    <t>（H７０cm垂直）</t>
  </si>
  <si>
    <t>Ｍ－Ｃ級障害飛越競技</t>
  </si>
  <si>
    <t>Ｌ－Ａ級障害飛越競技</t>
  </si>
  <si>
    <t>Ｌ－Ｂ級障害飛越競技</t>
  </si>
  <si>
    <t>（H８０cm垂直）</t>
  </si>
  <si>
    <t>FUJIYAMA杯</t>
    <rPh sb="8" eb="9">
      <t>ハイ</t>
    </rPh>
    <phoneticPr fontId="10"/>
  </si>
  <si>
    <t>下見時間</t>
    <rPh sb="0" eb="4">
      <t>シタミジカン</t>
    </rPh>
    <phoneticPr fontId="10"/>
  </si>
  <si>
    <t>競技開始時間</t>
    <rPh sb="0" eb="6">
      <t>キョウギカイシジカン</t>
    </rPh>
    <phoneticPr fontId="10"/>
  </si>
  <si>
    <t>～</t>
    <phoneticPr fontId="10"/>
  </si>
  <si>
    <t>賞典</t>
    <rPh sb="0" eb="2">
      <t>ショウテン</t>
    </rPh>
    <phoneticPr fontId="10"/>
  </si>
  <si>
    <t>１位</t>
    <rPh sb="1" eb="2">
      <t>イ</t>
    </rPh>
    <phoneticPr fontId="10"/>
  </si>
  <si>
    <t>２位</t>
    <rPh sb="1" eb="2">
      <t>イ</t>
    </rPh>
    <phoneticPr fontId="10"/>
  </si>
  <si>
    <t>３位</t>
    <rPh sb="1" eb="2">
      <t>イ</t>
    </rPh>
    <phoneticPr fontId="10"/>
  </si>
  <si>
    <t>４位</t>
    <rPh sb="1" eb="2">
      <t>イ</t>
    </rPh>
    <phoneticPr fontId="10"/>
  </si>
  <si>
    <t>５位</t>
    <rPh sb="1" eb="2">
      <t>イ</t>
    </rPh>
    <phoneticPr fontId="10"/>
  </si>
  <si>
    <t>※2の開始時間は前競技が終了し、場内整備の後、競技を開始いたします。</t>
  </si>
  <si>
    <t>骨伝導イヤホン</t>
    <rPh sb="0" eb="3">
      <t>コツデンドウ</t>
    </rPh>
    <phoneticPr fontId="10"/>
  </si>
  <si>
    <t>CWD頭絡</t>
    <rPh sb="3" eb="5">
      <t>トウラク</t>
    </rPh>
    <phoneticPr fontId="10"/>
  </si>
  <si>
    <t>OPEN</t>
    <phoneticPr fontId="10"/>
  </si>
  <si>
    <t>前競技同時</t>
    <rPh sb="0" eb="5">
      <t>ゼンキョウギドウジ</t>
    </rPh>
    <phoneticPr fontId="10"/>
  </si>
  <si>
    <t>※2</t>
    <phoneticPr fontId="10"/>
  </si>
  <si>
    <t>クィディッチ</t>
  </si>
  <si>
    <t>カルバドール</t>
  </si>
  <si>
    <t>藤本　光国</t>
  </si>
  <si>
    <t>ロードボス</t>
  </si>
  <si>
    <t>グリュックスブリンガー</t>
  </si>
  <si>
    <t>マリアンハタンゴアA</t>
  </si>
  <si>
    <t>ナイルゲームスターAⅡ</t>
  </si>
  <si>
    <t>ハウル</t>
  </si>
  <si>
    <t>ブルズアイ</t>
  </si>
  <si>
    <t>エミールー</t>
  </si>
  <si>
    <t>ラッキーボーイ</t>
  </si>
  <si>
    <t>グローブシアター</t>
  </si>
  <si>
    <t>マジカルスペル</t>
  </si>
  <si>
    <t>岡本　雅海</t>
  </si>
  <si>
    <t>サクソンブルー</t>
  </si>
  <si>
    <t>増山　大治郎</t>
  </si>
  <si>
    <t>GCショパンズブッシ</t>
  </si>
  <si>
    <t>メクィドールPS</t>
  </si>
  <si>
    <t>キャサリーン44</t>
  </si>
  <si>
    <t>ホワイトユニコーン</t>
  </si>
  <si>
    <t>ウィルオー・ザ・ウィスプT</t>
  </si>
  <si>
    <t>ベルムスボーイ</t>
  </si>
  <si>
    <t>ハッピーアルシス</t>
  </si>
  <si>
    <t>コラミー</t>
  </si>
  <si>
    <t>ブロフSZ</t>
  </si>
  <si>
    <t>エクスポートZ</t>
  </si>
  <si>
    <t>ハヤテ・ペガサス</t>
  </si>
  <si>
    <t>エルマフランス</t>
  </si>
  <si>
    <t>ワイモンド</t>
  </si>
  <si>
    <t>ロレンジア</t>
  </si>
  <si>
    <t>ジェリコSLS</t>
  </si>
  <si>
    <t>バロックパール</t>
  </si>
  <si>
    <t>アレクセイ</t>
  </si>
  <si>
    <t>フルオリエット</t>
  </si>
  <si>
    <t>川口　大輔</t>
  </si>
  <si>
    <t>サムライブルー</t>
  </si>
  <si>
    <t>CWD無口</t>
    <rPh sb="3" eb="5">
      <t>ムクチ</t>
    </rPh>
    <phoneticPr fontId="10"/>
  </si>
  <si>
    <t>CWDゼッケン</t>
    <phoneticPr fontId="10"/>
  </si>
  <si>
    <t>CWDパッド</t>
    <phoneticPr fontId="10"/>
  </si>
  <si>
    <t>CWD腹帯</t>
    <rPh sb="3" eb="5">
      <t>ハラオビ</t>
    </rPh>
    <phoneticPr fontId="10"/>
  </si>
  <si>
    <t>PlayStation5</t>
    <phoneticPr fontId="10"/>
  </si>
  <si>
    <t>任天堂スイッチ</t>
    <rPh sb="0" eb="3">
      <t>ニンテンドウ</t>
    </rPh>
    <phoneticPr fontId="10"/>
  </si>
  <si>
    <t>ステンレスマグ</t>
    <phoneticPr fontId="10"/>
  </si>
  <si>
    <t>静岡茶、寅や羊羹セット</t>
    <rPh sb="0" eb="3">
      <t>シズオカチャ</t>
    </rPh>
    <rPh sb="4" eb="5">
      <t>トラ</t>
    </rPh>
    <rPh sb="6" eb="8">
      <t>ヨウカン</t>
    </rPh>
    <phoneticPr fontId="10"/>
  </si>
  <si>
    <t>中障害B</t>
    <rPh sb="0" eb="3">
      <t>チュウショウガイ</t>
    </rPh>
    <phoneticPr fontId="10"/>
  </si>
  <si>
    <t>ブラジルデリバーランド</t>
  </si>
  <si>
    <t>マキシマスVDパロミノ</t>
  </si>
  <si>
    <t>ラネリ</t>
  </si>
  <si>
    <t>佐藤　賢希</t>
  </si>
  <si>
    <t>11976|埼玉県|伊藤　正平|イトウ　ショウヘイ</t>
  </si>
  <si>
    <t>28711|埼玉県|大和田　啓太|オオワダ　ケイタ</t>
  </si>
  <si>
    <t>30169|静岡県|伊藤　壽梨|イトウ　ジュリ</t>
  </si>
  <si>
    <t>32929|長野県|佐々木　清彪|ササキ　キヨト</t>
  </si>
  <si>
    <t>33250|長野県|渋谷　智子|シブヤ　トモコ</t>
  </si>
  <si>
    <t>30373|静岡県|星野　眞也子|ホシノ　マヤコ</t>
  </si>
  <si>
    <t>31710|大阪府|鈴木　恵子|スズキ　ケイコ</t>
  </si>
  <si>
    <t>バロックパール|東武乗馬クラブ＆クレイン|58979|バロックパール</t>
  </si>
  <si>
    <t>ハッピーアルシス|明松寺馬事公苑|59796|ハッピーアルシス</t>
  </si>
  <si>
    <t>瑞龍|明松寺馬事公苑|55129|ズイリュウ</t>
  </si>
  <si>
    <t>瑞龍</t>
  </si>
  <si>
    <t>ラファリオ|パロミノ・ポニークラブ|58659|ラファリオ</t>
  </si>
  <si>
    <t>ラファリオ</t>
  </si>
  <si>
    <t>20200|岐阜県|阿日塔|アルタ</t>
  </si>
  <si>
    <t>サクソンブルー|岡本ライディングクラブJAPAN|59650|サクソンブルー</t>
  </si>
  <si>
    <t>27056|東京都|滝澤　和希|タキザワ　カズキ</t>
  </si>
  <si>
    <t>マジカルスペル|日本中央競馬会東京競馬場|60987|マジカルスペル</t>
  </si>
  <si>
    <t>ホワイトユニコーン|大瀧馬事苑|60744|ホワイトユニコーン</t>
  </si>
  <si>
    <t>12159|茨城県|増山　大治郎|マシヤマ　ダイジロウ</t>
  </si>
  <si>
    <t>11802|山梨県|西塚　建二|ニシヅカ　ケンジ</t>
  </si>
  <si>
    <t>5227|東京都|芹澤　永治|セリザワ　エイジ</t>
  </si>
  <si>
    <t>13918|東京都|宇都宮　誉司|ウツノミヤ　タカシ</t>
  </si>
  <si>
    <t>12783|長野県|中村　田鶴子|ナカムラ　タヅコ</t>
  </si>
  <si>
    <t>31920|茨城県|谷崎　太寿|タニザキ　ダイジュ</t>
  </si>
  <si>
    <t>27343|栃木県|小河　倫子|オゴウ　ミチコ</t>
  </si>
  <si>
    <t>2655|埼玉県|丸山　聖子|マルヤマ　セイコ</t>
  </si>
  <si>
    <t>カルバドール|Stal Liberty|59372|カルバドール</t>
  </si>
  <si>
    <t>ベルムスボーイ|明松寺馬事公苑|60501|ベルムスボーイ</t>
  </si>
  <si>
    <t>ラネリ|小山乗馬クラブ|59765|ラネリ</t>
  </si>
  <si>
    <t>ブルズアイ|乗馬クラブクレイン伊奈|56829|ブルズアイ</t>
  </si>
  <si>
    <t>アレクセイ|ステーブル　クリアラウンド|57458|アレクセイ</t>
  </si>
  <si>
    <t>7270|千葉県|福島　大輔|フクシマ　ダイスケ</t>
  </si>
  <si>
    <t>13141|静岡県|川口　大輔|カワグチ　ダイスケ</t>
  </si>
  <si>
    <t>8082|栃木県|増山　誠倫|マシヤマ　タカミチ</t>
  </si>
  <si>
    <t>25761|東京都|鯨岡　啓輔|クジラオカ　ケイスケ</t>
  </si>
  <si>
    <t>メクィドールPS|STAR HORSES|60712|メクィドールピーエス</t>
  </si>
  <si>
    <t>サムライブルー|ライディングクラブフジファーム|56296|サムライブルー</t>
  </si>
  <si>
    <t>10571|栃木県|増山　久佳|マシヤマ　ヒサカ</t>
  </si>
  <si>
    <t>28000|東京都|吉田　ことみ|ヨシダ　コトミ</t>
  </si>
  <si>
    <t>20507|東京都|塚本　敏一|ツカモト　トシカツ</t>
  </si>
  <si>
    <t>18386|茨城県|古田　慶幸|フルタ　ヨシユキ</t>
  </si>
  <si>
    <t>1384|千葉県|林　忠義|ハヤシ　タダヨシ</t>
  </si>
  <si>
    <t>19572|静岡県|岡本　雅海|オカモト　マサミ</t>
  </si>
  <si>
    <t>31292|静岡県|鈴木　萌|スズキ　モエ</t>
  </si>
  <si>
    <t>27610|東京都|原　理沙子|ハラ　リサコ</t>
  </si>
  <si>
    <t>27113|千葉県|木村　早希子|キムラ　サキコ</t>
  </si>
  <si>
    <t>エクスポートZ|日本中央競馬会馬事公苑|60925|エクスポートゼット</t>
  </si>
  <si>
    <t>クィディッチ|Stal Liberty|59548|クィディッチ</t>
  </si>
  <si>
    <t>コラミー|日本中央競馬会馬事公苑|58648|コラミー</t>
  </si>
  <si>
    <t>兀地|明松寺馬事公苑|59353|ゴッチ</t>
  </si>
  <si>
    <t>兀地</t>
  </si>
  <si>
    <t>グリュックスブリンガー|株式会社TOMA　牧之原乗馬クラブ|60391|グリュックスブリンガー</t>
  </si>
  <si>
    <t>ハヤテ・ペガサス|ペガサス乗馬クラブ|58584|ハヤテペガサス</t>
  </si>
  <si>
    <t>GCショパンズブッシ|筑波スカイラインスティーブル|60956|ジーシーショパンズブッシ</t>
  </si>
  <si>
    <t>ワイモンド|日本中央競馬会競馬学校|60368|ワイモンド</t>
  </si>
  <si>
    <t>ウィルオー・ザ・ウィスプT|ヴィルタスライディングクラブ|60068|ウィルオーザウィスプティ</t>
  </si>
  <si>
    <t>ブロフSZ|日本中央競馬会馬事公苑|59567|ブロフエスゼット</t>
  </si>
  <si>
    <t>ブラジルデリバーランド|日本中央競馬会馬事公苑|60923|ブラジルデリバーランド</t>
  </si>
  <si>
    <t>27853|神奈川|杉本　瑞生|スギモト　ミズキ</t>
  </si>
  <si>
    <t>18834|静岡県|藤本　光国|フジモト　ミツクニ</t>
  </si>
  <si>
    <t>21946|栃木県|黒須　晴子|クロス　ハルコ</t>
  </si>
  <si>
    <t>27497|静岡県|大島　那菜|オオシマ　ナナ</t>
  </si>
  <si>
    <t>ロードボス|株式会社TOMA　牧之原乗馬クラブ|56066|ロードボス</t>
  </si>
  <si>
    <t>グローブシアター|小山乗馬クラブ|60322|グローブシアター</t>
  </si>
  <si>
    <t>エミールー|小山乗馬クラブ|59937|エミールー</t>
  </si>
  <si>
    <t>ナイルゲームスターAⅡ|Tokaiホースパーク|58521|ナイルゲームスターエーセカンド</t>
  </si>
  <si>
    <t>33200|東京都|三治　信道|サンジ　ノブミチ</t>
  </si>
  <si>
    <t>10562|長野県|佐藤　賢希|サトウ　ケンキ</t>
  </si>
  <si>
    <t>28108|栃木県|松田　泰明|マツダ　ヤスアキ</t>
  </si>
  <si>
    <t>28178|東京都|大森　実穂|オオモリ　ミホ</t>
  </si>
  <si>
    <t>26053|静岡県|島貫　咲雅|シマヌキ　サマサ</t>
  </si>
  <si>
    <t>エッケザックス|東関東ホースアンドハウンド|58512|エッケザックス</t>
  </si>
  <si>
    <t>エッケザックス</t>
  </si>
  <si>
    <t>ジェリコSLS|HASパロミノ・ポニークラブ|60449|ジェリコエスエルエス</t>
  </si>
  <si>
    <t>エルマフランス|ペガサス乗馬クラブ|57573|エルマフランス</t>
  </si>
  <si>
    <t>キャサリーン44|北総乗馬クラブ|60414|キャサリーンフォーティーフォー</t>
  </si>
  <si>
    <t>ラッキーボーイ|小山乗馬クラブ|58171|ラッキーボーイ</t>
  </si>
  <si>
    <t>ロレンジア|Stable  FEDERA|58118|ロレンジア</t>
  </si>
  <si>
    <t>ハウル|バディーズランチ|55428|ハウル</t>
  </si>
  <si>
    <t>フルオリエット|ステーブル　クリアラウンド|58632|フルオリエット</t>
  </si>
  <si>
    <t>マリアンハタンゴアA|Tokaiホースパーク|57672|マリアンハタンゴアエー</t>
  </si>
  <si>
    <t>30746|神奈川|高橋　茂久|タカハシ　シゲヒサ</t>
  </si>
  <si>
    <t>33408|兵庫県|濱村　いちか|ハマムラ　イチカ</t>
  </si>
  <si>
    <t>29554|千葉県|利部　勝|トシベ　マサル</t>
  </si>
  <si>
    <t>12158|茨城県|増山　陽子|マシヤマ　ヨウコ</t>
  </si>
  <si>
    <t>マキシマスVDパロミノ|HASパロミノ・ポニークラブ|61196|マキシマスヴァンデパロミノ</t>
  </si>
  <si>
    <t>トランプカード</t>
  </si>
  <si>
    <t>伊藤　正平</t>
  </si>
  <si>
    <t>大和田　啓太</t>
  </si>
  <si>
    <t>伊藤　壽梨</t>
  </si>
  <si>
    <t>佐々木　清彪</t>
  </si>
  <si>
    <t>渋谷　智子</t>
  </si>
  <si>
    <t>星野　眞也子</t>
  </si>
  <si>
    <t>鈴木　恵子</t>
  </si>
  <si>
    <t>阿日塔</t>
  </si>
  <si>
    <t>滝澤　和希</t>
  </si>
  <si>
    <t>西塚　建二</t>
  </si>
  <si>
    <t>芹澤　永治</t>
  </si>
  <si>
    <t>宇都宮　誉司</t>
  </si>
  <si>
    <t>中村　田鶴子</t>
  </si>
  <si>
    <t>谷崎　太寿</t>
  </si>
  <si>
    <t>西塚　心咲</t>
  </si>
  <si>
    <t>小河　倫子</t>
  </si>
  <si>
    <t>丸山　聖子</t>
  </si>
  <si>
    <t>福島　大輔</t>
  </si>
  <si>
    <t>増山　誠倫</t>
  </si>
  <si>
    <t>鯨岡　啓輔</t>
  </si>
  <si>
    <t>増山　久佳</t>
  </si>
  <si>
    <t>吉田　ことみ</t>
  </si>
  <si>
    <t>塚本　敏一</t>
  </si>
  <si>
    <t>古田　慶幸</t>
  </si>
  <si>
    <t>林　忠義</t>
  </si>
  <si>
    <t>鈴木　萌</t>
  </si>
  <si>
    <t>原　理沙子</t>
  </si>
  <si>
    <t>木村　早希子</t>
  </si>
  <si>
    <t>平山　麻由子</t>
  </si>
  <si>
    <t>杉本　瑞生</t>
  </si>
  <si>
    <t>黒須　晴子</t>
  </si>
  <si>
    <t>大島　那菜</t>
  </si>
  <si>
    <t>トランプカード|ライディングクラブフジファーム|60517|トランプカード</t>
  </si>
  <si>
    <t>三治　信道</t>
  </si>
  <si>
    <t>松田　泰明</t>
  </si>
  <si>
    <t>大森　実穂</t>
  </si>
  <si>
    <t>島貫　咲雅</t>
  </si>
  <si>
    <t>高橋　茂久</t>
  </si>
  <si>
    <t>濱村　いちか</t>
  </si>
  <si>
    <t>利部　勝</t>
  </si>
  <si>
    <t>増山　陽子</t>
  </si>
  <si>
    <t>アニシナ</t>
  </si>
  <si>
    <t>ヴォルフガング</t>
  </si>
  <si>
    <t>コレガー</t>
  </si>
  <si>
    <t>ジェフティDGK</t>
  </si>
  <si>
    <t>マルコS</t>
  </si>
  <si>
    <t>カールブルー</t>
  </si>
  <si>
    <t>アバディ</t>
  </si>
  <si>
    <t>ESカセロ</t>
  </si>
  <si>
    <t>ブラックルシアン</t>
  </si>
  <si>
    <t>イコンドール</t>
  </si>
  <si>
    <t>アカペラ</t>
  </si>
  <si>
    <t>CRNコフスハーバー</t>
  </si>
  <si>
    <t>ディアーラドゥローナZ</t>
  </si>
  <si>
    <t>カリーノ</t>
  </si>
  <si>
    <t>BBトルネード</t>
  </si>
  <si>
    <t>カッサイW</t>
  </si>
  <si>
    <t>エクスリブリス</t>
  </si>
  <si>
    <t>ヴァリッセンホフ</t>
  </si>
  <si>
    <t>ビウラ</t>
  </si>
  <si>
    <t>バンディアYプレサングA</t>
  </si>
  <si>
    <t>マリアンデミューズA</t>
  </si>
  <si>
    <t>ムッシュ・サフィールⅡ</t>
  </si>
  <si>
    <t>ガレスター</t>
  </si>
  <si>
    <t>リコリス</t>
  </si>
  <si>
    <t>ホワイトイーグル</t>
  </si>
  <si>
    <t>ローヤリティー</t>
  </si>
  <si>
    <t>マエストロVG</t>
  </si>
  <si>
    <t>ベントレー・デ・キャステル</t>
  </si>
  <si>
    <t>カーラ・ブルー</t>
  </si>
  <si>
    <t>インパルスハラルド</t>
  </si>
  <si>
    <t>尾野　綺乃</t>
  </si>
  <si>
    <t>フェラーリ</t>
  </si>
  <si>
    <t>レニンゼックス</t>
  </si>
  <si>
    <t>ミラナ</t>
  </si>
  <si>
    <t>ゴールデンベリーWS</t>
  </si>
  <si>
    <t>梁川　正重</t>
  </si>
  <si>
    <t>コグバーン</t>
  </si>
  <si>
    <t>ドクターブレイン</t>
  </si>
  <si>
    <t>ラリーノ</t>
  </si>
  <si>
    <t>ヴェネチアMPL</t>
  </si>
  <si>
    <t>林　優</t>
  </si>
  <si>
    <t>ホットチョコレート</t>
  </si>
  <si>
    <t>バリアシオン</t>
  </si>
  <si>
    <t>ブリュンヒルデ</t>
  </si>
  <si>
    <t>コンタドーラ</t>
  </si>
  <si>
    <t>天舞</t>
  </si>
  <si>
    <t>エテルノK</t>
  </si>
  <si>
    <t>渡辺　瑠伊</t>
  </si>
  <si>
    <t>クイベレ　デ　リゴ</t>
  </si>
  <si>
    <t>カルタゲーナ6</t>
  </si>
  <si>
    <t>オイラノ</t>
  </si>
  <si>
    <t>フォーザビートPS</t>
  </si>
  <si>
    <t>フォーランダPS</t>
  </si>
  <si>
    <t>ザバブZ</t>
  </si>
  <si>
    <t>Zウェリーツー</t>
  </si>
  <si>
    <t>クリアカットエクストリームWS</t>
  </si>
  <si>
    <t>ディアランB</t>
  </si>
  <si>
    <t>水谷　亜紀</t>
  </si>
  <si>
    <t>パピヨンドール</t>
  </si>
  <si>
    <t>マディーライアン</t>
  </si>
  <si>
    <t>13160|東京都|戸本　一真|トモト　カズマ</t>
  </si>
  <si>
    <t>戸本　一真</t>
  </si>
  <si>
    <t>カッサイW|日本中央競馬会馬事公苑|60255|カッサイダブリュー</t>
  </si>
  <si>
    <t>7584|三重県|水谷　亜紀|ミズタニ　アキ</t>
  </si>
  <si>
    <t>8532|京都府|平尾　賢|ヒラオ　サトシ</t>
  </si>
  <si>
    <t>平尾　賢</t>
  </si>
  <si>
    <t>13695|北海道|梁川　正重|ヤナガワ　マサシゲ</t>
  </si>
  <si>
    <t>30413|埼玉県|渡辺　瑠伊|ワタナベ　ルイ</t>
  </si>
  <si>
    <t>29370|福岡県|井上　もか|イノウエ　モカ</t>
  </si>
  <si>
    <t>井上　もか</t>
  </si>
  <si>
    <t>5937|奈良県|桝井　俊樹|マスイ　トシキ</t>
  </si>
  <si>
    <t>桝井　俊樹</t>
  </si>
  <si>
    <t>28463|三重県|杉江　俊哉|スギエ　トシヤ</t>
  </si>
  <si>
    <t>杉江　俊哉</t>
  </si>
  <si>
    <t>16941|埼玉県|越野　恭介|コシノ　キョウスケ</t>
  </si>
  <si>
    <t>越野　恭介</t>
  </si>
  <si>
    <t>31439|東京都|黒澤　莉央|クロサワ　リオ</t>
  </si>
  <si>
    <t>黒澤　莉央</t>
  </si>
  <si>
    <t>29144|千葉県|小林　弥生|コバヤシ　ヤヨイ</t>
  </si>
  <si>
    <t>小林　弥生</t>
  </si>
  <si>
    <t>28351|岐阜県|小栗　麻莉乃|オグリ　マリノ</t>
  </si>
  <si>
    <t>小栗　麻莉乃</t>
  </si>
  <si>
    <t>25519|千葉県|松本　譲|マツモト　ジョウ</t>
  </si>
  <si>
    <t>松本　譲</t>
  </si>
  <si>
    <t>12188|山梨県|木村　茉里子|キムラ　マリコ</t>
  </si>
  <si>
    <t>木村　茉里子</t>
  </si>
  <si>
    <t>7316|埼玉県|西塚　重二|ニシヅカ　シゲジ</t>
  </si>
  <si>
    <t>西塚　重二</t>
  </si>
  <si>
    <t>29678|神奈川|小西　凛生|コニシ　リオ</t>
  </si>
  <si>
    <t>小西　凛生</t>
  </si>
  <si>
    <t>22733|東京都|髙田　耕平|タカダ　コウヘイ</t>
  </si>
  <si>
    <t>髙田　耕平</t>
  </si>
  <si>
    <t>28571|奈良県|櫻井　綾音|サクライ　アヤネ</t>
  </si>
  <si>
    <t>櫻井　綾音</t>
  </si>
  <si>
    <t>パピヨンドール|ベル　ホースファーム|60495|パピヨンドール</t>
  </si>
  <si>
    <t>ディアランB|エンゼル乗馬クラブ|59619|ディアランビー</t>
  </si>
  <si>
    <t>クリアカットエクストリームWS|ファナウステーブル|59963|クリアカットエクストリームダブルエス</t>
  </si>
  <si>
    <t>Zウェリーツー|HASパロミノ・ポニークラブ|61597|ゼットウェリーツー</t>
  </si>
  <si>
    <t>ドクターブレイン|早来エクワインファーム|59924|ドクターブレイン</t>
  </si>
  <si>
    <t>クイベレ　デ　リゴ|STABLE HORSE POWER|60941|クイベレデリゴ</t>
  </si>
  <si>
    <t>フォーザビートPS|STAR HORSES|61510|フォーザビートピーエス</t>
  </si>
  <si>
    <t>イコンドール|乗馬クラブクレインオリンピックパーク|60469|イコンドール</t>
  </si>
  <si>
    <t>ブラックルシアン|乗馬クラブクレインオリンピックパーク|61644|ブラックルシアン</t>
  </si>
  <si>
    <t>天舞|明松寺馬事公苑|61477|テンブ</t>
  </si>
  <si>
    <t>ガレスター|駿ホースクラブ|58569|ガレスター</t>
  </si>
  <si>
    <t>ヴァリッセンホフ|日本中央競馬会馬事公苑|60924|ヴァリッセンホフ</t>
  </si>
  <si>
    <t>ベントレー・デ・キャステル|小山乗馬クラブ|61278|ベントレーデキャステル</t>
  </si>
  <si>
    <t>インパルスハラルド|南軽井沢ライディング倶楽部|57968|インパルスハラルド</t>
  </si>
  <si>
    <t>フォーランダPS|STAR HORSES|61511|フォーランダピーエス</t>
  </si>
  <si>
    <t>ラリーノ|早来エクワインファーム|61043|ラリーノ</t>
  </si>
  <si>
    <t>ESカセロ|乗馬クラブクレインオリンピックパーク|61643|イーエスカセロ</t>
  </si>
  <si>
    <t>マリアンデミューズA|Tokaiホースパーク|59148|マリアンデミューズエー</t>
  </si>
  <si>
    <t>バリアシオン|日本中央競馬会競馬学校|58069|バリアシオン</t>
  </si>
  <si>
    <t>ムッシュ・サフィールⅡ|駿ホースクラブ|60528|ムッシュサフィールセカンド</t>
  </si>
  <si>
    <t>エクスリブリス|日本中央競馬会馬事公苑|61312|エクスリブリス</t>
  </si>
  <si>
    <t>エテルノK|座間近代乗馬クラブ|60046|エテルノケイ</t>
  </si>
  <si>
    <t>コンタドーラ|明松寺馬事公苑|58114|コンタドーラ</t>
  </si>
  <si>
    <t>オイラノ|STABLE HORSE POWER|61396|オイラノ</t>
  </si>
  <si>
    <t>CRNコフスハーバー|乗馬クラブクレイン　エクエストリアンセンター|59381|シーアールエヌコフスハーバー</t>
  </si>
  <si>
    <t>コグバーン|早来エクワインファーム|61595|コグバーン</t>
  </si>
  <si>
    <t>26124|群馬県|岡部　彰宏|オカベ　アキヒロ</t>
  </si>
  <si>
    <t>岡部　彰宏</t>
  </si>
  <si>
    <t>18817|東京都|平山　麻由子|ヒラヤマ　マユコ</t>
  </si>
  <si>
    <t>25741|京都府|豊原　愛菜|トヨハラ　アイナ</t>
  </si>
  <si>
    <t>豊原　愛菜</t>
  </si>
  <si>
    <t>28809|東京都|桑原　咲季|クワバラ　サキ</t>
  </si>
  <si>
    <t>桑原　咲季</t>
  </si>
  <si>
    <t>27498|静岡県|川口　飛鳥|カワグチ　アスカ</t>
  </si>
  <si>
    <t>川口　飛鳥</t>
  </si>
  <si>
    <t>26066|東京都|長田　元吾|オサダ　ゲンゴ</t>
  </si>
  <si>
    <t>長田　元吾</t>
  </si>
  <si>
    <t>28544|茨城県|尾野　綺乃|オノ　アヤノ</t>
  </si>
  <si>
    <t>27382|茨城県|遠藤　めい|エンドウ　メイ</t>
  </si>
  <si>
    <t>遠藤　めい</t>
  </si>
  <si>
    <t>30696|宮城県|鴇田　花奈|トキタ　ハナ</t>
  </si>
  <si>
    <t>鴇田　花奈</t>
  </si>
  <si>
    <t>28061|群馬県|田村　崇行|タムラ　タカユキ</t>
  </si>
  <si>
    <t>田村　崇行</t>
  </si>
  <si>
    <t>32773|北海道|林　優|ハヤシ　ユウ</t>
  </si>
  <si>
    <t>31288|埼玉県|西塚　心咲|ニシヅカ　ミサキ</t>
  </si>
  <si>
    <t>32737|滋賀県|改賀　佑奈|カイガ　ユウナ</t>
  </si>
  <si>
    <t>改賀　佑奈</t>
  </si>
  <si>
    <t>ゴールデンベリーWS|ファナウステーブル|61250|ゴールデンベリーダブルエス</t>
  </si>
  <si>
    <t>マルコS|八王子乗馬倶楽部|59063|マルコエス</t>
  </si>
  <si>
    <t>マエストロVG|ちばシティ乗馬クラブ|59608|マエストロブイジ</t>
  </si>
  <si>
    <t>ブリュンヒルデ|日本中央競馬会競馬学校|61496|ブリュンヒルデ</t>
  </si>
  <si>
    <t>ザバブZ|座間近代乗馬クラブ|61316|ザバブゼット</t>
  </si>
  <si>
    <t>カーラ・ブルー|ＮＧＫ　Ｈorse　paz.|60249|カーラブルー</t>
  </si>
  <si>
    <t>フェラーリ|ホースランチ KYRA|57109|フェラーリ</t>
  </si>
  <si>
    <t>カールブルー|riding team Regroup|61157|カールブルー</t>
  </si>
  <si>
    <t>カルタゲーナ6|STABLE HORSE POWER|58107|カルタゲーナシックス</t>
  </si>
  <si>
    <t>ヴェネチアMPL|早来エクワインファーム|60713|ヴェネチアエムピーエル</t>
  </si>
  <si>
    <t>ディアーラドゥローナZ|乗馬クラブ　アトラス|58167|ディアーラドゥローナゼット</t>
  </si>
  <si>
    <t>ホットチョコレート|早来エクワインファーム|57320|ホットチョコレート</t>
  </si>
  <si>
    <t>レニンゼックス|駿ホースクラブ|57096|レニンゼックス</t>
  </si>
  <si>
    <t>26988|長野県|衛藤　みのり|エトウ　ミノリ</t>
  </si>
  <si>
    <t>衛藤　みのり</t>
  </si>
  <si>
    <t>329|東京都|細野　茂之|ホソノ　シゲユキ</t>
  </si>
  <si>
    <t>細野　茂之</t>
  </si>
  <si>
    <t>31349|岐阜県|尾藤　友美|ビトウ　トモミ</t>
  </si>
  <si>
    <t>尾藤　友美</t>
  </si>
  <si>
    <t>33752|東京都|安孫子　剛|アビコ　タケシ</t>
  </si>
  <si>
    <t>安孫子　剛</t>
  </si>
  <si>
    <t>32594|福岡県|渡部　永遠|ワタベ　トワ</t>
  </si>
  <si>
    <t>渡部　永遠</t>
  </si>
  <si>
    <t>31647|福島県|西畑　康成|ニシハタ　コウセイ</t>
  </si>
  <si>
    <t>西畑　康成</t>
  </si>
  <si>
    <t>32719|神奈川|西村　ひより|ニシムラ　ヒヨリ</t>
  </si>
  <si>
    <t>西村　ひより</t>
  </si>
  <si>
    <t>28784|茨城県|目黒　直美|メグロ　ナオミ</t>
  </si>
  <si>
    <t>目黒　直美</t>
  </si>
  <si>
    <t>24185|埼玉県|室屋　篤史|ムロヤ　アツシ</t>
  </si>
  <si>
    <t>室屋　篤史</t>
  </si>
  <si>
    <t>32221|東京都|紺野　健太郎|コンノ　ケンタロウ</t>
  </si>
  <si>
    <t>紺野　健太郎</t>
  </si>
  <si>
    <t>20448|千葉県|山野井　祐子|ヤマノイ　ユウコ</t>
  </si>
  <si>
    <t>山野井　祐子</t>
  </si>
  <si>
    <t>33125|福島県|矢内　玖俐歩|ヤナイ　クリフ</t>
  </si>
  <si>
    <t>矢内　玖俐歩</t>
  </si>
  <si>
    <t>33197|奈良県|森川　雅大|モリカワ　マサキ</t>
  </si>
  <si>
    <t>森川　雅大</t>
  </si>
  <si>
    <t>ミラナ|ファナウステーブル|59162|ミラナ</t>
  </si>
  <si>
    <t>マディーライアン|ペガサス乗馬クラブ|57765|マディーライアン</t>
  </si>
  <si>
    <t>ビウラ|日本中央競馬会馬事公苑|61583|ビウラ</t>
  </si>
  <si>
    <t>慈梛|明松寺馬事公苑|58681|ジナ</t>
  </si>
  <si>
    <t>慈梛</t>
  </si>
  <si>
    <t>アニシナ|八王子乗馬倶楽部|61214|アニシナ</t>
  </si>
  <si>
    <t>バンディアYプレサングA|Tokaiホースパーク|59147|バンディアワイプレサングエー</t>
  </si>
  <si>
    <t>コレガー|八王子乗馬倶楽部|61600|コレガー</t>
  </si>
  <si>
    <t>ローヤリティー|北総乗馬クラブ|60986|ローヤリティー</t>
  </si>
  <si>
    <t>ホワイトイーグル|大瀧馬事苑|60745|ホワイトイーグル</t>
  </si>
  <si>
    <t>BBトルネード|秦野国際乗馬クラブ|57021|ビービートルネード</t>
  </si>
  <si>
    <t>アバディ|ヨシザワ　ライディングファーム|56300|アバディ</t>
  </si>
  <si>
    <t>リコリス|駿ホースクラブ|54942|リコリス</t>
  </si>
  <si>
    <t>ヴォルフガング|八王子乗馬倶楽部|58732|ヴォルフガング</t>
  </si>
  <si>
    <t>アカペラ|乗馬クラブクレイン伊奈|61272|アカペラ</t>
  </si>
  <si>
    <t>カリーノ|アバロン・ ヒルサイドファーム|58157|カリーノ</t>
  </si>
  <si>
    <t>ジェフティDGK|八王子乗馬倶楽部|60576|ジェフティディジーケー</t>
  </si>
  <si>
    <t>廬山</t>
  </si>
  <si>
    <t>キャベンディッシュYRF</t>
  </si>
  <si>
    <t>16738|茨城県|吉澤　彩|ヨシザワ　ヒカリ</t>
  </si>
  <si>
    <t>吉澤　彩</t>
  </si>
  <si>
    <t>キャベンディッシュYRF|ヨシザワ　ライディングファーム|60393|キャベンディッシュワイアールエフ</t>
  </si>
  <si>
    <t>廬山|小山乗馬クラブ|60750|ロザン</t>
  </si>
  <si>
    <t>2026 Fuji Horse Show Autumn Grand Prix</t>
    <phoneticPr fontId="10" type="Hiragana"/>
  </si>
  <si>
    <t>★★★</t>
    <phoneticPr fontId="10"/>
  </si>
  <si>
    <t>オータム杯</t>
    <rPh sb="4" eb="5">
      <t>ハイ</t>
    </rPh>
    <phoneticPr fontId="7"/>
  </si>
  <si>
    <t>中障害D</t>
    <rPh sb="0" eb="1">
      <t>ちゅう</t>
    </rPh>
    <rPh sb="1" eb="3">
      <t>しょうがい</t>
    </rPh>
    <phoneticPr fontId="10" type="Hiragana"/>
  </si>
  <si>
    <t>Ｍ－Ｄ級障害飛越競技</t>
    <phoneticPr fontId="10"/>
  </si>
  <si>
    <t>★★★</t>
    <phoneticPr fontId="10"/>
  </si>
  <si>
    <t>CWD杯</t>
    <rPh sb="3" eb="4">
      <t>ハイ</t>
    </rPh>
    <phoneticPr fontId="10"/>
  </si>
  <si>
    <t>中障害B</t>
    <phoneticPr fontId="10"/>
  </si>
  <si>
    <t>フジ中障害A飛越競技</t>
    <rPh sb="2" eb="5">
      <t>チュウショウガイ</t>
    </rPh>
    <rPh sb="6" eb="8">
      <t>ヒエツ</t>
    </rPh>
    <rPh sb="8" eb="10">
      <t>キョウギ</t>
    </rPh>
    <phoneticPr fontId="3"/>
  </si>
  <si>
    <t>中障害A</t>
    <rPh sb="0" eb="2">
      <t>ショウガイ</t>
    </rPh>
    <phoneticPr fontId="10"/>
  </si>
  <si>
    <t>エドグリーヴァ</t>
  </si>
  <si>
    <t>STAR HORSES</t>
  </si>
  <si>
    <t>スーリアラヴィ</t>
  </si>
  <si>
    <t>アルミココ</t>
  </si>
  <si>
    <t>伊部　美予子</t>
  </si>
  <si>
    <t>カステッロ</t>
  </si>
  <si>
    <t>アデラヴィーナス</t>
  </si>
  <si>
    <t>小林　暁子</t>
  </si>
  <si>
    <t>ハッピースマイル</t>
  </si>
  <si>
    <t>グラスター</t>
  </si>
  <si>
    <t>-</t>
  </si>
  <si>
    <t>フジホースライディングクラブ</t>
  </si>
  <si>
    <t>AJ・ナイト</t>
  </si>
  <si>
    <t>藤田　魁馬</t>
  </si>
  <si>
    <t>フリージア</t>
  </si>
  <si>
    <t>カルチェラタン</t>
  </si>
  <si>
    <t>藤田　麻夢</t>
  </si>
  <si>
    <t>ローゼスドリーム</t>
  </si>
  <si>
    <t>グレイスドリーム</t>
  </si>
  <si>
    <t>溝口　莉沙</t>
  </si>
  <si>
    <t>ブリッツ</t>
  </si>
  <si>
    <t>メアラス</t>
  </si>
  <si>
    <t>ペリドット</t>
  </si>
  <si>
    <t>鈴木　裕介</t>
  </si>
  <si>
    <t>ワンダークラッシー</t>
  </si>
  <si>
    <t>北駿ホースヴィラ</t>
  </si>
  <si>
    <t>マデスカ</t>
  </si>
  <si>
    <t>スプレンディッド・アーク</t>
  </si>
  <si>
    <t>ミサキシャンティ</t>
  </si>
  <si>
    <t>アリス</t>
  </si>
  <si>
    <t>筑波スカイラインスティーブル</t>
  </si>
  <si>
    <t>ジャバ</t>
  </si>
  <si>
    <t>ハイネケン</t>
  </si>
  <si>
    <t>オーロラオジョウ</t>
  </si>
  <si>
    <t>キャリーズセブン</t>
  </si>
  <si>
    <t>チャルーセム</t>
  </si>
  <si>
    <t>北総乗馬クラブ</t>
  </si>
  <si>
    <t>レヴィノ</t>
  </si>
  <si>
    <t>ラストドラフト</t>
  </si>
  <si>
    <t>ラーグルフ</t>
  </si>
  <si>
    <t>‐</t>
  </si>
  <si>
    <t>ヴィンセント</t>
  </si>
  <si>
    <t>トモロスリリング</t>
  </si>
  <si>
    <t>ホクソウラン</t>
  </si>
  <si>
    <t>佐伯　華蓮</t>
  </si>
  <si>
    <t>ララクレール</t>
  </si>
  <si>
    <t>八王子乗馬倶楽部</t>
  </si>
  <si>
    <t>蘭丸</t>
  </si>
  <si>
    <t>坪田　正輝</t>
  </si>
  <si>
    <t>コスタブラバ</t>
  </si>
  <si>
    <t>ブラックバタフライ</t>
  </si>
  <si>
    <t>ペガサス乗馬クラブ</t>
  </si>
  <si>
    <t>ガライヤ</t>
  </si>
  <si>
    <t>カスカヴェル</t>
  </si>
  <si>
    <t>エヴァンダ</t>
  </si>
  <si>
    <t>イクスプロージョン</t>
  </si>
  <si>
    <t>ライディングクラブモーヴァン</t>
  </si>
  <si>
    <t>ライジングシャイン</t>
  </si>
  <si>
    <t>乗馬クラブ　リバーサイドステーブル浜北</t>
  </si>
  <si>
    <t>佃　日出彦</t>
    <rPh sb="0" eb="1">
      <t>ツクダ</t>
    </rPh>
    <rPh sb="2" eb="5">
      <t>ヒデヒコ</t>
    </rPh>
    <phoneticPr fontId="2"/>
  </si>
  <si>
    <t>富嶽</t>
    <rPh sb="0" eb="2">
      <t>フガク</t>
    </rPh>
    <phoneticPr fontId="2" alignment="noControl"/>
  </si>
  <si>
    <t>アルデバランZ</t>
  </si>
  <si>
    <t>岡本ライディングクラブJAPAN</t>
  </si>
  <si>
    <t>Ksenia Ulanova</t>
  </si>
  <si>
    <t>ジューン</t>
  </si>
  <si>
    <t>ココ</t>
  </si>
  <si>
    <t>フォンガンツ</t>
  </si>
  <si>
    <t>コンスタッカーラPS</t>
  </si>
  <si>
    <t>AOステーブル</t>
  </si>
  <si>
    <t>ジュノンAO</t>
  </si>
  <si>
    <t>秋山　花吏奈</t>
  </si>
  <si>
    <t>プルプァズィガーZ</t>
  </si>
  <si>
    <t>ラッキーリングス・M</t>
  </si>
  <si>
    <t>Horses' New Stage</t>
  </si>
  <si>
    <t>二宮　裕哉</t>
  </si>
  <si>
    <t>インフィデル</t>
  </si>
  <si>
    <t>成田乗馬クラブ</t>
  </si>
  <si>
    <t>エンパイア</t>
  </si>
  <si>
    <t>コアインパルス</t>
  </si>
  <si>
    <t>ビリーカート</t>
  </si>
  <si>
    <t>ウィンクルム</t>
  </si>
  <si>
    <t>フレデリカ</t>
  </si>
  <si>
    <t>アーチー</t>
  </si>
  <si>
    <t>乗馬クラブクレイン神奈川</t>
  </si>
  <si>
    <t>バニラジーヴァル</t>
  </si>
  <si>
    <t>ティラミス</t>
  </si>
  <si>
    <t>フォルティス</t>
  </si>
  <si>
    <t>リモーネ</t>
  </si>
  <si>
    <t>マグノオンゾウシ</t>
  </si>
  <si>
    <t>乗馬クラブクレイン東京</t>
  </si>
  <si>
    <t>クロニクルノヴァ</t>
  </si>
  <si>
    <t>トイボックス</t>
  </si>
  <si>
    <t>ミッキースピリット</t>
  </si>
  <si>
    <t>ライーズ</t>
  </si>
  <si>
    <t>riding team Regroup</t>
  </si>
  <si>
    <t>カイレンバーリア</t>
  </si>
  <si>
    <t>ドムヘァ</t>
  </si>
  <si>
    <t>増山　誠倫</t>
    <rPh sb="0" eb="2">
      <t>マシヤマ</t>
    </rPh>
    <rPh sb="3" eb="4">
      <t>タカ</t>
    </rPh>
    <rPh sb="4" eb="5">
      <t>ミチ</t>
    </rPh>
    <phoneticPr fontId="2"/>
  </si>
  <si>
    <t>廬山</t>
    <rPh sb="0" eb="2">
      <t>ロザン</t>
    </rPh>
    <phoneticPr fontId="2" alignment="noControl"/>
  </si>
  <si>
    <t>小山乗馬クラブ</t>
  </si>
  <si>
    <t>キャンドゥライト</t>
  </si>
  <si>
    <t>シャトレ</t>
  </si>
  <si>
    <t>メレリオ・ディ・メレー</t>
  </si>
  <si>
    <t>ウィングマン</t>
  </si>
  <si>
    <t>エルピス</t>
  </si>
  <si>
    <t>堀田　駿</t>
  </si>
  <si>
    <t>ファンボーイHFP</t>
  </si>
  <si>
    <t>Horsequad</t>
  </si>
  <si>
    <t>中垣　真歩</t>
  </si>
  <si>
    <t>スーパーカブHQD</t>
  </si>
  <si>
    <t>ラフィーニャ</t>
  </si>
  <si>
    <t>NGK Horse Paz.</t>
  </si>
  <si>
    <t>ベルナルドI</t>
  </si>
  <si>
    <t>乗馬クラブクレイン伊奈</t>
  </si>
  <si>
    <t>ブルーカップ</t>
  </si>
  <si>
    <t>ハーベスト</t>
  </si>
  <si>
    <t>ライディングクラブフジファーム</t>
  </si>
  <si>
    <t>拓殖大学馬術部</t>
  </si>
  <si>
    <t>ジェノベーゼ</t>
  </si>
  <si>
    <t>カレア</t>
  </si>
  <si>
    <t>ブルーダイヤ</t>
  </si>
  <si>
    <t>クールモンテ</t>
  </si>
  <si>
    <t>-</t>
    <phoneticPr fontId="10"/>
  </si>
  <si>
    <t>-</t>
    <phoneticPr fontId="10"/>
  </si>
  <si>
    <t>海和　功樹</t>
  </si>
  <si>
    <t>デイリー4</t>
  </si>
  <si>
    <t>木下　仁</t>
  </si>
  <si>
    <t>貝原　大地</t>
  </si>
  <si>
    <t>林　義昌</t>
  </si>
  <si>
    <t>千葉　奈鶴</t>
  </si>
  <si>
    <t>鈴木　良明</t>
  </si>
  <si>
    <t>鈴木　正紀</t>
  </si>
  <si>
    <t>Sグランツ</t>
  </si>
  <si>
    <t>横田　真吾</t>
  </si>
  <si>
    <t>渡部　遼大</t>
  </si>
  <si>
    <t>本間　唯純</t>
  </si>
  <si>
    <t>宮井　絢佳</t>
  </si>
  <si>
    <t>二位関　奏人</t>
  </si>
  <si>
    <t>渡邊　麻夏</t>
  </si>
  <si>
    <t>須藤　すみれ</t>
  </si>
  <si>
    <t>ルーニー21</t>
  </si>
  <si>
    <t>馬夢世</t>
  </si>
  <si>
    <t>出澤　真理子</t>
  </si>
  <si>
    <t>アタビズム</t>
  </si>
  <si>
    <t>WD</t>
    <phoneticPr fontId="10"/>
  </si>
  <si>
    <t>静岡乗馬クラブ</t>
  </si>
  <si>
    <t>ミケランジェロ</t>
  </si>
  <si>
    <t>小林　穂乃花</t>
  </si>
  <si>
    <t>松岡　健心</t>
  </si>
  <si>
    <t>カービー</t>
  </si>
  <si>
    <t>増田　惺太</t>
  </si>
  <si>
    <t>OP</t>
  </si>
  <si>
    <t>小野　敬司</t>
  </si>
  <si>
    <t>スカイシーカー</t>
  </si>
  <si>
    <t>福田　倫子</t>
  </si>
  <si>
    <t>小野　晴美</t>
  </si>
  <si>
    <t>黒石　秀紀</t>
  </si>
  <si>
    <t>吉川　隆</t>
  </si>
  <si>
    <t>伊藤　靖志</t>
  </si>
  <si>
    <t>川崎　真実</t>
  </si>
  <si>
    <t>吉岡　容子</t>
  </si>
  <si>
    <t>千田　陽菜</t>
  </si>
  <si>
    <t>高橋　陽美</t>
  </si>
  <si>
    <t>王　洋軒</t>
  </si>
  <si>
    <t>小川　秀生</t>
  </si>
  <si>
    <t>藤田　佳代子</t>
  </si>
  <si>
    <t>佐々木　愛</t>
  </si>
  <si>
    <t>オリエント馬事センター</t>
  </si>
  <si>
    <t>渡邉　陽和</t>
  </si>
  <si>
    <t>内山　国宝</t>
  </si>
  <si>
    <t>鈴木　絢子</t>
  </si>
  <si>
    <t>林　清子</t>
  </si>
  <si>
    <t>杉野　ゆみ</t>
  </si>
  <si>
    <t>岩崎　優希</t>
  </si>
  <si>
    <t>梅澤　美和子</t>
  </si>
  <si>
    <t>ごま丸</t>
  </si>
  <si>
    <t>植野　正子</t>
  </si>
  <si>
    <t>山本　久美子</t>
  </si>
  <si>
    <t>吉澤　春花</t>
  </si>
  <si>
    <t>榎本　恵子</t>
  </si>
  <si>
    <t>キートス・サクラ</t>
  </si>
  <si>
    <t>佐藤　裕昭</t>
  </si>
  <si>
    <t>服部　亮太</t>
  </si>
  <si>
    <t>宇佐美　真澄</t>
  </si>
  <si>
    <t>遠宝17</t>
  </si>
  <si>
    <t>西村　愛由</t>
  </si>
  <si>
    <t>岩崎　優馬</t>
  </si>
  <si>
    <t>野々川　颯華</t>
  </si>
  <si>
    <t>紅鈴</t>
  </si>
  <si>
    <t>大森　康行</t>
  </si>
  <si>
    <t>飯島　真紀</t>
  </si>
  <si>
    <t>戸田　侑汰</t>
  </si>
  <si>
    <t>カスミチャン</t>
  </si>
  <si>
    <t>中塚　昌利</t>
  </si>
  <si>
    <t>蒋　心宇</t>
  </si>
  <si>
    <t>フェアレディー</t>
  </si>
  <si>
    <t>WD</t>
  </si>
  <si>
    <t>小山　知美</t>
  </si>
  <si>
    <t>櫻井　飛鳥</t>
  </si>
  <si>
    <t>堀内　志奈</t>
  </si>
  <si>
    <t>古賀　有希</t>
  </si>
  <si>
    <t>遠宝16</t>
  </si>
  <si>
    <t>熊野八咫烏</t>
  </si>
  <si>
    <t>西浦　芽衣</t>
  </si>
  <si>
    <t>星娘</t>
  </si>
  <si>
    <t>紙本　萌々</t>
  </si>
  <si>
    <t>林　高志</t>
  </si>
  <si>
    <t>明渡　則和</t>
  </si>
  <si>
    <t>谷崎　和寿</t>
  </si>
  <si>
    <t>谷崎　文寿</t>
  </si>
  <si>
    <t>山下　永聖</t>
  </si>
  <si>
    <t>中村　沙也加</t>
  </si>
  <si>
    <t>紅愛</t>
  </si>
  <si>
    <t>ＯＰ</t>
  </si>
  <si>
    <t>村上　篤</t>
  </si>
  <si>
    <t>武井　史恵</t>
  </si>
  <si>
    <t>陳　最</t>
  </si>
  <si>
    <t>三田村　忍</t>
  </si>
  <si>
    <t>渡邊　菜々美</t>
  </si>
  <si>
    <t>紅陵</t>
  </si>
  <si>
    <t>クリッチェ・デ・ロワ</t>
  </si>
  <si>
    <t>モキハナ</t>
  </si>
  <si>
    <t>ハリーポッター・D</t>
  </si>
  <si>
    <t>やまがた乗馬クラブ</t>
  </si>
  <si>
    <t>ユイマヴェーラ</t>
  </si>
  <si>
    <t>藤田　充</t>
  </si>
  <si>
    <t>當間　桃子</t>
  </si>
  <si>
    <t>増山　煌侑</t>
  </si>
  <si>
    <t>ドラゴネラ</t>
  </si>
  <si>
    <t>北井　聖人</t>
  </si>
  <si>
    <t>アシェンダ乗馬学校</t>
  </si>
  <si>
    <t>荒木　紀迪</t>
  </si>
  <si>
    <t>乗馬クラブニューシーズン御殿場</t>
  </si>
  <si>
    <t>宮井　果音</t>
  </si>
  <si>
    <t>阿部　成海</t>
  </si>
  <si>
    <t>上原　健司郎</t>
  </si>
  <si>
    <t>小泉　徹也</t>
  </si>
  <si>
    <t>森　裕悟</t>
  </si>
  <si>
    <t>吉田　真理恵</t>
  </si>
  <si>
    <t>佃　日出彦</t>
  </si>
  <si>
    <t>武尊</t>
  </si>
  <si>
    <t>2026/9/11  17:30版</t>
    <rPh sb="16" eb="17">
      <t>ハン</t>
    </rPh>
    <phoneticPr fontId="10"/>
  </si>
  <si>
    <t>津田　保乃香</t>
  </si>
  <si>
    <t>ドゥラメンタ</t>
  </si>
  <si>
    <t>アレイオン</t>
  </si>
  <si>
    <t>2026/9/11  18:00版</t>
    <rPh sb="16" eb="17">
      <t>ハン</t>
    </rPh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</si>
</sst>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2" formatCode="_ &quot;¥&quot;* #,##0_ ;_ &quot;¥&quot;* \-#,##0_ ;_ &quot;¥&quot;* &quot;-&quot;_ ;_ @_ "/>
    <numFmt numFmtId="176" formatCode="0&quot;ｍ&quot;"/>
    <numFmt numFmtId="177" formatCode="&quot;基準&quot;\A"/>
    <numFmt numFmtId="178" formatCode="0&quot;m&quot;"/>
    <numFmt numFmtId="179" formatCode="0&quot;秒&quot;"/>
    <numFmt numFmtId="180" formatCode="0&quot;条&quot;"/>
    <numFmt numFmtId="181" formatCode="#,##0.00_);[Red]\(#,##0.00\)"/>
    <numFmt numFmtId="182" formatCode="0_);[Red]\(0\)"/>
    <numFmt numFmtId="183" formatCode="00000"/>
    <numFmt numFmtId="184" formatCode="&quot;第 &quot;#&quot; 競技&quot;"/>
  </numFmts>
  <fonts count="44">
    <font>
      <sz val="10"/>
      <color indexed="8"/>
      <name val="ＭＳ ゴシック"/>
      <family val="3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b/>
      <sz val="10"/>
      <color indexed="8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Osaka"/>
      <family val="3"/>
      <charset val="128"/>
    </font>
    <font>
      <sz val="9"/>
      <name val="ＭＳ Ｐゴシック"/>
      <family val="3"/>
      <charset val="128"/>
    </font>
    <font>
      <u/>
      <sz val="12"/>
      <name val="ＭＳ Ｐゴシック"/>
      <family val="3"/>
      <charset val="128"/>
    </font>
    <font>
      <sz val="12"/>
      <name val="ＭＳ Ｐゴシック"/>
      <family val="3"/>
      <charset val="128"/>
    </font>
    <font>
      <u/>
      <sz val="10"/>
      <color indexed="8"/>
      <name val="ＭＳ Ｐゴシック"/>
      <family val="3"/>
      <charset val="128"/>
    </font>
    <font>
      <b/>
      <u/>
      <sz val="12"/>
      <color indexed="8"/>
      <name val="ＭＳ Ｐゴシック"/>
      <family val="3"/>
      <charset val="128"/>
    </font>
    <font>
      <sz val="8"/>
      <color indexed="8"/>
      <name val="ＭＳ Ｐゴシック"/>
      <family val="3"/>
      <charset val="128"/>
    </font>
    <font>
      <sz val="10"/>
      <name val="ＭＳ ゴシック"/>
      <family val="3"/>
    </font>
    <font>
      <b/>
      <sz val="10"/>
      <name val="ＭＳ ゴシック"/>
      <family val="3"/>
    </font>
    <font>
      <b/>
      <sz val="14"/>
      <name val="ＭＳ Ｐゴシック"/>
      <family val="3"/>
      <charset val="128"/>
    </font>
    <font>
      <sz val="6"/>
      <name val="ＭＳ ゴシック"/>
      <family val="3"/>
    </font>
    <font>
      <sz val="8"/>
      <name val="ＭＳ ゴシック"/>
      <family val="3"/>
    </font>
    <font>
      <b/>
      <sz val="11"/>
      <color indexed="8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indexed="8"/>
      <name val="ＭＳ ゴシック"/>
      <family val="3"/>
    </font>
    <font>
      <sz val="11"/>
      <name val="ＭＳ Ｐゴシック"/>
      <family val="3"/>
      <charset val="128"/>
      <scheme val="minor"/>
    </font>
    <font>
      <sz val="11"/>
      <color indexed="8"/>
      <name val="ＭＳ Ｐゴシック"/>
      <family val="3"/>
      <charset val="128"/>
    </font>
    <font>
      <b/>
      <sz val="14"/>
      <color indexed="8"/>
      <name val="HG創英角ﾎﾟｯﾌﾟ体"/>
      <family val="3"/>
      <charset val="128"/>
    </font>
    <font>
      <sz val="16"/>
      <color indexed="8"/>
      <name val="ＭＳ ゴシック"/>
      <family val="3"/>
    </font>
    <font>
      <sz val="16"/>
      <color indexed="8"/>
      <name val="ＭＳ ゴシック"/>
      <family val="3"/>
      <charset val="128"/>
    </font>
    <font>
      <sz val="11"/>
      <color indexed="8"/>
      <name val="ＭＳ Ｐゴシック"/>
      <family val="3"/>
      <charset val="128"/>
      <scheme val="minor"/>
    </font>
    <font>
      <sz val="11"/>
      <color indexed="8"/>
      <name val="ＭＳ ゴシック"/>
      <family val="3"/>
    </font>
    <font>
      <sz val="11"/>
      <name val="ＭＳ ゴシック"/>
      <family val="3"/>
    </font>
    <font>
      <b/>
      <u/>
      <sz val="12"/>
      <color rgb="FFFF0000"/>
      <name val="ＭＳ Ｐゴシック"/>
      <family val="3"/>
      <charset val="128"/>
    </font>
    <font>
      <b/>
      <sz val="10"/>
      <name val="ＭＳ ゴシック"/>
      <family val="3"/>
      <charset val="128"/>
    </font>
    <font>
      <sz val="10"/>
      <color rgb="FF000000"/>
      <name val="ＭＳ ゴシック"/>
      <family val="3"/>
      <charset val="128"/>
    </font>
    <font>
      <sz val="11"/>
      <color theme="1"/>
      <name val="游ゴシック"/>
      <family val="3"/>
      <charset val="128"/>
    </font>
  </fonts>
  <fills count="24">
    <fill>
      <patternFill patternType="none"/>
    </fill>
    <fill>
      <patternFill patternType="gray125"/>
    </fill>
    <fill>
      <patternFill patternType="solid">
        <fgColor indexed="12"/>
        <bgColor indexed="8"/>
      </patternFill>
    </fill>
    <fill>
      <patternFill patternType="solid">
        <fgColor indexed="11"/>
        <bgColor indexed="8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indexed="8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</borders>
  <cellStyleXfs count="57">
    <xf numFmtId="0" fontId="0" fillId="0" borderId="0" applyFill="0" applyProtection="0">
      <alignment vertical="center"/>
    </xf>
    <xf numFmtId="0" fontId="13" fillId="0" borderId="0"/>
    <xf numFmtId="0" fontId="14" fillId="0" borderId="0">
      <alignment vertical="center"/>
    </xf>
    <xf numFmtId="0" fontId="29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9" fillId="0" borderId="0">
      <alignment vertical="center"/>
    </xf>
    <xf numFmtId="0" fontId="31" fillId="0" borderId="0" applyFill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33" fillId="0" borderId="0" applyFill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14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361">
    <xf numFmtId="0" fontId="0" fillId="0" borderId="0" xfId="0" applyFill="1" applyProtection="1">
      <alignment vertical="center"/>
    </xf>
    <xf numFmtId="0" fontId="16" fillId="0" borderId="0" xfId="1" applyFont="1"/>
    <xf numFmtId="0" fontId="16" fillId="0" borderId="0" xfId="1" applyFont="1" applyProtection="1">
      <protection hidden="1"/>
    </xf>
    <xf numFmtId="0" fontId="12" fillId="0" borderId="0" xfId="0" applyFont="1" applyFill="1" applyAlignment="1" applyProtection="1"/>
    <xf numFmtId="0" fontId="12" fillId="0" borderId="0" xfId="0" applyFont="1" applyFill="1" applyAlignment="1" applyProtection="1">
      <alignment horizontal="right"/>
    </xf>
    <xf numFmtId="0" fontId="12" fillId="4" borderId="3" xfId="0" applyFont="1" applyFill="1" applyBorder="1" applyAlignment="1" applyProtection="1">
      <alignment horizontal="right"/>
      <protection locked="0"/>
    </xf>
    <xf numFmtId="14" fontId="19" fillId="0" borderId="0" xfId="0" applyNumberFormat="1" applyFont="1" applyFill="1" applyAlignment="1" applyProtection="1">
      <alignment horizontal="left"/>
      <protection locked="0"/>
    </xf>
    <xf numFmtId="0" fontId="11" fillId="0" borderId="0" xfId="0" applyFont="1" applyFill="1" applyAlignment="1" applyProtection="1">
      <protection locked="0"/>
    </xf>
    <xf numFmtId="0" fontId="20" fillId="0" borderId="0" xfId="0" applyFont="1" applyFill="1" applyAlignment="1" applyProtection="1">
      <alignment horizontal="left"/>
    </xf>
    <xf numFmtId="0" fontId="17" fillId="0" borderId="0" xfId="1" applyFont="1"/>
    <xf numFmtId="184" fontId="19" fillId="0" borderId="0" xfId="0" applyNumberFormat="1" applyFont="1" applyFill="1" applyAlignment="1" applyProtection="1">
      <alignment horizontal="right" shrinkToFit="1"/>
    </xf>
    <xf numFmtId="0" fontId="21" fillId="0" borderId="0" xfId="0" applyFont="1" applyFill="1" applyAlignment="1" applyProtection="1">
      <alignment horizontal="right"/>
    </xf>
    <xf numFmtId="0" fontId="21" fillId="0" borderId="0" xfId="0" applyFont="1" applyFill="1" applyAlignment="1" applyProtection="1"/>
    <xf numFmtId="0" fontId="13" fillId="0" borderId="0" xfId="1" applyAlignment="1">
      <alignment horizontal="right"/>
    </xf>
    <xf numFmtId="0" fontId="16" fillId="0" borderId="6" xfId="1" applyFont="1" applyBorder="1" applyAlignment="1">
      <alignment horizontal="center" vertical="center"/>
    </xf>
    <xf numFmtId="0" fontId="16" fillId="0" borderId="7" xfId="1" applyFont="1" applyBorder="1" applyAlignment="1">
      <alignment horizontal="center" vertical="center"/>
    </xf>
    <xf numFmtId="1" fontId="14" fillId="0" borderId="7" xfId="1" applyNumberFormat="1" applyFont="1" applyBorder="1" applyAlignment="1" applyProtection="1">
      <alignment horizontal="center" vertical="center" shrinkToFit="1"/>
      <protection locked="0"/>
    </xf>
    <xf numFmtId="1" fontId="14" fillId="0" borderId="7" xfId="1" applyNumberFormat="1" applyFont="1" applyBorder="1" applyAlignment="1" applyProtection="1">
      <alignment vertical="center" shrinkToFit="1"/>
      <protection locked="0"/>
    </xf>
    <xf numFmtId="183" fontId="14" fillId="0" borderId="6" xfId="1" applyNumberFormat="1" applyFont="1" applyBorder="1" applyAlignment="1">
      <alignment horizontal="center" vertical="center" shrinkToFit="1"/>
    </xf>
    <xf numFmtId="0" fontId="16" fillId="0" borderId="0" xfId="1" applyFont="1" applyAlignment="1">
      <alignment horizontal="left" vertical="center"/>
    </xf>
    <xf numFmtId="0" fontId="22" fillId="0" borderId="0" xfId="0" applyFont="1" applyFill="1" applyProtection="1">
      <alignment vertical="center"/>
    </xf>
    <xf numFmtId="1" fontId="13" fillId="0" borderId="8" xfId="0" applyNumberFormat="1" applyFont="1" applyFill="1" applyBorder="1" applyAlignment="1" applyProtection="1">
      <alignment horizontal="left" vertical="center" shrinkToFit="1"/>
      <protection locked="0"/>
    </xf>
    <xf numFmtId="181" fontId="18" fillId="0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8" xfId="0" applyFont="1" applyFill="1" applyBorder="1" applyAlignment="1" applyProtection="1">
      <alignment horizontal="left" vertical="center" shrinkToFit="1"/>
      <protection locked="0"/>
    </xf>
    <xf numFmtId="0" fontId="23" fillId="0" borderId="0" xfId="0" applyFont="1" applyFill="1" applyProtection="1">
      <alignment vertical="center"/>
    </xf>
    <xf numFmtId="0" fontId="22" fillId="0" borderId="0" xfId="0" applyFont="1" applyFill="1" applyAlignment="1" applyProtection="1"/>
    <xf numFmtId="0" fontId="22" fillId="0" borderId="0" xfId="0" applyFont="1" applyFill="1" applyAlignment="1" applyProtection="1">
      <alignment horizontal="right"/>
    </xf>
    <xf numFmtId="0" fontId="22" fillId="2" borderId="3" xfId="0" applyFont="1" applyFill="1" applyBorder="1" applyAlignment="1" applyProtection="1">
      <alignment horizontal="right"/>
    </xf>
    <xf numFmtId="0" fontId="22" fillId="0" borderId="0" xfId="0" applyFont="1" applyFill="1" applyAlignment="1" applyProtection="1">
      <alignment horizontal="center"/>
    </xf>
    <xf numFmtId="0" fontId="22" fillId="0" borderId="3" xfId="0" applyFont="1" applyFill="1" applyBorder="1" applyAlignment="1" applyProtection="1">
      <alignment horizontal="left"/>
    </xf>
    <xf numFmtId="0" fontId="22" fillId="0" borderId="3" xfId="0" applyFont="1" applyFill="1" applyBorder="1" applyAlignment="1" applyProtection="1"/>
    <xf numFmtId="0" fontId="23" fillId="0" borderId="0" xfId="0" applyFont="1" applyFill="1" applyAlignment="1" applyProtection="1"/>
    <xf numFmtId="0" fontId="22" fillId="0" borderId="0" xfId="0" applyFont="1" applyFill="1" applyAlignment="1" applyProtection="1">
      <protection locked="0"/>
    </xf>
    <xf numFmtId="0" fontId="23" fillId="0" borderId="3" xfId="0" applyFont="1" applyFill="1" applyBorder="1" applyAlignment="1" applyProtection="1">
      <alignment horizontal="center"/>
    </xf>
    <xf numFmtId="0" fontId="22" fillId="0" borderId="3" xfId="0" applyFont="1" applyFill="1" applyBorder="1" applyAlignment="1" applyProtection="1">
      <alignment horizontal="center" shrinkToFit="1"/>
      <protection locked="0"/>
    </xf>
    <xf numFmtId="176" fontId="22" fillId="0" borderId="3" xfId="0" applyNumberFormat="1" applyFont="1" applyFill="1" applyBorder="1" applyAlignment="1" applyProtection="1">
      <alignment horizontal="left"/>
      <protection locked="0"/>
    </xf>
    <xf numFmtId="0" fontId="22" fillId="0" borderId="3" xfId="0" applyFont="1" applyFill="1" applyBorder="1" applyAlignment="1" applyProtection="1">
      <alignment horizontal="center"/>
    </xf>
    <xf numFmtId="177" fontId="22" fillId="0" borderId="0" xfId="0" applyNumberFormat="1" applyFont="1" applyFill="1" applyAlignment="1" applyProtection="1">
      <alignment horizontal="right"/>
    </xf>
    <xf numFmtId="0" fontId="22" fillId="0" borderId="3" xfId="0" applyFont="1" applyFill="1" applyBorder="1" applyAlignment="1" applyProtection="1">
      <alignment horizontal="center"/>
      <protection locked="0"/>
    </xf>
    <xf numFmtId="0" fontId="22" fillId="0" borderId="3" xfId="0" applyFont="1" applyFill="1" applyBorder="1" applyAlignment="1" applyProtection="1">
      <alignment horizontal="right"/>
      <protection locked="0"/>
    </xf>
    <xf numFmtId="0" fontId="22" fillId="0" borderId="0" xfId="0" applyFont="1" applyFill="1" applyAlignment="1" applyProtection="1">
      <alignment horizontal="right" wrapText="1"/>
    </xf>
    <xf numFmtId="0" fontId="22" fillId="0" borderId="4" xfId="0" applyFont="1" applyFill="1" applyBorder="1" applyAlignment="1" applyProtection="1">
      <alignment horizontal="right"/>
      <protection locked="0"/>
    </xf>
    <xf numFmtId="178" fontId="22" fillId="0" borderId="0" xfId="0" applyNumberFormat="1" applyFont="1" applyFill="1" applyAlignment="1" applyProtection="1">
      <protection locked="0"/>
    </xf>
    <xf numFmtId="179" fontId="22" fillId="0" borderId="0" xfId="0" applyNumberFormat="1" applyFont="1" applyFill="1" applyAlignment="1" applyProtection="1">
      <protection locked="0"/>
    </xf>
    <xf numFmtId="0" fontId="22" fillId="0" borderId="3" xfId="0" applyFont="1" applyFill="1" applyBorder="1" applyProtection="1">
      <alignment vertical="center"/>
    </xf>
    <xf numFmtId="0" fontId="22" fillId="0" borderId="3" xfId="0" applyFont="1" applyFill="1" applyBorder="1" applyAlignment="1" applyProtection="1">
      <alignment horizontal="center" vertical="center"/>
    </xf>
    <xf numFmtId="0" fontId="22" fillId="0" borderId="10" xfId="0" applyFont="1" applyFill="1" applyBorder="1" applyProtection="1">
      <alignment vertical="center"/>
    </xf>
    <xf numFmtId="0" fontId="22" fillId="0" borderId="11" xfId="0" applyFont="1" applyFill="1" applyBorder="1" applyProtection="1">
      <alignment vertical="center"/>
    </xf>
    <xf numFmtId="0" fontId="22" fillId="0" borderId="12" xfId="0" applyFont="1" applyFill="1" applyBorder="1" applyProtection="1">
      <alignment vertical="center"/>
    </xf>
    <xf numFmtId="0" fontId="22" fillId="0" borderId="12" xfId="0" applyFont="1" applyFill="1" applyBorder="1" applyAlignment="1" applyProtection="1">
      <alignment horizontal="right" vertical="center"/>
    </xf>
    <xf numFmtId="0" fontId="22" fillId="0" borderId="13" xfId="0" applyFont="1" applyFill="1" applyBorder="1" applyProtection="1">
      <alignment vertical="center"/>
    </xf>
    <xf numFmtId="0" fontId="22" fillId="0" borderId="14" xfId="0" applyFont="1" applyFill="1" applyBorder="1" applyAlignment="1" applyProtection="1">
      <alignment horizontal="center" vertical="center" wrapText="1"/>
    </xf>
    <xf numFmtId="0" fontId="22" fillId="0" borderId="15" xfId="0" applyFont="1" applyFill="1" applyBorder="1" applyAlignment="1" applyProtection="1">
      <alignment horizontal="center" vertical="center"/>
    </xf>
    <xf numFmtId="0" fontId="22" fillId="0" borderId="16" xfId="0" applyFont="1" applyFill="1" applyBorder="1" applyAlignment="1" applyProtection="1">
      <alignment horizontal="center" vertical="center"/>
    </xf>
    <xf numFmtId="0" fontId="22" fillId="0" borderId="16" xfId="0" applyFont="1" applyFill="1" applyBorder="1" applyAlignment="1" applyProtection="1">
      <alignment horizontal="center" vertical="center" wrapText="1"/>
    </xf>
    <xf numFmtId="0" fontId="22" fillId="0" borderId="8" xfId="0" applyFont="1" applyFill="1" applyBorder="1" applyAlignment="1" applyProtection="1">
      <alignment horizontal="center" vertical="center" wrapText="1"/>
    </xf>
    <xf numFmtId="0" fontId="22" fillId="0" borderId="8" xfId="0" applyFont="1" applyFill="1" applyBorder="1" applyAlignment="1" applyProtection="1">
      <alignment horizontal="center" vertical="center"/>
    </xf>
    <xf numFmtId="0" fontId="25" fillId="0" borderId="8" xfId="0" applyFont="1" applyFill="1" applyBorder="1" applyAlignment="1" applyProtection="1">
      <alignment horizontal="center" vertical="center" wrapText="1"/>
    </xf>
    <xf numFmtId="0" fontId="26" fillId="0" borderId="8" xfId="0" applyFont="1" applyFill="1" applyBorder="1" applyAlignment="1" applyProtection="1">
      <alignment horizontal="center" vertical="center" wrapText="1"/>
    </xf>
    <xf numFmtId="0" fontId="22" fillId="0" borderId="16" xfId="0" applyFont="1" applyFill="1" applyBorder="1" applyAlignment="1" applyProtection="1">
      <alignment horizontal="center" vertical="top"/>
    </xf>
    <xf numFmtId="1" fontId="13" fillId="3" borderId="8" xfId="0" applyNumberFormat="1" applyFont="1" applyFill="1" applyBorder="1" applyAlignment="1" applyProtection="1">
      <alignment horizontal="center" vertical="center"/>
      <protection locked="0"/>
    </xf>
    <xf numFmtId="1" fontId="13" fillId="0" borderId="8" xfId="0" applyNumberFormat="1" applyFont="1" applyFill="1" applyBorder="1" applyAlignment="1" applyProtection="1">
      <alignment horizontal="center" vertical="center"/>
      <protection locked="0"/>
    </xf>
    <xf numFmtId="181" fontId="18" fillId="3" borderId="8" xfId="0" applyNumberFormat="1" applyFont="1" applyFill="1" applyBorder="1" applyAlignment="1" applyProtection="1">
      <alignment horizontal="center" vertical="center"/>
    </xf>
    <xf numFmtId="182" fontId="18" fillId="0" borderId="8" xfId="0" applyNumberFormat="1" applyFont="1" applyFill="1" applyBorder="1" applyAlignment="1" applyProtection="1">
      <alignment horizontal="center" vertical="center"/>
      <protection locked="0"/>
    </xf>
    <xf numFmtId="182" fontId="18" fillId="3" borderId="8" xfId="0" applyNumberFormat="1" applyFont="1" applyFill="1" applyBorder="1" applyAlignment="1" applyProtection="1">
      <alignment horizontal="center" vertical="center"/>
    </xf>
    <xf numFmtId="49" fontId="13" fillId="0" borderId="8" xfId="0" applyNumberFormat="1" applyFont="1" applyFill="1" applyBorder="1" applyAlignment="1" applyProtection="1">
      <alignment horizontal="left" vertical="center"/>
      <protection locked="0"/>
    </xf>
    <xf numFmtId="0" fontId="22" fillId="0" borderId="0" xfId="0" applyFont="1" applyFill="1" applyAlignment="1" applyProtection="1">
      <alignment horizontal="left" vertical="center"/>
    </xf>
    <xf numFmtId="0" fontId="22" fillId="0" borderId="0" xfId="0" applyFont="1" applyFill="1" applyAlignment="1" applyProtection="1">
      <alignment horizontal="left" vertical="center" shrinkToFit="1"/>
    </xf>
    <xf numFmtId="0" fontId="28" fillId="0" borderId="1" xfId="1" applyFont="1" applyBorder="1" applyAlignment="1">
      <alignment horizontal="center"/>
    </xf>
    <xf numFmtId="183" fontId="14" fillId="0" borderId="7" xfId="1" applyNumberFormat="1" applyFont="1" applyBorder="1" applyAlignment="1">
      <alignment horizontal="center" vertical="center" shrinkToFit="1"/>
    </xf>
    <xf numFmtId="180" fontId="22" fillId="0" borderId="3" xfId="0" applyNumberFormat="1" applyFont="1" applyFill="1" applyBorder="1" applyAlignment="1" applyProtection="1">
      <alignment horizontal="center"/>
      <protection locked="0"/>
    </xf>
    <xf numFmtId="0" fontId="24" fillId="0" borderId="1" xfId="0" applyFont="1" applyFill="1" applyBorder="1" applyAlignment="1" applyProtection="1">
      <alignment horizontal="left"/>
    </xf>
    <xf numFmtId="0" fontId="23" fillId="0" borderId="3" xfId="0" applyFont="1" applyFill="1" applyBorder="1" applyAlignment="1" applyProtection="1">
      <alignment horizontal="right"/>
    </xf>
    <xf numFmtId="0" fontId="22" fillId="3" borderId="4" xfId="0" applyFont="1" applyFill="1" applyBorder="1" applyAlignment="1" applyProtection="1">
      <alignment horizontal="right"/>
      <protection locked="0"/>
    </xf>
    <xf numFmtId="0" fontId="22" fillId="0" borderId="0" xfId="0" applyFont="1" applyFill="1" applyAlignment="1" applyProtection="1">
      <alignment horizontal="right" shrinkToFit="1"/>
    </xf>
    <xf numFmtId="0" fontId="22" fillId="3" borderId="3" xfId="0" applyFont="1" applyFill="1" applyBorder="1" applyAlignment="1" applyProtection="1">
      <alignment horizontal="left"/>
      <protection locked="0"/>
    </xf>
    <xf numFmtId="0" fontId="22" fillId="3" borderId="4" xfId="0" applyFont="1" applyFill="1" applyBorder="1" applyAlignment="1" applyProtection="1">
      <alignment horizontal="left"/>
      <protection locked="0"/>
    </xf>
    <xf numFmtId="0" fontId="22" fillId="3" borderId="3" xfId="0" applyFont="1" applyFill="1" applyBorder="1" applyAlignment="1" applyProtection="1">
      <alignment horizontal="right"/>
      <protection locked="0"/>
    </xf>
    <xf numFmtId="0" fontId="13" fillId="0" borderId="7" xfId="4" applyBorder="1" applyAlignment="1">
      <alignment vertical="center" shrinkToFit="1"/>
    </xf>
    <xf numFmtId="0" fontId="13" fillId="0" borderId="8" xfId="4" applyBorder="1" applyAlignment="1">
      <alignment vertical="center" shrinkToFit="1"/>
    </xf>
    <xf numFmtId="0" fontId="13" fillId="0" borderId="8" xfId="5" applyBorder="1" applyAlignment="1">
      <alignment horizontal="left" vertical="center" shrinkToFit="1"/>
    </xf>
    <xf numFmtId="0" fontId="14" fillId="0" borderId="8" xfId="4" applyFont="1" applyBorder="1" applyAlignment="1">
      <alignment vertical="center" shrinkToFit="1"/>
    </xf>
    <xf numFmtId="0" fontId="14" fillId="0" borderId="8" xfId="5" applyFont="1" applyBorder="1" applyAlignment="1">
      <alignment horizontal="left" vertical="center" shrinkToFit="1"/>
    </xf>
    <xf numFmtId="0" fontId="14" fillId="0" borderId="8" xfId="7" applyFont="1" applyFill="1" applyBorder="1" applyAlignment="1">
      <alignment vertical="center" shrinkToFit="1"/>
    </xf>
    <xf numFmtId="0" fontId="30" fillId="0" borderId="8" xfId="4" applyFont="1" applyBorder="1" applyAlignment="1">
      <alignment vertical="center" shrinkToFit="1"/>
    </xf>
    <xf numFmtId="0" fontId="13" fillId="0" borderId="8" xfId="7" applyFont="1" applyFill="1" applyBorder="1" applyAlignment="1">
      <alignment vertical="center" shrinkToFit="1"/>
    </xf>
    <xf numFmtId="182" fontId="13" fillId="0" borderId="8" xfId="0" applyNumberFormat="1" applyFont="1" applyFill="1" applyBorder="1" applyAlignment="1" applyProtection="1">
      <alignment horizontal="center" vertical="center"/>
      <protection locked="0"/>
    </xf>
    <xf numFmtId="0" fontId="14" fillId="5" borderId="8" xfId="4" applyFont="1" applyFill="1" applyBorder="1" applyAlignment="1">
      <alignment vertical="center" shrinkToFit="1"/>
    </xf>
    <xf numFmtId="0" fontId="14" fillId="5" borderId="8" xfId="5" applyFont="1" applyFill="1" applyBorder="1" applyAlignment="1">
      <alignment horizontal="left" vertical="center" shrinkToFit="1"/>
    </xf>
    <xf numFmtId="0" fontId="32" fillId="5" borderId="8" xfId="4" applyFont="1" applyFill="1" applyBorder="1" applyAlignment="1">
      <alignment horizontal="left" vertical="center" shrinkToFit="1"/>
    </xf>
    <xf numFmtId="0" fontId="14" fillId="0" borderId="7" xfId="5" applyFont="1" applyBorder="1" applyAlignment="1">
      <alignment horizontal="left" vertical="center" shrinkToFit="1"/>
    </xf>
    <xf numFmtId="0" fontId="0" fillId="0" borderId="7" xfId="20" applyFont="1" applyBorder="1" applyAlignment="1" applyProtection="1">
      <alignment vertical="center" shrinkToFit="1"/>
      <protection locked="0"/>
    </xf>
    <xf numFmtId="0" fontId="13" fillId="0" borderId="7" xfId="5" applyBorder="1" applyAlignment="1">
      <alignment horizontal="left" vertical="center" shrinkToFit="1"/>
    </xf>
    <xf numFmtId="1" fontId="13" fillId="6" borderId="8" xfId="0" applyNumberFormat="1" applyFont="1" applyFill="1" applyBorder="1" applyAlignment="1" applyProtection="1">
      <alignment horizontal="center" vertical="center"/>
      <protection locked="0"/>
    </xf>
    <xf numFmtId="0" fontId="33" fillId="0" borderId="8" xfId="4" applyFont="1" applyBorder="1" applyAlignment="1">
      <alignment vertical="center" shrinkToFit="1"/>
    </xf>
    <xf numFmtId="0" fontId="35" fillId="0" borderId="0" xfId="0" applyFont="1" applyFill="1" applyProtection="1">
      <alignment vertical="center"/>
    </xf>
    <xf numFmtId="0" fontId="35" fillId="0" borderId="0" xfId="0" applyFont="1" applyFill="1" applyAlignment="1" applyProtection="1">
      <alignment horizontal="right" vertical="center"/>
    </xf>
    <xf numFmtId="0" fontId="36" fillId="0" borderId="0" xfId="0" applyFont="1" applyFill="1" applyAlignment="1" applyProtection="1">
      <alignment horizontal="center" vertical="center"/>
    </xf>
    <xf numFmtId="0" fontId="35" fillId="0" borderId="0" xfId="0" applyFont="1" applyFill="1" applyAlignment="1" applyProtection="1">
      <alignment horizontal="left" vertical="center"/>
    </xf>
    <xf numFmtId="0" fontId="35" fillId="0" borderId="0" xfId="0" applyFont="1" applyFill="1" applyAlignment="1" applyProtection="1">
      <alignment horizontal="center" vertical="center"/>
    </xf>
    <xf numFmtId="20" fontId="35" fillId="0" borderId="0" xfId="0" applyNumberFormat="1" applyFont="1" applyFill="1" applyProtection="1">
      <alignment vertical="center"/>
    </xf>
    <xf numFmtId="182" fontId="36" fillId="0" borderId="0" xfId="0" applyNumberFormat="1" applyFont="1" applyFill="1" applyAlignment="1" applyProtection="1">
      <alignment horizontal="center" vertical="center"/>
    </xf>
    <xf numFmtId="0" fontId="14" fillId="5" borderId="8" xfId="7" applyFont="1" applyFill="1" applyBorder="1" applyAlignment="1">
      <alignment vertical="center" shrinkToFit="1"/>
    </xf>
    <xf numFmtId="0" fontId="14" fillId="5" borderId="7" xfId="4" applyFont="1" applyFill="1" applyBorder="1" applyAlignment="1">
      <alignment vertical="center" shrinkToFit="1"/>
    </xf>
    <xf numFmtId="0" fontId="14" fillId="5" borderId="7" xfId="7" applyFont="1" applyFill="1" applyBorder="1" applyAlignment="1">
      <alignment vertical="center" shrinkToFit="1"/>
    </xf>
    <xf numFmtId="0" fontId="14" fillId="5" borderId="8" xfId="6" applyFont="1" applyFill="1" applyBorder="1" applyAlignment="1">
      <alignment vertical="center" shrinkToFit="1"/>
    </xf>
    <xf numFmtId="0" fontId="32" fillId="5" borderId="8" xfId="4" applyFont="1" applyFill="1" applyBorder="1" applyAlignment="1">
      <alignment vertical="center" shrinkToFit="1"/>
    </xf>
    <xf numFmtId="20" fontId="35" fillId="0" borderId="0" xfId="0" applyNumberFormat="1" applyFont="1" applyFill="1" applyAlignment="1" applyProtection="1">
      <alignment horizontal="center" vertical="center"/>
    </xf>
    <xf numFmtId="1" fontId="14" fillId="3" borderId="8" xfId="0" applyNumberFormat="1" applyFont="1" applyFill="1" applyBorder="1" applyAlignment="1" applyProtection="1">
      <alignment horizontal="center" vertical="center"/>
      <protection locked="0"/>
    </xf>
    <xf numFmtId="182" fontId="14" fillId="0" borderId="8" xfId="0" applyNumberFormat="1" applyFont="1" applyFill="1" applyBorder="1" applyAlignment="1" applyProtection="1">
      <alignment horizontal="center" vertical="center"/>
      <protection locked="0"/>
    </xf>
    <xf numFmtId="0" fontId="14" fillId="0" borderId="8" xfId="6" applyFont="1" applyBorder="1" applyAlignment="1">
      <alignment vertical="center" shrinkToFit="1"/>
    </xf>
    <xf numFmtId="1" fontId="14" fillId="6" borderId="8" xfId="0" applyNumberFormat="1" applyFont="1" applyFill="1" applyBorder="1" applyAlignment="1" applyProtection="1">
      <alignment horizontal="center" vertical="center"/>
      <protection locked="0"/>
    </xf>
    <xf numFmtId="0" fontId="14" fillId="5" borderId="20" xfId="4" applyFont="1" applyFill="1" applyBorder="1" applyAlignment="1">
      <alignment vertical="center" shrinkToFit="1"/>
    </xf>
    <xf numFmtId="0" fontId="39" fillId="0" borderId="15" xfId="0" applyFont="1" applyFill="1" applyBorder="1" applyAlignment="1" applyProtection="1">
      <alignment horizontal="center" vertical="center"/>
    </xf>
    <xf numFmtId="0" fontId="39" fillId="0" borderId="16" xfId="0" applyFont="1" applyFill="1" applyBorder="1" applyAlignment="1" applyProtection="1">
      <alignment horizontal="center" vertical="center"/>
    </xf>
    <xf numFmtId="0" fontId="39" fillId="0" borderId="16" xfId="0" applyFont="1" applyFill="1" applyBorder="1" applyAlignment="1" applyProtection="1">
      <alignment horizontal="center" vertical="center" wrapText="1"/>
    </xf>
    <xf numFmtId="0" fontId="39" fillId="0" borderId="8" xfId="0" applyFont="1" applyFill="1" applyBorder="1" applyAlignment="1" applyProtection="1">
      <alignment horizontal="center" vertical="center" wrapText="1"/>
    </xf>
    <xf numFmtId="0" fontId="39" fillId="0" borderId="8" xfId="0" applyFont="1" applyFill="1" applyBorder="1" applyAlignment="1" applyProtection="1">
      <alignment horizontal="center" vertical="center"/>
    </xf>
    <xf numFmtId="0" fontId="39" fillId="0" borderId="16" xfId="0" applyFont="1" applyFill="1" applyBorder="1" applyAlignment="1" applyProtection="1">
      <alignment horizontal="center" vertical="top"/>
    </xf>
    <xf numFmtId="1" fontId="14" fillId="0" borderId="8" xfId="0" applyNumberFormat="1" applyFont="1" applyFill="1" applyBorder="1" applyAlignment="1" applyProtection="1">
      <alignment horizontal="center" vertical="center"/>
      <protection locked="0"/>
    </xf>
    <xf numFmtId="181" fontId="14" fillId="0" borderId="8" xfId="0" applyNumberFormat="1" applyFont="1" applyFill="1" applyBorder="1" applyAlignment="1" applyProtection="1">
      <alignment horizontal="center" vertical="center"/>
      <protection locked="0"/>
    </xf>
    <xf numFmtId="181" fontId="14" fillId="3" borderId="8" xfId="0" applyNumberFormat="1" applyFont="1" applyFill="1" applyBorder="1" applyAlignment="1" applyProtection="1">
      <alignment horizontal="center" vertical="center"/>
    </xf>
    <xf numFmtId="182" fontId="14" fillId="3" borderId="8" xfId="0" applyNumberFormat="1" applyFont="1" applyFill="1" applyBorder="1" applyAlignment="1" applyProtection="1">
      <alignment horizontal="center" vertical="center"/>
    </xf>
    <xf numFmtId="49" fontId="14" fillId="0" borderId="8" xfId="0" applyNumberFormat="1" applyFont="1" applyFill="1" applyBorder="1" applyAlignment="1" applyProtection="1">
      <alignment horizontal="left" vertical="center"/>
      <protection locked="0"/>
    </xf>
    <xf numFmtId="0" fontId="14" fillId="5" borderId="8" xfId="0" applyFont="1" applyFill="1" applyBorder="1" applyAlignment="1" applyProtection="1">
      <alignment horizontal="left" vertical="center" shrinkToFit="1"/>
      <protection locked="0"/>
    </xf>
    <xf numFmtId="1" fontId="14" fillId="5" borderId="8" xfId="0" applyNumberFormat="1" applyFont="1" applyFill="1" applyBorder="1" applyAlignment="1" applyProtection="1">
      <alignment horizontal="left" vertical="center" shrinkToFit="1"/>
      <protection locked="0"/>
    </xf>
    <xf numFmtId="0" fontId="14" fillId="5" borderId="7" xfId="0" applyFont="1" applyFill="1" applyBorder="1" applyAlignment="1" applyProtection="1">
      <alignment horizontal="left" vertical="center" shrinkToFit="1"/>
      <protection locked="0"/>
    </xf>
    <xf numFmtId="0" fontId="38" fillId="5" borderId="8" xfId="20" applyFont="1" applyFill="1" applyBorder="1" applyAlignment="1" applyProtection="1">
      <alignment vertical="center" shrinkToFit="1"/>
      <protection locked="0"/>
    </xf>
    <xf numFmtId="0" fontId="32" fillId="5" borderId="8" xfId="5" applyFont="1" applyFill="1" applyBorder="1" applyAlignment="1">
      <alignment horizontal="left" vertical="center" shrinkToFit="1"/>
    </xf>
    <xf numFmtId="0" fontId="37" fillId="5" borderId="8" xfId="4" applyFont="1" applyFill="1" applyBorder="1" applyAlignment="1">
      <alignment vertical="center" shrinkToFit="1"/>
    </xf>
    <xf numFmtId="0" fontId="14" fillId="5" borderId="8" xfId="0" applyFont="1" applyFill="1" applyBorder="1" applyAlignment="1">
      <alignment vertical="center" shrinkToFit="1"/>
    </xf>
    <xf numFmtId="1" fontId="14" fillId="5" borderId="7" xfId="0" applyNumberFormat="1" applyFont="1" applyFill="1" applyBorder="1" applyAlignment="1" applyProtection="1">
      <alignment horizontal="left" vertical="center" shrinkToFit="1"/>
      <protection locked="0"/>
    </xf>
    <xf numFmtId="0" fontId="0" fillId="0" borderId="23" xfId="20" applyFont="1" applyBorder="1" applyAlignment="1" applyProtection="1">
      <alignment vertical="center" shrinkToFit="1"/>
      <protection locked="0"/>
    </xf>
    <xf numFmtId="1" fontId="13" fillId="5" borderId="7" xfId="0" applyNumberFormat="1" applyFont="1" applyFill="1" applyBorder="1" applyAlignment="1" applyProtection="1">
      <alignment horizontal="left" vertical="center" shrinkToFit="1"/>
      <protection locked="0"/>
    </xf>
    <xf numFmtId="0" fontId="30" fillId="5" borderId="7" xfId="5" applyFont="1" applyFill="1" applyBorder="1" applyAlignment="1">
      <alignment horizontal="left" vertical="center" shrinkToFit="1"/>
    </xf>
    <xf numFmtId="0" fontId="30" fillId="5" borderId="7" xfId="7" applyFont="1" applyFill="1" applyBorder="1" applyAlignment="1">
      <alignment vertical="center" shrinkToFit="1"/>
    </xf>
    <xf numFmtId="0" fontId="14" fillId="5" borderId="7" xfId="5" applyFont="1" applyFill="1" applyBorder="1" applyAlignment="1">
      <alignment horizontal="left" vertical="center" shrinkToFit="1"/>
    </xf>
    <xf numFmtId="1" fontId="13" fillId="5" borderId="8" xfId="0" applyNumberFormat="1" applyFont="1" applyFill="1" applyBorder="1" applyAlignment="1" applyProtection="1">
      <alignment horizontal="left" vertical="center" shrinkToFit="1"/>
      <protection locked="0"/>
    </xf>
    <xf numFmtId="0" fontId="13" fillId="5" borderId="8" xfId="0" applyFont="1" applyFill="1" applyBorder="1" applyAlignment="1" applyProtection="1">
      <alignment horizontal="left" vertical="center" shrinkToFit="1"/>
      <protection locked="0"/>
    </xf>
    <xf numFmtId="0" fontId="22" fillId="0" borderId="1" xfId="0" applyFont="1" applyFill="1" applyBorder="1" applyAlignment="1" applyProtection="1"/>
    <xf numFmtId="0" fontId="30" fillId="5" borderId="8" xfId="7" applyFont="1" applyFill="1" applyBorder="1" applyAlignment="1">
      <alignment vertical="center" shrinkToFit="1"/>
    </xf>
    <xf numFmtId="0" fontId="30" fillId="5" borderId="8" xfId="4" applyFont="1" applyFill="1" applyBorder="1" applyAlignment="1">
      <alignment vertical="center" shrinkToFit="1"/>
    </xf>
    <xf numFmtId="0" fontId="30" fillId="5" borderId="6" xfId="7" applyFont="1" applyFill="1" applyBorder="1" applyAlignment="1">
      <alignment vertical="center" shrinkToFit="1"/>
    </xf>
    <xf numFmtId="0" fontId="30" fillId="5" borderId="7" xfId="4" applyFont="1" applyFill="1" applyBorder="1" applyAlignment="1">
      <alignment vertical="center" shrinkToFit="1"/>
    </xf>
    <xf numFmtId="0" fontId="0" fillId="5" borderId="8" xfId="20" applyFont="1" applyFill="1" applyBorder="1" applyAlignment="1" applyProtection="1">
      <alignment vertical="center" shrinkToFit="1"/>
      <protection locked="0"/>
    </xf>
    <xf numFmtId="0" fontId="30" fillId="5" borderId="8" xfId="5" applyFont="1" applyFill="1" applyBorder="1" applyAlignment="1">
      <alignment horizontal="left" vertical="center" shrinkToFit="1"/>
    </xf>
    <xf numFmtId="0" fontId="13" fillId="5" borderId="7" xfId="4" applyFill="1" applyBorder="1" applyAlignment="1">
      <alignment vertical="center" shrinkToFit="1"/>
    </xf>
    <xf numFmtId="0" fontId="13" fillId="5" borderId="8" xfId="5" applyFill="1" applyBorder="1" applyAlignment="1">
      <alignment horizontal="left" vertical="center" shrinkToFit="1"/>
    </xf>
    <xf numFmtId="0" fontId="13" fillId="5" borderId="8" xfId="0" applyFont="1" applyFill="1" applyBorder="1" applyAlignment="1">
      <alignment vertical="center" shrinkToFit="1"/>
    </xf>
    <xf numFmtId="0" fontId="13" fillId="5" borderId="8" xfId="4" applyFill="1" applyBorder="1" applyAlignment="1">
      <alignment vertical="center" shrinkToFit="1"/>
    </xf>
    <xf numFmtId="0" fontId="13" fillId="5" borderId="7" xfId="5" applyFill="1" applyBorder="1" applyAlignment="1">
      <alignment horizontal="left" vertical="center" shrinkToFit="1"/>
    </xf>
    <xf numFmtId="0" fontId="14" fillId="5" borderId="20" xfId="0" applyFont="1" applyFill="1" applyBorder="1" applyAlignment="1" applyProtection="1">
      <alignment horizontal="left" vertical="center" shrinkToFit="1"/>
      <protection locked="0"/>
    </xf>
    <xf numFmtId="0" fontId="32" fillId="5" borderId="8" xfId="7" applyFont="1" applyFill="1" applyBorder="1" applyAlignment="1">
      <alignment vertical="center" shrinkToFit="1"/>
    </xf>
    <xf numFmtId="1" fontId="13" fillId="5" borderId="23" xfId="0" applyNumberFormat="1" applyFont="1" applyFill="1" applyBorder="1" applyAlignment="1" applyProtection="1">
      <alignment horizontal="left" vertical="center" shrinkToFit="1"/>
      <protection locked="0"/>
    </xf>
    <xf numFmtId="0" fontId="13" fillId="5" borderId="7" xfId="0" applyFont="1" applyFill="1" applyBorder="1" applyAlignment="1" applyProtection="1">
      <alignment horizontal="left" vertical="center" shrinkToFit="1"/>
      <protection locked="0"/>
    </xf>
    <xf numFmtId="42" fontId="35" fillId="0" borderId="0" xfId="0" applyNumberFormat="1" applyFont="1" applyFill="1" applyProtection="1">
      <alignment vertical="center"/>
    </xf>
    <xf numFmtId="42" fontId="35" fillId="0" borderId="0" xfId="0" applyNumberFormat="1" applyFont="1" applyFill="1" applyAlignment="1" applyProtection="1">
      <alignment horizontal="left" vertical="center"/>
    </xf>
    <xf numFmtId="20" fontId="35" fillId="0" borderId="0" xfId="0" applyNumberFormat="1" applyFont="1" applyFill="1" applyAlignment="1" applyProtection="1">
      <alignment horizontal="right" vertical="center"/>
    </xf>
    <xf numFmtId="0" fontId="22" fillId="0" borderId="3" xfId="0" quotePrefix="1" applyFont="1" applyFill="1" applyBorder="1" applyAlignment="1" applyProtection="1">
      <alignment horizontal="left"/>
    </xf>
    <xf numFmtId="0" fontId="32" fillId="5" borderId="26" xfId="4" applyFont="1" applyFill="1" applyBorder="1" applyAlignment="1">
      <alignment vertical="center" shrinkToFit="1"/>
    </xf>
    <xf numFmtId="0" fontId="32" fillId="5" borderId="28" xfId="5" applyFont="1" applyFill="1" applyBorder="1" applyAlignment="1">
      <alignment horizontal="left" vertical="center" shrinkToFit="1"/>
    </xf>
    <xf numFmtId="0" fontId="32" fillId="5" borderId="27" xfId="4" applyFont="1" applyFill="1" applyBorder="1" applyAlignment="1">
      <alignment vertical="center" shrinkToFit="1"/>
    </xf>
    <xf numFmtId="0" fontId="22" fillId="0" borderId="6" xfId="0" applyFont="1" applyFill="1" applyBorder="1" applyProtection="1">
      <alignment vertical="center"/>
    </xf>
    <xf numFmtId="183" fontId="14" fillId="0" borderId="0" xfId="1" applyNumberFormat="1" applyFont="1" applyAlignment="1">
      <alignment horizontal="center" vertical="center" shrinkToFit="1"/>
    </xf>
    <xf numFmtId="0" fontId="22" fillId="0" borderId="7" xfId="0" applyFont="1" applyFill="1" applyBorder="1" applyProtection="1">
      <alignment vertical="center"/>
    </xf>
    <xf numFmtId="0" fontId="0" fillId="5" borderId="32" xfId="20" applyFont="1" applyFill="1" applyBorder="1" applyAlignment="1" applyProtection="1">
      <alignment vertical="center" shrinkToFit="1"/>
      <protection locked="0"/>
    </xf>
    <xf numFmtId="0" fontId="14" fillId="0" borderId="7" xfId="4" applyFont="1" applyBorder="1" applyAlignment="1">
      <alignment vertical="center" shrinkToFit="1"/>
    </xf>
    <xf numFmtId="1" fontId="13" fillId="5" borderId="33" xfId="0" applyNumberFormat="1" applyFont="1" applyFill="1" applyBorder="1" applyAlignment="1" applyProtection="1">
      <alignment horizontal="left" vertical="center" shrinkToFit="1"/>
      <protection locked="0"/>
    </xf>
    <xf numFmtId="0" fontId="0" fillId="5" borderId="7" xfId="20" applyFont="1" applyFill="1" applyBorder="1" applyAlignment="1" applyProtection="1">
      <alignment vertical="center" shrinkToFit="1"/>
      <protection locked="0"/>
    </xf>
    <xf numFmtId="0" fontId="14" fillId="5" borderId="7" xfId="6" applyFont="1" applyFill="1" applyBorder="1" applyAlignment="1">
      <alignment vertical="center" shrinkToFit="1"/>
    </xf>
    <xf numFmtId="0" fontId="14" fillId="5" borderId="32" xfId="0" applyFont="1" applyFill="1" applyBorder="1" applyAlignment="1" applyProtection="1">
      <alignment horizontal="left" vertical="center" shrinkToFit="1"/>
      <protection locked="0"/>
    </xf>
    <xf numFmtId="0" fontId="32" fillId="5" borderId="7" xfId="4" applyFont="1" applyFill="1" applyBorder="1" applyAlignment="1">
      <alignment horizontal="left" vertical="center" shrinkToFit="1"/>
    </xf>
    <xf numFmtId="1" fontId="13" fillId="5" borderId="6" xfId="0" applyNumberFormat="1" applyFont="1" applyFill="1" applyBorder="1" applyAlignment="1" applyProtection="1">
      <alignment horizontal="left" vertical="center" shrinkToFit="1"/>
      <protection locked="0"/>
    </xf>
    <xf numFmtId="0" fontId="30" fillId="5" borderId="19" xfId="4" applyFont="1" applyFill="1" applyBorder="1" applyAlignment="1">
      <alignment vertical="center" shrinkToFit="1"/>
    </xf>
    <xf numFmtId="0" fontId="13" fillId="5" borderId="32" xfId="0" applyFont="1" applyFill="1" applyBorder="1" applyAlignment="1" applyProtection="1">
      <alignment horizontal="left" vertical="center" shrinkToFit="1"/>
      <protection locked="0"/>
    </xf>
    <xf numFmtId="14" fontId="22" fillId="0" borderId="3" xfId="0" applyNumberFormat="1" applyFont="1" applyFill="1" applyBorder="1" applyAlignment="1" applyProtection="1"/>
    <xf numFmtId="1" fontId="13" fillId="5" borderId="18" xfId="0" applyNumberFormat="1" applyFont="1" applyFill="1" applyBorder="1" applyAlignment="1" applyProtection="1">
      <alignment horizontal="left" vertical="center" shrinkToFit="1"/>
      <protection locked="0"/>
    </xf>
    <xf numFmtId="0" fontId="13" fillId="5" borderId="27" xfId="0" applyFont="1" applyFill="1" applyBorder="1" applyAlignment="1" applyProtection="1">
      <alignment horizontal="left" vertical="center" shrinkToFit="1"/>
      <protection locked="0"/>
    </xf>
    <xf numFmtId="0" fontId="13" fillId="5" borderId="6" xfId="0" applyFont="1" applyFill="1" applyBorder="1" applyAlignment="1" applyProtection="1">
      <alignment horizontal="left" vertical="center" shrinkToFit="1"/>
      <protection locked="0"/>
    </xf>
    <xf numFmtId="183" fontId="14" fillId="5" borderId="8" xfId="0" applyNumberFormat="1" applyFont="1" applyFill="1" applyBorder="1" applyAlignment="1" applyProtection="1">
      <alignment horizontal="left" vertical="center" shrinkToFit="1"/>
      <protection locked="0"/>
    </xf>
    <xf numFmtId="0" fontId="32" fillId="5" borderId="7" xfId="1" applyFont="1" applyFill="1" applyBorder="1" applyAlignment="1">
      <alignment horizontal="left" vertical="center" shrinkToFit="1"/>
    </xf>
    <xf numFmtId="49" fontId="33" fillId="5" borderId="8" xfId="15" applyNumberFormat="1" applyFill="1" applyBorder="1" applyProtection="1">
      <alignment vertical="center"/>
    </xf>
    <xf numFmtId="0" fontId="14" fillId="5" borderId="20" xfId="7" applyFont="1" applyFill="1" applyBorder="1" applyAlignment="1">
      <alignment vertical="center" shrinkToFit="1"/>
    </xf>
    <xf numFmtId="1" fontId="13" fillId="5" borderId="20" xfId="0" applyNumberFormat="1" applyFont="1" applyFill="1" applyBorder="1" applyAlignment="1" applyProtection="1">
      <alignment horizontal="left" vertical="center" shrinkToFit="1"/>
      <protection locked="0"/>
    </xf>
    <xf numFmtId="0" fontId="30" fillId="5" borderId="18" xfId="5" applyFont="1" applyFill="1" applyBorder="1" applyAlignment="1">
      <alignment horizontal="left" vertical="center" shrinkToFit="1"/>
    </xf>
    <xf numFmtId="0" fontId="14" fillId="5" borderId="30" xfId="6" applyFont="1" applyFill="1" applyBorder="1" applyAlignment="1">
      <alignment vertical="center" shrinkToFit="1"/>
    </xf>
    <xf numFmtId="0" fontId="22" fillId="5" borderId="30" xfId="0" applyFont="1" applyFill="1" applyBorder="1" applyAlignment="1" applyProtection="1">
      <alignment horizontal="left" vertical="center" shrinkToFit="1"/>
    </xf>
    <xf numFmtId="0" fontId="14" fillId="5" borderId="27" xfId="0" applyFont="1" applyFill="1" applyBorder="1" applyAlignment="1" applyProtection="1">
      <alignment horizontal="left" vertical="center" shrinkToFit="1"/>
      <protection locked="0"/>
    </xf>
    <xf numFmtId="0" fontId="13" fillId="5" borderId="8" xfId="7" applyFont="1" applyFill="1" applyBorder="1" applyAlignment="1">
      <alignment vertical="center" shrinkToFit="1"/>
    </xf>
    <xf numFmtId="49" fontId="33" fillId="5" borderId="7" xfId="15" applyNumberFormat="1" applyFill="1" applyBorder="1" applyProtection="1">
      <alignment vertical="center"/>
    </xf>
    <xf numFmtId="0" fontId="14" fillId="5" borderId="20" xfId="6" applyFont="1" applyFill="1" applyBorder="1" applyAlignment="1">
      <alignment vertical="center" shrinkToFit="1"/>
    </xf>
    <xf numFmtId="0" fontId="14" fillId="5" borderId="26" xfId="4" applyFont="1" applyFill="1" applyBorder="1" applyAlignment="1">
      <alignment vertical="center" shrinkToFit="1"/>
    </xf>
    <xf numFmtId="0" fontId="14" fillId="5" borderId="28" xfId="5" applyFont="1" applyFill="1" applyBorder="1" applyAlignment="1">
      <alignment horizontal="left" vertical="center" shrinkToFit="1"/>
    </xf>
    <xf numFmtId="1" fontId="13" fillId="5" borderId="14" xfId="0" applyNumberFormat="1" applyFont="1" applyFill="1" applyBorder="1" applyAlignment="1" applyProtection="1">
      <alignment horizontal="left" vertical="center" shrinkToFit="1"/>
      <protection locked="0"/>
    </xf>
    <xf numFmtId="0" fontId="30" fillId="5" borderId="30" xfId="7" applyFont="1" applyFill="1" applyBorder="1" applyAlignment="1">
      <alignment vertical="center" shrinkToFit="1"/>
    </xf>
    <xf numFmtId="0" fontId="30" fillId="5" borderId="2" xfId="4" applyFont="1" applyFill="1" applyBorder="1" applyAlignment="1">
      <alignment vertical="center" shrinkToFit="1"/>
    </xf>
    <xf numFmtId="0" fontId="30" fillId="5" borderId="8" xfId="14" applyFont="1" applyFill="1" applyBorder="1" applyAlignment="1">
      <alignment vertical="center" shrinkToFit="1"/>
    </xf>
    <xf numFmtId="0" fontId="14" fillId="5" borderId="29" xfId="4" applyFont="1" applyFill="1" applyBorder="1" applyAlignment="1">
      <alignment vertical="center" shrinkToFit="1"/>
    </xf>
    <xf numFmtId="0" fontId="30" fillId="5" borderId="20" xfId="5" applyFont="1" applyFill="1" applyBorder="1" applyAlignment="1">
      <alignment horizontal="left" vertical="center" shrinkToFit="1"/>
    </xf>
    <xf numFmtId="0" fontId="14" fillId="5" borderId="29" xfId="5" applyFont="1" applyFill="1" applyBorder="1" applyAlignment="1">
      <alignment horizontal="left" vertical="center" shrinkToFit="1"/>
    </xf>
    <xf numFmtId="0" fontId="14" fillId="5" borderId="30" xfId="0" applyFont="1" applyFill="1" applyBorder="1" applyAlignment="1" applyProtection="1">
      <alignment horizontal="left" vertical="center" shrinkToFit="1"/>
      <protection locked="0"/>
    </xf>
    <xf numFmtId="0" fontId="30" fillId="5" borderId="16" xfId="4" applyFont="1" applyFill="1" applyBorder="1" applyAlignment="1">
      <alignment vertical="center" shrinkToFit="1"/>
    </xf>
    <xf numFmtId="0" fontId="14" fillId="5" borderId="29" xfId="6" applyFont="1" applyFill="1" applyBorder="1" applyAlignment="1">
      <alignment vertical="center" shrinkToFit="1"/>
    </xf>
    <xf numFmtId="0" fontId="13" fillId="5" borderId="0" xfId="0" applyFont="1" applyFill="1" applyAlignment="1" applyProtection="1">
      <alignment horizontal="left" vertical="center" shrinkToFit="1"/>
      <protection locked="0"/>
    </xf>
    <xf numFmtId="0" fontId="30" fillId="5" borderId="27" xfId="4" applyFont="1" applyFill="1" applyBorder="1" applyAlignment="1">
      <alignment vertical="center" shrinkToFit="1"/>
    </xf>
    <xf numFmtId="1" fontId="14" fillId="5" borderId="6" xfId="0" applyNumberFormat="1" applyFont="1" applyFill="1" applyBorder="1" applyAlignment="1" applyProtection="1">
      <alignment horizontal="left" vertical="center" shrinkToFit="1"/>
      <protection locked="0"/>
    </xf>
    <xf numFmtId="0" fontId="32" fillId="5" borderId="7" xfId="1" applyFont="1" applyFill="1" applyBorder="1" applyAlignment="1">
      <alignment horizontal="left" vertical="center"/>
    </xf>
    <xf numFmtId="0" fontId="22" fillId="5" borderId="7" xfId="0" applyFont="1" applyFill="1" applyBorder="1" applyAlignment="1" applyProtection="1">
      <alignment horizontal="left" vertical="center" shrinkToFit="1"/>
    </xf>
    <xf numFmtId="0" fontId="13" fillId="5" borderId="19" xfId="0" applyFont="1" applyFill="1" applyBorder="1" applyAlignment="1" applyProtection="1">
      <alignment horizontal="left" vertical="center" shrinkToFit="1"/>
      <protection locked="0"/>
    </xf>
    <xf numFmtId="0" fontId="14" fillId="5" borderId="8" xfId="4" applyFont="1" applyFill="1" applyBorder="1" applyAlignment="1">
      <alignment horizontal="left" vertical="center" shrinkToFit="1"/>
    </xf>
    <xf numFmtId="1" fontId="14" fillId="8" borderId="20" xfId="0" applyNumberFormat="1" applyFont="1" applyFill="1" applyBorder="1" applyAlignment="1" applyProtection="1">
      <alignment horizontal="left" vertical="center" shrinkToFit="1"/>
      <protection locked="0"/>
    </xf>
    <xf numFmtId="0" fontId="38" fillId="10" borderId="7" xfId="20" applyFont="1" applyFill="1" applyBorder="1" applyAlignment="1" applyProtection="1">
      <alignment vertical="center" shrinkToFit="1"/>
      <protection locked="0"/>
    </xf>
    <xf numFmtId="1" fontId="14" fillId="11" borderId="8" xfId="0" applyNumberFormat="1" applyFont="1" applyFill="1" applyBorder="1" applyAlignment="1" applyProtection="1">
      <alignment horizontal="left" vertical="center" shrinkToFit="1"/>
      <protection locked="0"/>
    </xf>
    <xf numFmtId="0" fontId="14" fillId="12" borderId="8" xfId="5" applyFont="1" applyFill="1" applyBorder="1" applyAlignment="1">
      <alignment horizontal="left" vertical="center" shrinkToFit="1"/>
    </xf>
    <xf numFmtId="1" fontId="14" fillId="12" borderId="8" xfId="0" applyNumberFormat="1" applyFont="1" applyFill="1" applyBorder="1" applyAlignment="1" applyProtection="1">
      <alignment horizontal="left" vertical="center" shrinkToFit="1"/>
      <protection locked="0"/>
    </xf>
    <xf numFmtId="0" fontId="14" fillId="13" borderId="8" xfId="5" applyFont="1" applyFill="1" applyBorder="1" applyAlignment="1">
      <alignment horizontal="left" vertical="center" shrinkToFit="1"/>
    </xf>
    <xf numFmtId="0" fontId="14" fillId="14" borderId="8" xfId="5" applyFont="1" applyFill="1" applyBorder="1" applyAlignment="1">
      <alignment horizontal="left" vertical="center" shrinkToFit="1"/>
    </xf>
    <xf numFmtId="0" fontId="14" fillId="15" borderId="8" xfId="5" applyFont="1" applyFill="1" applyBorder="1" applyAlignment="1">
      <alignment horizontal="left" vertical="center" shrinkToFit="1"/>
    </xf>
    <xf numFmtId="1" fontId="13" fillId="17" borderId="8" xfId="0" applyNumberFormat="1" applyFont="1" applyFill="1" applyBorder="1" applyAlignment="1" applyProtection="1">
      <alignment horizontal="left" vertical="center" shrinkToFit="1"/>
      <protection locked="0"/>
    </xf>
    <xf numFmtId="0" fontId="14" fillId="17" borderId="8" xfId="5" applyFont="1" applyFill="1" applyBorder="1" applyAlignment="1">
      <alignment horizontal="left" vertical="center" shrinkToFit="1"/>
    </xf>
    <xf numFmtId="1" fontId="14" fillId="7" borderId="8" xfId="0" applyNumberFormat="1" applyFont="1" applyFill="1" applyBorder="1" applyAlignment="1" applyProtection="1">
      <alignment horizontal="left" vertical="center" shrinkToFit="1"/>
      <protection locked="0"/>
    </xf>
    <xf numFmtId="0" fontId="14" fillId="9" borderId="8" xfId="5" applyFont="1" applyFill="1" applyBorder="1" applyAlignment="1">
      <alignment horizontal="left" vertical="center" shrinkToFit="1"/>
    </xf>
    <xf numFmtId="0" fontId="38" fillId="10" borderId="8" xfId="20" applyFont="1" applyFill="1" applyBorder="1" applyAlignment="1" applyProtection="1">
      <alignment vertical="center" shrinkToFit="1"/>
      <protection locked="0"/>
    </xf>
    <xf numFmtId="1" fontId="13" fillId="16" borderId="7" xfId="0" applyNumberFormat="1" applyFont="1" applyFill="1" applyBorder="1" applyAlignment="1" applyProtection="1">
      <alignment horizontal="left" vertical="center" shrinkToFit="1"/>
      <protection locked="0"/>
    </xf>
    <xf numFmtId="1" fontId="14" fillId="13" borderId="7" xfId="0" applyNumberFormat="1" applyFont="1" applyFill="1" applyBorder="1" applyAlignment="1" applyProtection="1">
      <alignment horizontal="left" vertical="center" shrinkToFit="1"/>
      <protection locked="0"/>
    </xf>
    <xf numFmtId="0" fontId="13" fillId="5" borderId="20" xfId="0" applyFont="1" applyFill="1" applyBorder="1" applyAlignment="1" applyProtection="1">
      <alignment horizontal="left" vertical="center" shrinkToFit="1"/>
      <protection locked="0"/>
    </xf>
    <xf numFmtId="0" fontId="14" fillId="5" borderId="6" xfId="0" applyFont="1" applyFill="1" applyBorder="1" applyAlignment="1" applyProtection="1">
      <alignment horizontal="left" vertical="center" shrinkToFit="1"/>
      <protection locked="0"/>
    </xf>
    <xf numFmtId="1" fontId="13" fillId="18" borderId="8" xfId="0" applyNumberFormat="1" applyFont="1" applyFill="1" applyBorder="1" applyAlignment="1" applyProtection="1">
      <alignment horizontal="left" vertical="center" shrinkToFit="1"/>
      <protection locked="0"/>
    </xf>
    <xf numFmtId="1" fontId="13" fillId="20" borderId="7" xfId="0" applyNumberFormat="1" applyFont="1" applyFill="1" applyBorder="1" applyAlignment="1" applyProtection="1">
      <alignment horizontal="left" vertical="center" shrinkToFit="1"/>
      <protection locked="0"/>
    </xf>
    <xf numFmtId="0" fontId="14" fillId="20" borderId="8" xfId="4" applyFont="1" applyFill="1" applyBorder="1" applyAlignment="1">
      <alignment vertical="center" shrinkToFit="1"/>
    </xf>
    <xf numFmtId="1" fontId="13" fillId="20" borderId="8" xfId="0" applyNumberFormat="1" applyFont="1" applyFill="1" applyBorder="1" applyAlignment="1" applyProtection="1">
      <alignment horizontal="left" vertical="center" shrinkToFit="1"/>
      <protection locked="0"/>
    </xf>
    <xf numFmtId="0" fontId="14" fillId="19" borderId="8" xfId="4" applyFont="1" applyFill="1" applyBorder="1" applyAlignment="1">
      <alignment vertical="center" shrinkToFit="1"/>
    </xf>
    <xf numFmtId="1" fontId="14" fillId="19" borderId="8" xfId="0" applyNumberFormat="1" applyFont="1" applyFill="1" applyBorder="1" applyAlignment="1" applyProtection="1">
      <alignment horizontal="left" vertical="center" shrinkToFit="1"/>
      <protection locked="0"/>
    </xf>
    <xf numFmtId="0" fontId="14" fillId="8" borderId="7" xfId="5" applyFont="1" applyFill="1" applyBorder="1" applyAlignment="1">
      <alignment horizontal="left" vertical="center" shrinkToFit="1"/>
    </xf>
    <xf numFmtId="1" fontId="14" fillId="8" borderId="8" xfId="0" applyNumberFormat="1" applyFont="1" applyFill="1" applyBorder="1" applyAlignment="1" applyProtection="1">
      <alignment horizontal="left" vertical="center" shrinkToFit="1"/>
      <protection locked="0"/>
    </xf>
    <xf numFmtId="1" fontId="13" fillId="18" borderId="7" xfId="0" applyNumberFormat="1" applyFont="1" applyFill="1" applyBorder="1" applyAlignment="1" applyProtection="1">
      <alignment horizontal="left" vertical="center" shrinkToFit="1"/>
      <protection locked="0"/>
    </xf>
    <xf numFmtId="1" fontId="13" fillId="16" borderId="20" xfId="0" applyNumberFormat="1" applyFont="1" applyFill="1" applyBorder="1" applyAlignment="1" applyProtection="1">
      <alignment horizontal="left" vertical="center" shrinkToFit="1"/>
      <protection locked="0"/>
    </xf>
    <xf numFmtId="0" fontId="14" fillId="8" borderId="8" xfId="5" applyFont="1" applyFill="1" applyBorder="1" applyAlignment="1">
      <alignment horizontal="left" vertical="center" shrinkToFit="1"/>
    </xf>
    <xf numFmtId="1" fontId="13" fillId="15" borderId="7" xfId="0" applyNumberFormat="1" applyFont="1" applyFill="1" applyBorder="1" applyAlignment="1" applyProtection="1">
      <alignment horizontal="left" vertical="center" shrinkToFit="1"/>
      <protection locked="0"/>
    </xf>
    <xf numFmtId="1" fontId="13" fillId="16" borderId="6" xfId="0" applyNumberFormat="1" applyFont="1" applyFill="1" applyBorder="1" applyAlignment="1" applyProtection="1">
      <alignment horizontal="left" vertical="center" shrinkToFit="1"/>
      <protection locked="0"/>
    </xf>
    <xf numFmtId="1" fontId="14" fillId="20" borderId="8" xfId="0" applyNumberFormat="1" applyFont="1" applyFill="1" applyBorder="1" applyAlignment="1" applyProtection="1">
      <alignment horizontal="left" vertical="center" shrinkToFit="1"/>
      <protection locked="0"/>
    </xf>
    <xf numFmtId="1" fontId="14" fillId="21" borderId="8" xfId="0" applyNumberFormat="1" applyFont="1" applyFill="1" applyBorder="1" applyAlignment="1" applyProtection="1">
      <alignment horizontal="left" vertical="center" shrinkToFit="1"/>
      <protection locked="0"/>
    </xf>
    <xf numFmtId="0" fontId="14" fillId="10" borderId="8" xfId="5" applyFont="1" applyFill="1" applyBorder="1" applyAlignment="1">
      <alignment horizontal="left" vertical="center" shrinkToFit="1"/>
    </xf>
    <xf numFmtId="1" fontId="14" fillId="10" borderId="8" xfId="0" applyNumberFormat="1" applyFont="1" applyFill="1" applyBorder="1" applyAlignment="1" applyProtection="1">
      <alignment horizontal="left" vertical="center" shrinkToFit="1"/>
      <protection locked="0"/>
    </xf>
    <xf numFmtId="1" fontId="13" fillId="11" borderId="8" xfId="0" applyNumberFormat="1" applyFont="1" applyFill="1" applyBorder="1" applyAlignment="1" applyProtection="1">
      <alignment horizontal="left" vertical="center" shrinkToFit="1"/>
      <protection locked="0"/>
    </xf>
    <xf numFmtId="1" fontId="14" fillId="5" borderId="9" xfId="0" applyNumberFormat="1" applyFont="1" applyFill="1" applyBorder="1" applyAlignment="1" applyProtection="1">
      <alignment horizontal="left" vertical="center" shrinkToFit="1"/>
      <protection locked="0"/>
    </xf>
    <xf numFmtId="0" fontId="14" fillId="21" borderId="8" xfId="5" applyFont="1" applyFill="1" applyBorder="1" applyAlignment="1">
      <alignment horizontal="left" vertical="center" shrinkToFit="1"/>
    </xf>
    <xf numFmtId="0" fontId="32" fillId="10" borderId="8" xfId="5" applyFont="1" applyFill="1" applyBorder="1" applyAlignment="1">
      <alignment horizontal="left" vertical="center" shrinkToFit="1"/>
    </xf>
    <xf numFmtId="0" fontId="32" fillId="11" borderId="8" xfId="5" applyFont="1" applyFill="1" applyBorder="1" applyAlignment="1">
      <alignment horizontal="left" vertical="center" shrinkToFit="1"/>
    </xf>
    <xf numFmtId="0" fontId="14" fillId="22" borderId="8" xfId="5" applyFont="1" applyFill="1" applyBorder="1" applyAlignment="1">
      <alignment horizontal="left" vertical="center" shrinkToFit="1"/>
    </xf>
    <xf numFmtId="0" fontId="38" fillId="22" borderId="8" xfId="20" applyFont="1" applyFill="1" applyBorder="1" applyAlignment="1" applyProtection="1">
      <alignment vertical="center" shrinkToFit="1"/>
      <protection locked="0"/>
    </xf>
    <xf numFmtId="1" fontId="13" fillId="7" borderId="8" xfId="0" applyNumberFormat="1" applyFont="1" applyFill="1" applyBorder="1" applyAlignment="1" applyProtection="1">
      <alignment horizontal="left" vertical="center" shrinkToFit="1"/>
      <protection locked="0"/>
    </xf>
    <xf numFmtId="0" fontId="13" fillId="7" borderId="8" xfId="5" applyFill="1" applyBorder="1" applyAlignment="1">
      <alignment horizontal="left" vertical="center" shrinkToFit="1"/>
    </xf>
    <xf numFmtId="1" fontId="13" fillId="23" borderId="8" xfId="0" applyNumberFormat="1" applyFont="1" applyFill="1" applyBorder="1" applyAlignment="1" applyProtection="1">
      <alignment horizontal="left" vertical="center" shrinkToFit="1"/>
      <protection locked="0"/>
    </xf>
    <xf numFmtId="0" fontId="0" fillId="23" borderId="8" xfId="20" applyFont="1" applyFill="1" applyBorder="1" applyAlignment="1" applyProtection="1">
      <alignment vertical="center" shrinkToFit="1"/>
      <protection locked="0"/>
    </xf>
    <xf numFmtId="0" fontId="13" fillId="5" borderId="24" xfId="4" applyFill="1" applyBorder="1" applyAlignment="1">
      <alignment vertical="center" shrinkToFit="1"/>
    </xf>
    <xf numFmtId="1" fontId="14" fillId="23" borderId="8" xfId="0" applyNumberFormat="1" applyFont="1" applyFill="1" applyBorder="1" applyAlignment="1" applyProtection="1">
      <alignment horizontal="left" vertical="center" shrinkToFit="1"/>
      <protection locked="0"/>
    </xf>
    <xf numFmtId="0" fontId="32" fillId="8" borderId="8" xfId="4" applyFont="1" applyFill="1" applyBorder="1" applyAlignment="1">
      <alignment vertical="center" shrinkToFit="1"/>
    </xf>
    <xf numFmtId="1" fontId="14" fillId="9" borderId="8" xfId="0" applyNumberFormat="1" applyFont="1" applyFill="1" applyBorder="1" applyAlignment="1" applyProtection="1">
      <alignment horizontal="left" vertical="center" shrinkToFit="1"/>
      <protection locked="0"/>
    </xf>
    <xf numFmtId="0" fontId="32" fillId="21" borderId="8" xfId="4" applyFont="1" applyFill="1" applyBorder="1" applyAlignment="1">
      <alignment vertical="center" shrinkToFit="1"/>
    </xf>
    <xf numFmtId="0" fontId="14" fillId="21" borderId="8" xfId="4" applyFont="1" applyFill="1" applyBorder="1" applyAlignment="1">
      <alignment vertical="center" shrinkToFit="1"/>
    </xf>
    <xf numFmtId="0" fontId="14" fillId="5" borderId="23" xfId="4" applyFont="1" applyFill="1" applyBorder="1" applyAlignment="1">
      <alignment vertical="center" shrinkToFit="1"/>
    </xf>
    <xf numFmtId="0" fontId="14" fillId="5" borderId="21" xfId="5" applyFont="1" applyFill="1" applyBorder="1" applyAlignment="1">
      <alignment horizontal="left" vertical="center" shrinkToFit="1"/>
    </xf>
    <xf numFmtId="0" fontId="14" fillId="23" borderId="8" xfId="4" applyFont="1" applyFill="1" applyBorder="1" applyAlignment="1">
      <alignment vertical="center" shrinkToFit="1"/>
    </xf>
    <xf numFmtId="0" fontId="12" fillId="4" borderId="3" xfId="0" applyFont="1" applyFill="1" applyBorder="1" applyAlignment="1" applyProtection="1">
      <alignment horizontal="center"/>
      <protection locked="0"/>
    </xf>
    <xf numFmtId="0" fontId="12" fillId="4" borderId="4" xfId="0" applyFont="1" applyFill="1" applyBorder="1" applyAlignment="1" applyProtection="1">
      <alignment horizontal="center"/>
      <protection locked="0"/>
    </xf>
    <xf numFmtId="0" fontId="14" fillId="0" borderId="6" xfId="1" applyFont="1" applyBorder="1" applyAlignment="1">
      <alignment horizontal="center" vertical="center" shrinkToFit="1"/>
    </xf>
    <xf numFmtId="0" fontId="12" fillId="0" borderId="1" xfId="0" applyFont="1" applyFill="1" applyBorder="1" applyAlignment="1" applyProtection="1">
      <alignment horizontal="center" shrinkToFit="1"/>
    </xf>
    <xf numFmtId="0" fontId="12" fillId="0" borderId="5" xfId="0" applyFont="1" applyFill="1" applyBorder="1" applyAlignment="1" applyProtection="1">
      <alignment horizontal="center"/>
      <protection locked="0"/>
    </xf>
    <xf numFmtId="0" fontId="22" fillId="3" borderId="4" xfId="0" applyFont="1" applyFill="1" applyBorder="1" applyAlignment="1" applyProtection="1">
      <alignment horizontal="right"/>
    </xf>
    <xf numFmtId="0" fontId="22" fillId="0" borderId="16" xfId="0" applyFont="1" applyFill="1" applyBorder="1" applyAlignment="1" applyProtection="1">
      <alignment horizontal="center" vertical="center" shrinkToFit="1"/>
    </xf>
    <xf numFmtId="0" fontId="14" fillId="5" borderId="8" xfId="0" applyFont="1" applyFill="1" applyBorder="1" applyAlignment="1" applyProtection="1">
      <alignment horizontal="center" vertical="center" shrinkToFit="1"/>
      <protection locked="0"/>
    </xf>
    <xf numFmtId="0" fontId="14" fillId="5" borderId="16" xfId="0" applyFont="1" applyFill="1" applyBorder="1" applyAlignment="1" applyProtection="1">
      <alignment horizontal="center" vertical="center" shrinkToFit="1"/>
      <protection locked="0"/>
    </xf>
    <xf numFmtId="0" fontId="14" fillId="5" borderId="8" xfId="4" applyFont="1" applyFill="1" applyBorder="1" applyAlignment="1">
      <alignment horizontal="center" vertical="center" shrinkToFit="1"/>
    </xf>
    <xf numFmtId="0" fontId="14" fillId="0" borderId="8" xfId="4" applyFont="1" applyBorder="1" applyAlignment="1">
      <alignment horizontal="center" vertical="center" shrinkToFit="1"/>
    </xf>
    <xf numFmtId="0" fontId="14" fillId="0" borderId="8" xfId="0" applyFont="1" applyFill="1" applyBorder="1" applyAlignment="1" applyProtection="1">
      <alignment horizontal="center" vertical="center" shrinkToFit="1"/>
      <protection locked="0"/>
    </xf>
    <xf numFmtId="0" fontId="23" fillId="0" borderId="3" xfId="0" applyFont="1" applyFill="1" applyBorder="1" applyAlignment="1" applyProtection="1">
      <alignment horizontal="left"/>
    </xf>
    <xf numFmtId="0" fontId="22" fillId="0" borderId="4" xfId="0" applyFont="1" applyFill="1" applyBorder="1" applyAlignment="1" applyProtection="1">
      <alignment horizontal="left"/>
    </xf>
    <xf numFmtId="0" fontId="18" fillId="5" borderId="16" xfId="0" applyFont="1" applyFill="1" applyBorder="1" applyAlignment="1" applyProtection="1">
      <alignment horizontal="center" vertical="center" shrinkToFit="1"/>
      <protection locked="0"/>
    </xf>
    <xf numFmtId="0" fontId="18" fillId="5" borderId="8" xfId="0" applyFont="1" applyFill="1" applyBorder="1" applyAlignment="1" applyProtection="1">
      <alignment horizontal="center" vertical="center" shrinkToFit="1"/>
      <protection locked="0"/>
    </xf>
    <xf numFmtId="0" fontId="14" fillId="5" borderId="8" xfId="5" applyFont="1" applyFill="1" applyBorder="1" applyAlignment="1">
      <alignment horizontal="center" vertical="center" shrinkToFit="1"/>
    </xf>
    <xf numFmtId="0" fontId="14" fillId="0" borderId="8" xfId="5" applyFont="1" applyBorder="1" applyAlignment="1">
      <alignment horizontal="center" vertical="center" shrinkToFit="1"/>
    </xf>
    <xf numFmtId="0" fontId="18" fillId="0" borderId="8" xfId="0" applyFont="1" applyFill="1" applyBorder="1" applyAlignment="1" applyProtection="1">
      <alignment horizontal="center" vertical="center" shrinkToFit="1"/>
      <protection locked="0"/>
    </xf>
    <xf numFmtId="0" fontId="14" fillId="5" borderId="7" xfId="0" applyFont="1" applyFill="1" applyBorder="1" applyAlignment="1" applyProtection="1">
      <alignment horizontal="center" vertical="center" shrinkToFit="1"/>
      <protection locked="0"/>
    </xf>
    <xf numFmtId="0" fontId="32" fillId="0" borderId="8" xfId="4" applyFont="1" applyBorder="1" applyAlignment="1">
      <alignment horizontal="center" vertical="center" shrinkToFit="1"/>
    </xf>
    <xf numFmtId="0" fontId="32" fillId="0" borderId="7" xfId="4" applyFont="1" applyBorder="1" applyAlignment="1">
      <alignment horizontal="center" vertical="center" shrinkToFit="1"/>
    </xf>
    <xf numFmtId="0" fontId="14" fillId="0" borderId="7" xfId="4" applyFont="1" applyBorder="1" applyAlignment="1">
      <alignment horizontal="center" vertical="center" shrinkToFit="1"/>
    </xf>
    <xf numFmtId="0" fontId="13" fillId="0" borderId="8" xfId="0" applyFont="1" applyFill="1" applyBorder="1" applyAlignment="1" applyProtection="1">
      <alignment horizontal="center" vertical="center" shrinkToFit="1"/>
      <protection locked="0"/>
    </xf>
    <xf numFmtId="0" fontId="14" fillId="0" borderId="7" xfId="5" applyFont="1" applyBorder="1" applyAlignment="1">
      <alignment horizontal="center" vertical="center" shrinkToFit="1"/>
    </xf>
    <xf numFmtId="0" fontId="39" fillId="0" borderId="16" xfId="0" applyFont="1" applyFill="1" applyBorder="1" applyAlignment="1" applyProtection="1">
      <alignment horizontal="center" vertical="center" shrinkToFit="1"/>
    </xf>
    <xf numFmtId="0" fontId="32" fillId="5" borderId="8" xfId="4" applyFont="1" applyFill="1" applyBorder="1" applyAlignment="1">
      <alignment horizontal="center" vertical="center" shrinkToFit="1"/>
    </xf>
    <xf numFmtId="0" fontId="32" fillId="5" borderId="7" xfId="4" applyFont="1" applyFill="1" applyBorder="1" applyAlignment="1">
      <alignment horizontal="center" vertical="center" shrinkToFit="1"/>
    </xf>
    <xf numFmtId="0" fontId="32" fillId="5" borderId="7" xfId="1" applyFont="1" applyFill="1" applyBorder="1" applyAlignment="1">
      <alignment horizontal="center" vertical="center"/>
    </xf>
    <xf numFmtId="0" fontId="30" fillId="5" borderId="7" xfId="5" applyFont="1" applyFill="1" applyBorder="1" applyAlignment="1">
      <alignment horizontal="center" vertical="center" shrinkToFit="1"/>
    </xf>
    <xf numFmtId="0" fontId="30" fillId="5" borderId="8" xfId="5" applyFont="1" applyFill="1" applyBorder="1" applyAlignment="1">
      <alignment horizontal="center" vertical="center" shrinkToFit="1"/>
    </xf>
    <xf numFmtId="0" fontId="18" fillId="5" borderId="7" xfId="0" applyFont="1" applyFill="1" applyBorder="1" applyAlignment="1" applyProtection="1">
      <alignment horizontal="center" vertical="center" shrinkToFit="1"/>
      <protection locked="0"/>
    </xf>
    <xf numFmtId="0" fontId="13" fillId="0" borderId="7" xfId="4" applyBorder="1" applyAlignment="1">
      <alignment horizontal="center" vertical="center" shrinkToFit="1"/>
    </xf>
    <xf numFmtId="0" fontId="13" fillId="0" borderId="8" xfId="5" applyBorder="1" applyAlignment="1">
      <alignment horizontal="center" vertical="center" shrinkToFit="1"/>
    </xf>
    <xf numFmtId="0" fontId="13" fillId="0" borderId="7" xfId="5" applyBorder="1" applyAlignment="1">
      <alignment horizontal="center" vertical="center" shrinkToFit="1"/>
    </xf>
    <xf numFmtId="0" fontId="32" fillId="5" borderId="19" xfId="4" applyFont="1" applyFill="1" applyBorder="1" applyAlignment="1">
      <alignment horizontal="center" vertical="center" shrinkToFit="1"/>
    </xf>
    <xf numFmtId="0" fontId="14" fillId="5" borderId="7" xfId="4" applyFont="1" applyFill="1" applyBorder="1" applyAlignment="1">
      <alignment horizontal="center" vertical="center" shrinkToFit="1"/>
    </xf>
    <xf numFmtId="0" fontId="14" fillId="5" borderId="29" xfId="4" applyFont="1" applyFill="1" applyBorder="1" applyAlignment="1">
      <alignment horizontal="center" vertical="center" shrinkToFit="1"/>
    </xf>
    <xf numFmtId="0" fontId="14" fillId="5" borderId="20" xfId="0" applyFont="1" applyFill="1" applyBorder="1" applyAlignment="1" applyProtection="1">
      <alignment horizontal="center" vertical="center" shrinkToFit="1"/>
      <protection locked="0"/>
    </xf>
    <xf numFmtId="0" fontId="32" fillId="5" borderId="7" xfId="1" applyFont="1" applyFill="1" applyBorder="1" applyAlignment="1">
      <alignment horizontal="center" vertical="center" shrinkToFit="1"/>
    </xf>
    <xf numFmtId="0" fontId="14" fillId="5" borderId="31" xfId="0" applyFont="1" applyFill="1" applyBorder="1" applyAlignment="1" applyProtection="1">
      <alignment horizontal="center" vertical="center" shrinkToFit="1"/>
      <protection locked="0"/>
    </xf>
    <xf numFmtId="0" fontId="32" fillId="5" borderId="8" xfId="5" applyFont="1" applyFill="1" applyBorder="1" applyAlignment="1">
      <alignment horizontal="center" vertical="center" shrinkToFit="1"/>
    </xf>
    <xf numFmtId="0" fontId="14" fillId="5" borderId="7" xfId="5" applyFont="1" applyFill="1" applyBorder="1" applyAlignment="1">
      <alignment horizontal="center" vertical="center" shrinkToFit="1"/>
    </xf>
    <xf numFmtId="0" fontId="33" fillId="5" borderId="7" xfId="15" applyFill="1" applyBorder="1" applyProtection="1">
      <alignment vertical="center"/>
    </xf>
    <xf numFmtId="0" fontId="14" fillId="5" borderId="29" xfId="5" applyFont="1" applyFill="1" applyBorder="1" applyAlignment="1">
      <alignment horizontal="center" vertical="center" shrinkToFit="1"/>
    </xf>
    <xf numFmtId="0" fontId="30" fillId="5" borderId="20" xfId="5" applyFont="1" applyFill="1" applyBorder="1" applyAlignment="1">
      <alignment horizontal="center" vertical="center" shrinkToFit="1"/>
    </xf>
    <xf numFmtId="0" fontId="18" fillId="5" borderId="14" xfId="0" applyFont="1" applyFill="1" applyBorder="1" applyAlignment="1" applyProtection="1">
      <alignment horizontal="center" vertical="center" shrinkToFit="1"/>
      <protection locked="0"/>
    </xf>
    <xf numFmtId="0" fontId="13" fillId="5" borderId="7" xfId="5" applyFill="1" applyBorder="1" applyAlignment="1">
      <alignment horizontal="center" vertical="center" shrinkToFit="1"/>
    </xf>
    <xf numFmtId="0" fontId="18" fillId="5" borderId="19" xfId="0" applyFont="1" applyFill="1" applyBorder="1" applyAlignment="1" applyProtection="1">
      <alignment horizontal="center" vertical="center" shrinkToFit="1"/>
      <protection locked="0"/>
    </xf>
    <xf numFmtId="0" fontId="14" fillId="5" borderId="25" xfId="4" applyFont="1" applyFill="1" applyBorder="1" applyAlignment="1">
      <alignment horizontal="center" vertical="center" shrinkToFit="1"/>
    </xf>
    <xf numFmtId="0" fontId="14" fillId="5" borderId="22" xfId="5" applyFont="1" applyFill="1" applyBorder="1" applyAlignment="1">
      <alignment horizontal="center" vertical="center" shrinkToFit="1"/>
    </xf>
    <xf numFmtId="0" fontId="14" fillId="5" borderId="25" xfId="0" applyFont="1" applyFill="1" applyBorder="1" applyAlignment="1" applyProtection="1">
      <alignment horizontal="center" vertical="center" shrinkToFit="1"/>
      <protection locked="0"/>
    </xf>
    <xf numFmtId="0" fontId="13" fillId="5" borderId="24" xfId="4" applyFill="1" applyBorder="1" applyAlignment="1">
      <alignment horizontal="center" vertical="center" shrinkToFit="1"/>
    </xf>
    <xf numFmtId="0" fontId="14" fillId="5" borderId="14" xfId="0" applyFont="1" applyFill="1" applyBorder="1" applyAlignment="1" applyProtection="1">
      <alignment horizontal="center" vertical="center" shrinkToFit="1"/>
      <protection locked="0"/>
    </xf>
    <xf numFmtId="0" fontId="32" fillId="5" borderId="8" xfId="1" applyFont="1" applyFill="1" applyBorder="1" applyAlignment="1">
      <alignment horizontal="center" vertical="center"/>
    </xf>
    <xf numFmtId="0" fontId="13" fillId="5" borderId="8" xfId="5" applyFill="1" applyBorder="1" applyAlignment="1">
      <alignment horizontal="center" vertical="center" shrinkToFit="1"/>
    </xf>
    <xf numFmtId="0" fontId="30" fillId="5" borderId="30" xfId="5" applyFont="1" applyFill="1" applyBorder="1" applyAlignment="1">
      <alignment horizontal="center" vertical="center" shrinkToFit="1"/>
    </xf>
    <xf numFmtId="0" fontId="13" fillId="5" borderId="8" xfId="4" applyFill="1" applyBorder="1" applyAlignment="1">
      <alignment horizontal="center" vertical="center" shrinkToFit="1"/>
    </xf>
    <xf numFmtId="0" fontId="14" fillId="5" borderId="16" xfId="4" applyFont="1" applyFill="1" applyBorder="1" applyAlignment="1">
      <alignment horizontal="center" vertical="center" shrinkToFit="1"/>
    </xf>
    <xf numFmtId="1" fontId="14" fillId="11" borderId="20" xfId="0" applyNumberFormat="1" applyFont="1" applyFill="1" applyBorder="1" applyAlignment="1" applyProtection="1">
      <alignment horizontal="left" vertical="center" shrinkToFit="1"/>
      <protection locked="0"/>
    </xf>
    <xf numFmtId="1" fontId="13" fillId="13" borderId="7" xfId="0" applyNumberFormat="1" applyFont="1" applyFill="1" applyBorder="1" applyAlignment="1" applyProtection="1">
      <alignment horizontal="left" vertical="center" shrinkToFit="1"/>
      <protection locked="0"/>
    </xf>
    <xf numFmtId="1" fontId="14" fillId="11" borderId="26" xfId="0" applyNumberFormat="1" applyFont="1" applyFill="1" applyBorder="1" applyAlignment="1" applyProtection="1">
      <alignment horizontal="left" vertical="center" shrinkToFit="1"/>
      <protection locked="0"/>
    </xf>
    <xf numFmtId="0" fontId="14" fillId="5" borderId="26" xfId="5" applyFont="1" applyFill="1" applyBorder="1" applyAlignment="1">
      <alignment horizontal="left" vertical="center" shrinkToFit="1"/>
    </xf>
    <xf numFmtId="0" fontId="12" fillId="0" borderId="8" xfId="0" applyFont="1" applyBorder="1">
      <alignment vertical="center"/>
    </xf>
    <xf numFmtId="0" fontId="30" fillId="5" borderId="0" xfId="4" applyFont="1" applyFill="1" applyAlignment="1">
      <alignment vertical="center" shrinkToFit="1"/>
    </xf>
    <xf numFmtId="0" fontId="14" fillId="19" borderId="7" xfId="5" applyFont="1" applyFill="1" applyBorder="1" applyAlignment="1">
      <alignment horizontal="left" vertical="center" shrinkToFit="1"/>
    </xf>
    <xf numFmtId="1" fontId="14" fillId="5" borderId="23" xfId="0" applyNumberFormat="1" applyFont="1" applyFill="1" applyBorder="1" applyAlignment="1" applyProtection="1">
      <alignment horizontal="left" vertical="center" shrinkToFit="1"/>
      <protection locked="0"/>
    </xf>
    <xf numFmtId="0" fontId="43" fillId="0" borderId="8" xfId="0" applyFont="1" applyBorder="1">
      <alignment vertical="center"/>
    </xf>
    <xf numFmtId="1" fontId="13" fillId="5" borderId="34" xfId="0" applyNumberFormat="1" applyFont="1" applyFill="1" applyBorder="1" applyAlignment="1" applyProtection="1">
      <alignment horizontal="left" vertical="center" shrinkToFit="1"/>
      <protection locked="0"/>
    </xf>
    <xf numFmtId="1" fontId="14" fillId="5" borderId="21" xfId="0" applyNumberFormat="1" applyFont="1" applyFill="1" applyBorder="1" applyAlignment="1" applyProtection="1">
      <alignment horizontal="left" vertical="center" shrinkToFit="1"/>
      <protection locked="0"/>
    </xf>
    <xf numFmtId="0" fontId="32" fillId="0" borderId="8" xfId="0" applyFont="1" applyBorder="1" applyAlignment="1">
      <alignment horizontal="center" vertical="center"/>
    </xf>
    <xf numFmtId="0" fontId="18" fillId="5" borderId="34" xfId="0" applyFont="1" applyFill="1" applyBorder="1" applyAlignment="1" applyProtection="1">
      <alignment horizontal="center" vertical="center" shrinkToFit="1"/>
      <protection locked="0"/>
    </xf>
    <xf numFmtId="0" fontId="14" fillId="5" borderId="22" xfId="0" applyFont="1" applyFill="1" applyBorder="1" applyAlignment="1" applyProtection="1">
      <alignment horizontal="center" vertical="center" shrinkToFit="1"/>
      <protection locked="0"/>
    </xf>
    <xf numFmtId="0" fontId="12" fillId="0" borderId="8" xfId="4" applyFont="1" applyBorder="1" applyAlignment="1">
      <alignment vertical="center" shrinkToFit="1"/>
    </xf>
    <xf numFmtId="0" fontId="14" fillId="5" borderId="34" xfId="7" applyFont="1" applyFill="1" applyBorder="1" applyAlignment="1">
      <alignment vertical="center" shrinkToFit="1"/>
    </xf>
    <xf numFmtId="0" fontId="14" fillId="5" borderId="18" xfId="5" applyFont="1" applyFill="1" applyBorder="1" applyAlignment="1">
      <alignment horizontal="left" vertical="center" shrinkToFit="1"/>
    </xf>
    <xf numFmtId="0" fontId="30" fillId="5" borderId="6" xfId="5" applyFont="1" applyFill="1" applyBorder="1" applyAlignment="1">
      <alignment horizontal="left" vertical="center" shrinkToFit="1"/>
    </xf>
    <xf numFmtId="49" fontId="33" fillId="5" borderId="6" xfId="15" applyNumberFormat="1" applyFill="1" applyBorder="1" applyProtection="1">
      <alignment vertical="center"/>
    </xf>
    <xf numFmtId="0" fontId="14" fillId="5" borderId="19" xfId="5" applyFont="1" applyFill="1" applyBorder="1" applyAlignment="1">
      <alignment horizontal="center" vertical="center" shrinkToFit="1"/>
    </xf>
    <xf numFmtId="0" fontId="32" fillId="5" borderId="7" xfId="5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vertical="center" shrinkToFit="1"/>
    </xf>
    <xf numFmtId="56" fontId="40" fillId="0" borderId="0" xfId="1" applyNumberFormat="1" applyFont="1" applyAlignment="1">
      <alignment horizontal="right"/>
    </xf>
    <xf numFmtId="14" fontId="40" fillId="0" borderId="0" xfId="1" applyNumberFormat="1" applyFont="1" applyAlignment="1">
      <alignment horizontal="right"/>
    </xf>
    <xf numFmtId="0" fontId="16" fillId="0" borderId="7" xfId="1" applyFont="1" applyBorder="1" applyAlignment="1">
      <alignment horizontal="center" vertical="center"/>
    </xf>
    <xf numFmtId="0" fontId="16" fillId="0" borderId="7" xfId="1" applyFont="1" applyBorder="1"/>
    <xf numFmtId="0" fontId="27" fillId="0" borderId="1" xfId="0" applyFont="1" applyFill="1" applyBorder="1" applyAlignment="1" applyProtection="1"/>
    <xf numFmtId="0" fontId="14" fillId="0" borderId="2" xfId="1" applyFont="1" applyBorder="1" applyAlignment="1">
      <alignment horizontal="center" vertical="center"/>
    </xf>
    <xf numFmtId="0" fontId="14" fillId="0" borderId="17" xfId="1" applyFont="1" applyBorder="1" applyAlignment="1">
      <alignment horizontal="center" vertical="center"/>
    </xf>
    <xf numFmtId="0" fontId="16" fillId="0" borderId="2" xfId="1" applyFont="1" applyBorder="1" applyAlignment="1">
      <alignment horizontal="center" vertical="center"/>
    </xf>
    <xf numFmtId="0" fontId="13" fillId="0" borderId="17" xfId="1" applyBorder="1" applyAlignment="1">
      <alignment horizontal="center" vertical="center"/>
    </xf>
    <xf numFmtId="0" fontId="16" fillId="0" borderId="6" xfId="1" applyFont="1" applyBorder="1" applyAlignment="1">
      <alignment horizontal="center" vertical="center"/>
    </xf>
    <xf numFmtId="0" fontId="13" fillId="0" borderId="5" xfId="1" applyBorder="1"/>
    <xf numFmtId="0" fontId="34" fillId="0" borderId="0" xfId="0" applyFont="1" applyFill="1" applyAlignment="1" applyProtection="1">
      <alignment horizontal="center" vertical="center" shrinkToFit="1"/>
    </xf>
    <xf numFmtId="0" fontId="35" fillId="0" borderId="0" xfId="0" applyFont="1" applyFill="1" applyAlignment="1" applyProtection="1">
      <alignment horizontal="center" vertical="center"/>
    </xf>
    <xf numFmtId="0" fontId="35" fillId="0" borderId="0" xfId="0" applyFont="1" applyFill="1" applyAlignment="1" applyProtection="1">
      <alignment horizontal="center" vertical="center" shrinkToFit="1"/>
    </xf>
    <xf numFmtId="0" fontId="23" fillId="0" borderId="3" xfId="0" applyFont="1" applyFill="1" applyBorder="1" applyAlignment="1" applyProtection="1">
      <alignment horizontal="center"/>
    </xf>
    <xf numFmtId="0" fontId="41" fillId="0" borderId="3" xfId="0" applyFont="1" applyFill="1" applyBorder="1" applyAlignment="1" applyProtection="1">
      <alignment horizontal="center"/>
    </xf>
  </cellXfs>
  <cellStyles count="57">
    <cellStyle name="標準" xfId="0" builtinId="0"/>
    <cellStyle name="標準 10" xfId="26" xr:uid="{1F2EFE60-E3DF-4A65-B10D-E203AE9968A6}"/>
    <cellStyle name="標準 10 2" xfId="51" xr:uid="{31AFFDF5-0DD2-4690-8301-C4157EA0D2C5}"/>
    <cellStyle name="標準 11" xfId="27" xr:uid="{3D44C3D9-6B96-43F0-8719-E44A3B12B7E7}"/>
    <cellStyle name="標準 11 2" xfId="53" xr:uid="{420230BB-04F7-458F-909E-4FE15C9F1D09}"/>
    <cellStyle name="標準 12" xfId="31" xr:uid="{F590685F-64D8-4796-A61C-8F3459402A7D}"/>
    <cellStyle name="標準 13" xfId="35" xr:uid="{D6DA567D-EDE3-4C9C-B6BC-B60F9017589D}"/>
    <cellStyle name="標準 2" xfId="1" xr:uid="{00000000-0005-0000-0000-000001000000}"/>
    <cellStyle name="標準 2 2" xfId="2" xr:uid="{00000000-0005-0000-0000-000002000000}"/>
    <cellStyle name="標準 2 3" xfId="3" xr:uid="{00000000-0005-0000-0000-000003000000}"/>
    <cellStyle name="標準 2_11spring追加変更精算集計表" xfId="20" xr:uid="{BEC52626-E9A4-4F22-B028-F15B18E9C128}"/>
    <cellStyle name="標準 3" xfId="6" xr:uid="{00000000-0005-0000-0000-000004000000}"/>
    <cellStyle name="標準 3 10" xfId="37" xr:uid="{2F20922A-C904-43A8-B1C0-174BE3C6E03C}"/>
    <cellStyle name="標準 3 11" xfId="39" xr:uid="{CB09104F-723C-4881-BCA6-D877376821FC}"/>
    <cellStyle name="標準 3 2" xfId="9" xr:uid="{2A446D47-BF3B-451E-A45F-E7BC726FFA1D}"/>
    <cellStyle name="標準 3 2 2" xfId="14" xr:uid="{6688FB7D-0296-4FF7-A13A-23F616AEA600}"/>
    <cellStyle name="標準 3 2 2 2" xfId="45" xr:uid="{48487060-9636-4D52-85A8-ECD90E031EA1}"/>
    <cellStyle name="標準 3 2 3" xfId="19" xr:uid="{0C8293F9-D811-4A0B-B818-C308D1959F6F}"/>
    <cellStyle name="標準 3 2 3 2" xfId="50" xr:uid="{82FC3E48-06D7-4DA3-BB2B-C264FDB078D7}"/>
    <cellStyle name="標準 3 2 4" xfId="25" xr:uid="{EBF12123-8895-4849-ADF9-75DCB06D4259}"/>
    <cellStyle name="標準 3 2 4 2" xfId="56" xr:uid="{D5B18C7A-50B9-4879-88DE-28B7ED9FFAF9}"/>
    <cellStyle name="標準 3 2 5" xfId="30" xr:uid="{732FC414-45D7-4BED-A7CD-2B98C1F46577}"/>
    <cellStyle name="標準 3 2 6" xfId="34" xr:uid="{48B79EDA-1F76-4813-AC56-F8C921705430}"/>
    <cellStyle name="標準 3 2 7" xfId="38" xr:uid="{B4778EF8-9A2F-45B8-9F22-AB9C858054B3}"/>
    <cellStyle name="標準 3 2 8" xfId="40" xr:uid="{F89FA2BA-0E8C-494A-9CC0-A2D35E19D187}"/>
    <cellStyle name="標準 3 3" xfId="7" xr:uid="{70A93582-0A5D-4FFC-87B2-EEEBA8334FAC}"/>
    <cellStyle name="標準 3 4" xfId="8" xr:uid="{3671A68F-F080-4335-8BA0-79A5A89ADBE7}"/>
    <cellStyle name="標準 3 4 2" xfId="44" xr:uid="{BB712F06-9F03-41CE-A893-85BE257FD14D}"/>
    <cellStyle name="標準 3 5" xfId="13" xr:uid="{ACE071B8-978A-46BA-88ED-7C33A417D8EF}"/>
    <cellStyle name="標準 3 5 2" xfId="49" xr:uid="{C0B08716-F8EE-4638-BF66-2A848E367C13}"/>
    <cellStyle name="標準 3 6" xfId="18" xr:uid="{5836D1D3-B1F3-4732-995F-89FE944B6E84}"/>
    <cellStyle name="標準 3 6 2" xfId="55" xr:uid="{DEBD375F-DB96-476A-9403-2D72419F7582}"/>
    <cellStyle name="標準 3 7" xfId="24" xr:uid="{6F2E901D-A251-49D2-A541-26DB2DF2D9C4}"/>
    <cellStyle name="標準 3 8" xfId="29" xr:uid="{42BBC803-8AE2-443B-BE1D-9DD09F02514D}"/>
    <cellStyle name="標準 3 9" xfId="33" xr:uid="{E1E5EDD5-0EC0-4505-8ED2-88F89DB681DB}"/>
    <cellStyle name="標準 4" xfId="10" xr:uid="{BF8947EE-5852-421B-9978-C5131DA2FB30}"/>
    <cellStyle name="標準 4 2" xfId="12" xr:uid="{4D38AD33-AF8B-4803-BCBF-2953E67C20D4}"/>
    <cellStyle name="標準 4 2 2" xfId="43" xr:uid="{FA41C514-5131-4939-8945-D388519CEA9C}"/>
    <cellStyle name="標準 4 3" xfId="17" xr:uid="{2DFCAF16-BDAD-4229-A9C3-D292F9C2ABDD}"/>
    <cellStyle name="標準 4 3 2" xfId="47" xr:uid="{9FDA8C2D-9F9F-4C22-92AA-3AC6F4BE5937}"/>
    <cellStyle name="標準 4 4" xfId="22" xr:uid="{C389E702-6817-4D34-BF91-6853A060516C}"/>
    <cellStyle name="標準 4 4 2" xfId="54" xr:uid="{7B41D786-96BC-4E64-A36B-6781CCCA3678}"/>
    <cellStyle name="標準 4 5" xfId="28" xr:uid="{DFD53E5B-3A6C-4B7F-B796-63D500C466DB}"/>
    <cellStyle name="標準 4 6" xfId="32" xr:uid="{39F091A1-605A-4E69-95D1-0FA38801108F}"/>
    <cellStyle name="標準 4 7" xfId="36" xr:uid="{78280993-2798-47C0-88E3-A0ECC809D629}"/>
    <cellStyle name="標準 4 8" xfId="41" xr:uid="{4283F5D6-0B0D-48EA-8DDE-986A59DA8F7B}"/>
    <cellStyle name="標準 5" xfId="15" xr:uid="{F3701BDE-0458-40E3-9940-EF800117107D}"/>
    <cellStyle name="標準 6" xfId="11" xr:uid="{6207B1F3-7A32-48BB-9E1A-2FC69F7EDD1F}"/>
    <cellStyle name="標準 6 2" xfId="42" xr:uid="{C5F37242-232E-477D-BF47-1767B729AB0B}"/>
    <cellStyle name="標準 7" xfId="16" xr:uid="{16D1541C-E725-48FF-9DD2-BE332BC3CB8A}"/>
    <cellStyle name="標準 7 2" xfId="46" xr:uid="{9CB900D6-ABA1-40BF-A4A0-8316EEC002AA}"/>
    <cellStyle name="標準 8" xfId="21" xr:uid="{3B38A2D0-5E0F-4DA0-98BE-27D53082080D}"/>
    <cellStyle name="標準 8 2" xfId="48" xr:uid="{2D2C2BB3-D176-4A57-9DD9-AE2C70881C43}"/>
    <cellStyle name="標準 9" xfId="23" xr:uid="{6A76DC1A-EB03-450B-8701-DB62B50D0D15}"/>
    <cellStyle name="標準 9 2" xfId="52" xr:uid="{A2CACE95-03C5-4D1A-8DF6-0218F8E9F4E7}"/>
    <cellStyle name="標準_~9874798" xfId="4" xr:uid="{00000000-0005-0000-0000-000005000000}"/>
    <cellStyle name="標準_一覧タイプ帳票(一般)" xfId="5" xr:uid="{00000000-0005-0000-0000-000006000000}"/>
  </cellStyles>
  <dxfs count="42"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FF99"/>
      <rgbColor rgb="00CCFFCC"/>
      <rgbColor rgb="00FFCC99"/>
      <rgbColor rgb="00C0C0C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00FF"/>
      <color rgb="FFCCFF33"/>
      <color rgb="FFCC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1</xdr:row>
          <xdr:rowOff>213360</xdr:rowOff>
        </xdr:from>
        <xdr:to>
          <xdr:col>25</xdr:col>
          <xdr:colOff>601980</xdr:colOff>
          <xdr:row>3</xdr:row>
          <xdr:rowOff>175260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14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381000</xdr:colOff>
          <xdr:row>8</xdr:row>
          <xdr:rowOff>22860</xdr:rowOff>
        </xdr:from>
        <xdr:to>
          <xdr:col>26</xdr:col>
          <xdr:colOff>601980</xdr:colOff>
          <xdr:row>10</xdr:row>
          <xdr:rowOff>60960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15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419100</xdr:colOff>
          <xdr:row>1</xdr:row>
          <xdr:rowOff>175260</xdr:rowOff>
        </xdr:from>
        <xdr:to>
          <xdr:col>25</xdr:col>
          <xdr:colOff>640080</xdr:colOff>
          <xdr:row>3</xdr:row>
          <xdr:rowOff>137160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2</xdr:row>
          <xdr:rowOff>213360</xdr:rowOff>
        </xdr:from>
        <xdr:to>
          <xdr:col>25</xdr:col>
          <xdr:colOff>601980</xdr:colOff>
          <xdr:row>4</xdr:row>
          <xdr:rowOff>175260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2</xdr:row>
          <xdr:rowOff>213360</xdr:rowOff>
        </xdr:from>
        <xdr:to>
          <xdr:col>25</xdr:col>
          <xdr:colOff>601980</xdr:colOff>
          <xdr:row>4</xdr:row>
          <xdr:rowOff>175260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8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2</xdr:row>
          <xdr:rowOff>213360</xdr:rowOff>
        </xdr:from>
        <xdr:to>
          <xdr:col>25</xdr:col>
          <xdr:colOff>601980</xdr:colOff>
          <xdr:row>4</xdr:row>
          <xdr:rowOff>175260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9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381000</xdr:colOff>
          <xdr:row>5</xdr:row>
          <xdr:rowOff>213360</xdr:rowOff>
        </xdr:from>
        <xdr:to>
          <xdr:col>26</xdr:col>
          <xdr:colOff>601980</xdr:colOff>
          <xdr:row>7</xdr:row>
          <xdr:rowOff>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A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381000</xdr:colOff>
          <xdr:row>3</xdr:row>
          <xdr:rowOff>213360</xdr:rowOff>
        </xdr:from>
        <xdr:to>
          <xdr:col>26</xdr:col>
          <xdr:colOff>601980</xdr:colOff>
          <xdr:row>5</xdr:row>
          <xdr:rowOff>175260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B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381000</xdr:colOff>
          <xdr:row>3</xdr:row>
          <xdr:rowOff>213360</xdr:rowOff>
        </xdr:from>
        <xdr:to>
          <xdr:col>26</xdr:col>
          <xdr:colOff>601980</xdr:colOff>
          <xdr:row>5</xdr:row>
          <xdr:rowOff>175260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381000</xdr:colOff>
          <xdr:row>8</xdr:row>
          <xdr:rowOff>22860</xdr:rowOff>
        </xdr:from>
        <xdr:to>
          <xdr:col>25</xdr:col>
          <xdr:colOff>601980</xdr:colOff>
          <xdr:row>10</xdr:row>
          <xdr:rowOff>60960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D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JEF情報の収集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1.bin"/><Relationship Id="rId4" Type="http://schemas.openxmlformats.org/officeDocument/2006/relationships/ctrlProp" Target="../ctrlProps/ctrlProp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2.bin"/><Relationship Id="rId4" Type="http://schemas.openxmlformats.org/officeDocument/2006/relationships/ctrlProp" Target="../ctrlProps/ctrlProp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3.bin"/><Relationship Id="rId4" Type="http://schemas.openxmlformats.org/officeDocument/2006/relationships/ctrlProp" Target="../ctrlProps/ctrlProp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4.bin"/><Relationship Id="rId4" Type="http://schemas.openxmlformats.org/officeDocument/2006/relationships/ctrlProp" Target="../ctrlProps/ctrlProp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5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6.bin"/><Relationship Id="rId4" Type="http://schemas.openxmlformats.org/officeDocument/2006/relationships/ctrlProp" Target="../ctrlProps/ctrlProp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7.bin"/><Relationship Id="rId4" Type="http://schemas.openxmlformats.org/officeDocument/2006/relationships/ctrlProp" Target="../ctrlProps/ctrlProp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8.bin"/><Relationship Id="rId4" Type="http://schemas.openxmlformats.org/officeDocument/2006/relationships/ctrlProp" Target="../ctrlProps/ctrlProp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9.bin"/><Relationship Id="rId4" Type="http://schemas.openxmlformats.org/officeDocument/2006/relationships/ctrlProp" Target="../ctrlProps/ctrlProp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0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C4418-862B-47FA-964B-ED7D612D396E}">
  <sheetPr codeName="Sheet1">
    <tabColor rgb="FF0070C0"/>
  </sheetPr>
  <dimension ref="A4:J16"/>
  <sheetViews>
    <sheetView view="pageBreakPreview" topLeftCell="B2" zoomScaleNormal="100" zoomScaleSheetLayoutView="100" workbookViewId="0">
      <selection activeCell="F2" sqref="F2:G2"/>
    </sheetView>
  </sheetViews>
  <sheetFormatPr defaultColWidth="8.88671875" defaultRowHeight="30" customHeight="1"/>
  <cols>
    <col min="1" max="1" width="8.88671875" style="96"/>
    <col min="2" max="3" width="8.88671875" style="95"/>
    <col min="4" max="4" width="13.6640625" style="99" customWidth="1"/>
    <col min="5" max="5" width="13.33203125" style="95" bestFit="1" customWidth="1"/>
    <col min="6" max="16384" width="8.88671875" style="95"/>
  </cols>
  <sheetData>
    <row r="4" spans="1:10" ht="30" customHeight="1">
      <c r="A4" s="356" t="str">
        <f>'11_V70'!C7</f>
        <v>2026 Fuji Horse Show Autumn Grand Prix</v>
      </c>
      <c r="B4" s="356"/>
      <c r="C4" s="356"/>
      <c r="D4" s="356"/>
      <c r="E4" s="356"/>
      <c r="F4" s="356"/>
      <c r="G4" s="356"/>
      <c r="H4" s="356"/>
      <c r="I4" s="356"/>
      <c r="J4" s="356"/>
    </row>
    <row r="6" spans="1:10" ht="30" customHeight="1">
      <c r="A6" s="96" t="s">
        <v>42</v>
      </c>
      <c r="B6" s="97">
        <f>'11_V70'!B8</f>
        <v>11</v>
      </c>
      <c r="C6" s="95" t="s">
        <v>43</v>
      </c>
      <c r="D6" s="98" t="str">
        <f>'11_V70'!D8:F8</f>
        <v>バーティカルジャンプ７０</v>
      </c>
    </row>
    <row r="8" spans="1:10" ht="30" customHeight="1">
      <c r="C8" s="95" t="s">
        <v>85</v>
      </c>
      <c r="E8" s="107" t="s">
        <v>97</v>
      </c>
    </row>
    <row r="9" spans="1:10" ht="30" customHeight="1">
      <c r="C9" s="95" t="s">
        <v>86</v>
      </c>
      <c r="E9" s="100">
        <v>0.3125</v>
      </c>
      <c r="F9" s="95" t="s">
        <v>87</v>
      </c>
    </row>
    <row r="11" spans="1:10" ht="30" customHeight="1">
      <c r="C11" s="357"/>
      <c r="D11" s="357"/>
      <c r="E11" s="357"/>
      <c r="F11" s="357"/>
      <c r="G11" s="357"/>
    </row>
    <row r="12" spans="1:10" ht="30" customHeight="1">
      <c r="D12" s="95"/>
      <c r="F12" s="99"/>
      <c r="G12" s="99"/>
    </row>
    <row r="13" spans="1:10" ht="30" customHeight="1">
      <c r="D13" s="95"/>
      <c r="F13" s="99"/>
      <c r="G13" s="99"/>
    </row>
    <row r="14" spans="1:10" ht="30" customHeight="1">
      <c r="D14" s="95"/>
      <c r="G14" s="99"/>
    </row>
    <row r="15" spans="1:10" ht="30" customHeight="1">
      <c r="D15" s="95"/>
      <c r="G15" s="99"/>
    </row>
    <row r="16" spans="1:10" ht="30" customHeight="1">
      <c r="D16" s="98"/>
      <c r="E16" s="98"/>
      <c r="F16" s="98"/>
      <c r="G16" s="98"/>
    </row>
  </sheetData>
  <mergeCells count="2">
    <mergeCell ref="A4:J4"/>
    <mergeCell ref="C11:G11"/>
  </mergeCells>
  <phoneticPr fontId="10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7">
    <tabColor rgb="FF0070C0"/>
  </sheetPr>
  <dimension ref="A1:G73"/>
  <sheetViews>
    <sheetView view="pageBreakPreview" topLeftCell="A6" zoomScaleNormal="100" zoomScaleSheetLayoutView="100" workbookViewId="0">
      <selection activeCell="G17" sqref="G17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41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'11'!C2</f>
        <v>0</v>
      </c>
      <c r="D6" s="3"/>
      <c r="F6" s="4" t="s">
        <v>2</v>
      </c>
      <c r="G6" s="6">
        <v>46277</v>
      </c>
    </row>
    <row r="7" spans="1:7" ht="24" customHeight="1">
      <c r="A7" s="7"/>
      <c r="B7" s="4" t="s">
        <v>4</v>
      </c>
      <c r="C7" s="8" t="str">
        <f>'11'!C3</f>
        <v>2026 Fuji Horse Show Autumn Grand Prix</v>
      </c>
      <c r="D7" s="9"/>
      <c r="E7" s="9"/>
      <c r="F7" s="9"/>
      <c r="G7" s="346" t="s">
        <v>732</v>
      </c>
    </row>
    <row r="8" spans="1:7" ht="21" customHeight="1">
      <c r="A8" s="10" t="s">
        <v>42</v>
      </c>
      <c r="B8" s="68">
        <f>'11'!C4</f>
        <v>11</v>
      </c>
      <c r="C8" s="4" t="s">
        <v>43</v>
      </c>
      <c r="D8" s="349" t="str">
        <f>'11'!F4</f>
        <v>バーティカルジャンプ７０</v>
      </c>
      <c r="E8" s="349"/>
      <c r="F8" s="349"/>
    </row>
    <row r="9" spans="1:7" ht="18.75" customHeight="1">
      <c r="C9" s="11" t="s">
        <v>11</v>
      </c>
      <c r="D9" s="264" t="str">
        <f>'11'!D5</f>
        <v>-</v>
      </c>
      <c r="E9" s="4" t="s">
        <v>9</v>
      </c>
      <c r="F9" s="267" t="str">
        <f>'11'!K4</f>
        <v>-</v>
      </c>
    </row>
    <row r="10" spans="1:7" ht="21" customHeight="1">
      <c r="A10" s="12" t="s">
        <v>44</v>
      </c>
      <c r="B10" s="12"/>
      <c r="C10" s="12"/>
      <c r="D10" s="265" t="str">
        <f>'11'!D6</f>
        <v>-</v>
      </c>
      <c r="E10" s="4" t="s">
        <v>12</v>
      </c>
      <c r="F10" s="268" t="str">
        <f>'11'!F5</f>
        <v>-</v>
      </c>
      <c r="G10" s="13" t="s">
        <v>45</v>
      </c>
    </row>
    <row r="11" spans="1:7" ht="5.0999999999999996" customHeight="1"/>
    <row r="12" spans="1:7" ht="15" customHeight="1">
      <c r="A12" s="350" t="s">
        <v>46</v>
      </c>
      <c r="B12" s="352" t="s">
        <v>47</v>
      </c>
      <c r="C12" s="354" t="s">
        <v>48</v>
      </c>
      <c r="D12" s="355"/>
      <c r="E12" s="347" t="s">
        <v>49</v>
      </c>
      <c r="F12" s="347"/>
      <c r="G12" s="347" t="s">
        <v>50</v>
      </c>
    </row>
    <row r="13" spans="1:7" ht="24" customHeight="1">
      <c r="A13" s="351"/>
      <c r="B13" s="353"/>
      <c r="C13" s="14" t="s">
        <v>53</v>
      </c>
      <c r="D13" s="15" t="s">
        <v>54</v>
      </c>
      <c r="E13" s="15" t="s">
        <v>55</v>
      </c>
      <c r="F13" s="15" t="s">
        <v>56</v>
      </c>
      <c r="G13" s="348"/>
    </row>
    <row r="14" spans="1:7" s="19" customFormat="1" ht="23.1" customHeight="1">
      <c r="A14" s="16" t="str">
        <f>IF('11'!A14="","",'11'!A14)</f>
        <v>OP</v>
      </c>
      <c r="B14" s="16">
        <f>IF('11'!B14="","",'11'!B14)</f>
        <v>1</v>
      </c>
      <c r="C14" s="17" t="str">
        <f>IF('11'!C14="","",'11'!C14)</f>
        <v>小野　敬司</v>
      </c>
      <c r="D14" s="266">
        <f>IF('11'!D14="","",'11'!D14)</f>
        <v>21867</v>
      </c>
      <c r="E14" s="17" t="str">
        <f>IF('11'!E14="","",'11'!E14)</f>
        <v>ミッキースピリット</v>
      </c>
      <c r="F14" s="266">
        <f>IF('11'!F14="","",'11'!F14)</f>
        <v>60192</v>
      </c>
      <c r="G14" s="17" t="str">
        <f>IF('11'!G14="","",'11'!G14)</f>
        <v>乗馬クラブクレイン東京</v>
      </c>
    </row>
    <row r="15" spans="1:7" s="19" customFormat="1" ht="23.1" customHeight="1">
      <c r="A15" s="16" t="str">
        <f>IF('11'!A15="","",'11'!A15)</f>
        <v>OP</v>
      </c>
      <c r="B15" s="16">
        <f>IF('11'!B15="","",'11'!B15)</f>
        <v>2</v>
      </c>
      <c r="C15" s="17" t="str">
        <f>IF('11'!C15="","",'11'!C15)</f>
        <v>本間　唯純</v>
      </c>
      <c r="D15" s="266">
        <f>IF('11'!D15="","",'11'!D15)</f>
        <v>14546</v>
      </c>
      <c r="E15" s="17" t="str">
        <f>IF('11'!E15="","",'11'!E15)</f>
        <v>ティラミス</v>
      </c>
      <c r="F15" s="266" t="str">
        <f>IF('11'!F15="","",'11'!F15)</f>
        <v>-</v>
      </c>
      <c r="G15" s="17" t="str">
        <f>IF('11'!G15="","",'11'!G15)</f>
        <v>乗馬クラブクレイン神奈川</v>
      </c>
    </row>
    <row r="16" spans="1:7" s="19" customFormat="1" ht="23.1" customHeight="1">
      <c r="A16" s="16" t="str">
        <f>IF('11'!A16="","",'11'!A16)</f>
        <v>OP</v>
      </c>
      <c r="B16" s="16">
        <f>IF('11'!B16="","",'11'!B16)</f>
        <v>3</v>
      </c>
      <c r="C16" s="17" t="str">
        <f>IF('11'!C16="","",'11'!C16)</f>
        <v>川口　大輔</v>
      </c>
      <c r="D16" s="266">
        <f>IF('11'!D16="","",'11'!D16)</f>
        <v>13141</v>
      </c>
      <c r="E16" s="17" t="str">
        <f>IF('11'!E16="","",'11'!E16)</f>
        <v>スカイシーカー</v>
      </c>
      <c r="F16" s="266" t="str">
        <f>IF('11'!F16="","",'11'!F16)</f>
        <v>-</v>
      </c>
      <c r="G16" s="17" t="str">
        <f>IF('11'!G16="","",'11'!G16)</f>
        <v>ライディングクラブフジファーム</v>
      </c>
    </row>
    <row r="17" spans="1:7" s="19" customFormat="1" ht="23.1" customHeight="1">
      <c r="A17" s="16" t="str">
        <f>IF('11'!A17="","",'11'!A17)</f>
        <v>OP</v>
      </c>
      <c r="B17" s="16">
        <f>IF('11'!B17="","",'11'!B17)</f>
        <v>4</v>
      </c>
      <c r="C17" s="17" t="str">
        <f>IF('11'!C17="","",'11'!C17)</f>
        <v>鈴木　良明</v>
      </c>
      <c r="D17" s="266">
        <f>IF('11'!D17="","",'11'!D17)</f>
        <v>26433</v>
      </c>
      <c r="E17" s="17" t="str">
        <f>IF('11'!E17="","",'11'!E17)</f>
        <v>フォルティス</v>
      </c>
      <c r="F17" s="266">
        <f>IF('11'!F17="","",'11'!F17)</f>
        <v>61240</v>
      </c>
      <c r="G17" s="17" t="str">
        <f>IF('11'!G17="","",'11'!G17)</f>
        <v>乗馬クラブクレイン神奈川</v>
      </c>
    </row>
    <row r="18" spans="1:7" s="19" customFormat="1" ht="23.1" customHeight="1">
      <c r="A18" s="16" t="str">
        <f>IF('11'!A18="","",'11'!A18)</f>
        <v/>
      </c>
      <c r="B18" s="16">
        <f>IF('11'!B18="","",'11'!B18)</f>
        <v>5</v>
      </c>
      <c r="C18" s="17" t="str">
        <f>IF('11'!C18="","",'11'!C18)</f>
        <v>福田　倫子</v>
      </c>
      <c r="D18" s="266">
        <f>IF('11'!D18="","",'11'!D18)</f>
        <v>20359</v>
      </c>
      <c r="E18" s="17" t="str">
        <f>IF('11'!E18="","",'11'!E18)</f>
        <v>ライジングシャイン</v>
      </c>
      <c r="F18" s="266" t="str">
        <f>IF('11'!F18="","",'11'!F18)</f>
        <v>-</v>
      </c>
      <c r="G18" s="17" t="str">
        <f>IF('11'!G18="","",'11'!G18)</f>
        <v>ライディングクラブモーヴァン</v>
      </c>
    </row>
    <row r="19" spans="1:7" s="19" customFormat="1" ht="23.1" customHeight="1">
      <c r="A19" s="16" t="str">
        <f>IF('11'!A19="","",'11'!A19)</f>
        <v/>
      </c>
      <c r="B19" s="16">
        <f>IF('11'!B19="","",'11'!B19)</f>
        <v>6</v>
      </c>
      <c r="C19" s="17" t="str">
        <f>IF('11'!C19="","",'11'!C19)</f>
        <v>小野　晴美</v>
      </c>
      <c r="D19" s="266" t="str">
        <f>IF('11'!D19="","",'11'!D19)</f>
        <v>-</v>
      </c>
      <c r="E19" s="17" t="str">
        <f>IF('11'!E19="","",'11'!E19)</f>
        <v>ミッキースピリット</v>
      </c>
      <c r="F19" s="266">
        <f>IF('11'!F19="","",'11'!F19)</f>
        <v>60192</v>
      </c>
      <c r="G19" s="17" t="str">
        <f>IF('11'!G19="","",'11'!G19)</f>
        <v>乗馬クラブクレイン東京</v>
      </c>
    </row>
    <row r="20" spans="1:7" s="19" customFormat="1" ht="23.1" customHeight="1">
      <c r="A20" s="16" t="str">
        <f>IF('11'!A20="","",'11'!A20)</f>
        <v>OP</v>
      </c>
      <c r="B20" s="16">
        <f>IF('11'!B20="","",'11'!B20)</f>
        <v>7</v>
      </c>
      <c r="C20" s="17" t="str">
        <f>IF('11'!C20="","",'11'!C20)</f>
        <v>伊藤　正平</v>
      </c>
      <c r="D20" s="266">
        <f>IF('11'!D20="","",'11'!D20)</f>
        <v>11976</v>
      </c>
      <c r="E20" s="17" t="str">
        <f>IF('11'!E20="","",'11'!E20)</f>
        <v>ベルナルドI</v>
      </c>
      <c r="F20" s="266">
        <f>IF('11'!F20="","",'11'!F20)</f>
        <v>58347</v>
      </c>
      <c r="G20" s="17" t="str">
        <f>IF('11'!G20="","",'11'!G20)</f>
        <v>乗馬クラブクレイン伊奈</v>
      </c>
    </row>
    <row r="21" spans="1:7" s="19" customFormat="1" ht="23.1" customHeight="1">
      <c r="A21" s="16" t="str">
        <f>IF('11'!A21="","",'11'!A21)</f>
        <v/>
      </c>
      <c r="B21" s="16">
        <f>IF('11'!B21="","",'11'!B21)</f>
        <v>8</v>
      </c>
      <c r="C21" s="17" t="str">
        <f>IF('11'!C21="","",'11'!C21)</f>
        <v>黒石　秀紀</v>
      </c>
      <c r="D21" s="266" t="str">
        <f>IF('11'!D21="","",'11'!D21)</f>
        <v>-</v>
      </c>
      <c r="E21" s="17" t="str">
        <f>IF('11'!E21="","",'11'!E21)</f>
        <v>ティラミス</v>
      </c>
      <c r="F21" s="266" t="str">
        <f>IF('11'!F21="","",'11'!F21)</f>
        <v>-</v>
      </c>
      <c r="G21" s="17" t="str">
        <f>IF('11'!G21="","",'11'!G21)</f>
        <v>乗馬クラブクレイン神奈川</v>
      </c>
    </row>
    <row r="22" spans="1:7" s="19" customFormat="1" ht="23.1" customHeight="1">
      <c r="A22" s="16" t="str">
        <f>IF('11'!A22="","",'11'!A22)</f>
        <v/>
      </c>
      <c r="B22" s="16">
        <f>IF('11'!B22="","",'11'!B22)</f>
        <v>9</v>
      </c>
      <c r="C22" s="17" t="str">
        <f>IF('11'!C22="","",'11'!C22)</f>
        <v>吉川　隆</v>
      </c>
      <c r="D22" s="266" t="str">
        <f>IF('11'!D22="","",'11'!D22)</f>
        <v>-</v>
      </c>
      <c r="E22" s="17" t="str">
        <f>IF('11'!E22="","",'11'!E22)</f>
        <v>スカイシーカー</v>
      </c>
      <c r="F22" s="266" t="str">
        <f>IF('11'!F22="","",'11'!F22)</f>
        <v>-</v>
      </c>
      <c r="G22" s="17" t="str">
        <f>IF('11'!G22="","",'11'!G22)</f>
        <v>ライディングクラブフジファーム</v>
      </c>
    </row>
    <row r="23" spans="1:7" s="19" customFormat="1" ht="23.1" customHeight="1">
      <c r="A23" s="16" t="str">
        <f>IF('11'!A23="","",'11'!A23)</f>
        <v/>
      </c>
      <c r="B23" s="16">
        <f>IF('11'!B23="","",'11'!B23)</f>
        <v>10</v>
      </c>
      <c r="C23" s="17" t="str">
        <f>IF('11'!C23="","",'11'!C23)</f>
        <v>伊藤　靖志</v>
      </c>
      <c r="D23" s="266" t="str">
        <f>IF('11'!D23="","",'11'!D23)</f>
        <v>-</v>
      </c>
      <c r="E23" s="17" t="str">
        <f>IF('11'!E23="","",'11'!E23)</f>
        <v>フォルティス</v>
      </c>
      <c r="F23" s="266">
        <f>IF('11'!F23="","",'11'!F23)</f>
        <v>61240</v>
      </c>
      <c r="G23" s="17" t="str">
        <f>IF('11'!G23="","",'11'!G23)</f>
        <v>乗馬クラブクレイン神奈川</v>
      </c>
    </row>
    <row r="24" spans="1:7" s="19" customFormat="1" ht="23.1" customHeight="1">
      <c r="A24" s="16" t="str">
        <f>IF('11'!A24="","",'11'!A24)</f>
        <v/>
      </c>
      <c r="B24" s="16">
        <f>IF('11'!B24="","",'11'!B24)</f>
        <v>11</v>
      </c>
      <c r="C24" s="17" t="str">
        <f>IF('11'!C24="","",'11'!C24)</f>
        <v>川崎　真実</v>
      </c>
      <c r="D24" s="266" t="str">
        <f>IF('11'!D24="","",'11'!D24)</f>
        <v>-</v>
      </c>
      <c r="E24" s="17" t="str">
        <f>IF('11'!E24="","",'11'!E24)</f>
        <v>ミッキースピリット</v>
      </c>
      <c r="F24" s="266">
        <f>IF('11'!F24="","",'11'!F24)</f>
        <v>60192</v>
      </c>
      <c r="G24" s="17" t="str">
        <f>IF('11'!G24="","",'11'!G24)</f>
        <v>乗馬クラブクレイン東京</v>
      </c>
    </row>
    <row r="25" spans="1:7" s="19" customFormat="1" ht="23.1" customHeight="1">
      <c r="A25" s="16" t="str">
        <f>IF('11'!A25="","",'11'!A25)</f>
        <v>OP</v>
      </c>
      <c r="B25" s="16">
        <f>IF('11'!B25="","",'11'!B25)</f>
        <v>12</v>
      </c>
      <c r="C25" s="17" t="str">
        <f>IF('11'!C25="","",'11'!C25)</f>
        <v>小野　敬司</v>
      </c>
      <c r="D25" s="266">
        <f>IF('11'!D25="","",'11'!D25)</f>
        <v>21867</v>
      </c>
      <c r="E25" s="17" t="str">
        <f>IF('11'!E25="","",'11'!E25)</f>
        <v>クロニクルノヴァ</v>
      </c>
      <c r="F25" s="266" t="str">
        <f>IF('11'!F25="","",'11'!F25)</f>
        <v>-</v>
      </c>
      <c r="G25" s="17" t="str">
        <f>IF('11'!G25="","",'11'!G25)</f>
        <v>乗馬クラブクレイン東京</v>
      </c>
    </row>
    <row r="26" spans="1:7" s="19" customFormat="1" ht="23.1" customHeight="1">
      <c r="A26" s="16" t="str">
        <f>IF('11'!A26="","",'11'!A26)</f>
        <v/>
      </c>
      <c r="B26" s="16">
        <f>IF('11'!B26="","",'11'!B26)</f>
        <v>13</v>
      </c>
      <c r="C26" s="17" t="str">
        <f>IF('11'!C26="","",'11'!C26)</f>
        <v>吉岡　容子</v>
      </c>
      <c r="D26" s="266">
        <f>IF('11'!D26="","",'11'!D26)</f>
        <v>32787</v>
      </c>
      <c r="E26" s="17" t="str">
        <f>IF('11'!E26="","",'11'!E26)</f>
        <v>ベルナルドI</v>
      </c>
      <c r="F26" s="266">
        <f>IF('11'!F26="","",'11'!F26)</f>
        <v>58347</v>
      </c>
      <c r="G26" s="17" t="str">
        <f>IF('11'!G26="","",'11'!G26)</f>
        <v>乗馬クラブクレイン伊奈</v>
      </c>
    </row>
    <row r="27" spans="1:7" s="19" customFormat="1" ht="23.1" customHeight="1">
      <c r="A27" s="16" t="str">
        <f>IF('11'!A27="","",'11'!A27)</f>
        <v/>
      </c>
      <c r="B27" s="16">
        <f>IF('11'!B27="","",'11'!B27)</f>
        <v>14</v>
      </c>
      <c r="C27" s="17" t="str">
        <f>IF('11'!C27="","",'11'!C27)</f>
        <v>千田　陽菜</v>
      </c>
      <c r="D27" s="266" t="str">
        <f>IF('11'!D27="","",'11'!D27)</f>
        <v>-</v>
      </c>
      <c r="E27" s="17" t="str">
        <f>IF('11'!E27="","",'11'!E27)</f>
        <v>ティラミス</v>
      </c>
      <c r="F27" s="266" t="str">
        <f>IF('11'!F27="","",'11'!F27)</f>
        <v>-</v>
      </c>
      <c r="G27" s="17" t="str">
        <f>IF('11'!G27="","",'11'!G27)</f>
        <v>乗馬クラブクレイン神奈川</v>
      </c>
    </row>
    <row r="28" spans="1:7" s="19" customFormat="1" ht="23.1" customHeight="1">
      <c r="A28" s="16" t="str">
        <f>IF('11'!A28="","",'11'!A28)</f>
        <v/>
      </c>
      <c r="B28" s="16">
        <f>IF('11'!B28="","",'11'!B28)</f>
        <v>15</v>
      </c>
      <c r="C28" s="17" t="str">
        <f>IF('11'!C28="","",'11'!C28)</f>
        <v>高橋　陽美</v>
      </c>
      <c r="D28" s="266">
        <f>IF('11'!D28="","",'11'!D28)</f>
        <v>33226</v>
      </c>
      <c r="E28" s="17" t="str">
        <f>IF('11'!E28="","",'11'!E28)</f>
        <v>ライジングシャイン</v>
      </c>
      <c r="F28" s="266" t="str">
        <f>IF('11'!F28="","",'11'!F28)</f>
        <v>-</v>
      </c>
      <c r="G28" s="17" t="str">
        <f>IF('11'!G28="","",'11'!G28)</f>
        <v>ライディングクラブモーヴァン</v>
      </c>
    </row>
    <row r="29" spans="1:7" s="19" customFormat="1" ht="23.1" customHeight="1">
      <c r="A29" s="16" t="str">
        <f>IF('11'!A29="","",'11'!A29)</f>
        <v/>
      </c>
      <c r="B29" s="16">
        <f>IF('11'!B29="","",'11'!B29)</f>
        <v>16</v>
      </c>
      <c r="C29" s="17" t="str">
        <f>IF('11'!C29="","",'11'!C29)</f>
        <v>王　洋軒</v>
      </c>
      <c r="D29" s="266" t="str">
        <f>IF('11'!D29="","",'11'!D29)</f>
        <v>-</v>
      </c>
      <c r="E29" s="17" t="str">
        <f>IF('11'!E29="","",'11'!E29)</f>
        <v>クロニクルノヴァ</v>
      </c>
      <c r="F29" s="266" t="str">
        <f>IF('11'!F29="","",'11'!F29)</f>
        <v>-</v>
      </c>
      <c r="G29" s="17" t="str">
        <f>IF('11'!G29="","",'11'!G29)</f>
        <v>乗馬クラブクレイン東京</v>
      </c>
    </row>
    <row r="30" spans="1:7" s="19" customFormat="1" ht="23.1" customHeight="1">
      <c r="A30" s="16" t="str">
        <f>IF('11'!A30="","",'11'!A30)</f>
        <v/>
      </c>
      <c r="B30" s="16">
        <f>IF('11'!B30="","",'11'!B30)</f>
        <v>17</v>
      </c>
      <c r="C30" s="17" t="str">
        <f>IF('11'!C30="","",'11'!C30)</f>
        <v>小川　秀生</v>
      </c>
      <c r="D30" s="266" t="str">
        <f>IF('11'!D30="","",'11'!D30)</f>
        <v>-</v>
      </c>
      <c r="E30" s="17" t="str">
        <f>IF('11'!E30="","",'11'!E30)</f>
        <v>ベルナルドI</v>
      </c>
      <c r="F30" s="266">
        <f>IF('11'!F30="","",'11'!F30)</f>
        <v>58347</v>
      </c>
      <c r="G30" s="17" t="str">
        <f>IF('11'!G30="","",'11'!G30)</f>
        <v>乗馬クラブクレイン伊奈</v>
      </c>
    </row>
    <row r="31" spans="1:7" s="19" customFormat="1" ht="23.1" customHeight="1">
      <c r="A31" s="16" t="str">
        <f>IF('11'!A31="","",'11'!A31)</f>
        <v>OP</v>
      </c>
      <c r="B31" s="16">
        <f>IF('11'!B31="","",'11'!B31)</f>
        <v>18</v>
      </c>
      <c r="C31" s="17" t="str">
        <f>IF('11'!C31="","",'11'!C31)</f>
        <v>藤田　佳代子</v>
      </c>
      <c r="D31" s="266">
        <f>IF('11'!D31="","",'11'!D31)</f>
        <v>23921</v>
      </c>
      <c r="E31" s="17" t="str">
        <f>IF('11'!E31="","",'11'!E31)</f>
        <v>グラスター</v>
      </c>
      <c r="F31" s="266" t="str">
        <f>IF('11'!F31="","",'11'!F31)</f>
        <v>-</v>
      </c>
      <c r="G31" s="17" t="str">
        <f>IF('11'!G31="","",'11'!G31)</f>
        <v>フジホースライディングクラブ</v>
      </c>
    </row>
    <row r="32" spans="1:7" s="19" customFormat="1" ht="23.1" customHeight="1">
      <c r="A32" s="16" t="str">
        <f>IF('11'!A32="","",'11'!A32)</f>
        <v>OP</v>
      </c>
      <c r="B32" s="16">
        <f>IF('11'!B32="","",'11'!B32)</f>
        <v>19</v>
      </c>
      <c r="C32" s="17" t="str">
        <f>IF('11'!C32="","",'11'!C32)</f>
        <v>川口　大輔</v>
      </c>
      <c r="D32" s="266">
        <f>IF('11'!D32="","",'11'!D32)</f>
        <v>13141</v>
      </c>
      <c r="E32" s="17" t="str">
        <f>IF('11'!E32="","",'11'!E32)</f>
        <v>ブルーダイヤ</v>
      </c>
      <c r="F32" s="266" t="str">
        <f>IF('11'!F32="","",'11'!F32)</f>
        <v>‐</v>
      </c>
      <c r="G32" s="17" t="str">
        <f>IF('11'!G32="","",'11'!G32)</f>
        <v>ライディングクラブフジファーム</v>
      </c>
    </row>
    <row r="33" spans="1:7" s="19" customFormat="1" ht="23.1" customHeight="1">
      <c r="A33" s="16" t="str">
        <f>IF('11'!A33="","",'11'!A33)</f>
        <v>OP</v>
      </c>
      <c r="B33" s="16">
        <f>IF('11'!B33="","",'11'!B33)</f>
        <v>20</v>
      </c>
      <c r="C33" s="17" t="str">
        <f>IF('11'!C33="","",'11'!C33)</f>
        <v>本間　唯純</v>
      </c>
      <c r="D33" s="266">
        <f>IF('11'!D33="","",'11'!D33)</f>
        <v>14546</v>
      </c>
      <c r="E33" s="17" t="str">
        <f>IF('11'!E33="","",'11'!E33)</f>
        <v>バニラジーヴァル</v>
      </c>
      <c r="F33" s="266" t="str">
        <f>IF('11'!F33="","",'11'!F33)</f>
        <v>-</v>
      </c>
      <c r="G33" s="17" t="str">
        <f>IF('11'!G33="","",'11'!G33)</f>
        <v>乗馬クラブクレイン神奈川</v>
      </c>
    </row>
    <row r="34" spans="1:7" s="19" customFormat="1" ht="23.1" customHeight="1">
      <c r="A34" s="16" t="str">
        <f>IF('11'!A34="","",'11'!A34)</f>
        <v>OP</v>
      </c>
      <c r="B34" s="16">
        <f>IF('11'!B34="","",'11'!B34)</f>
        <v>21</v>
      </c>
      <c r="C34" s="17" t="str">
        <f>IF('11'!C34="","",'11'!C34)</f>
        <v>小野　敬司</v>
      </c>
      <c r="D34" s="266">
        <f>IF('11'!D34="","",'11'!D34)</f>
        <v>21867</v>
      </c>
      <c r="E34" s="17" t="str">
        <f>IF('11'!E34="","",'11'!E34)</f>
        <v>マグノオンゾウシ</v>
      </c>
      <c r="F34" s="266" t="str">
        <f>IF('11'!F34="","",'11'!F34)</f>
        <v>-</v>
      </c>
      <c r="G34" s="17" t="str">
        <f>IF('11'!G34="","",'11'!G34)</f>
        <v>乗馬クラブクレイン東京</v>
      </c>
    </row>
    <row r="35" spans="1:7" s="19" customFormat="1" ht="23.1" customHeight="1">
      <c r="A35" s="16" t="str">
        <f>IF('11'!A35="","",'11'!A35)</f>
        <v/>
      </c>
      <c r="B35" s="16">
        <f>IF('11'!B35="","",'11'!B35)</f>
        <v>22</v>
      </c>
      <c r="C35" s="17" t="str">
        <f>IF('11'!C35="","",'11'!C35)</f>
        <v>佐々木　愛</v>
      </c>
      <c r="D35" s="266" t="str">
        <f>IF('11'!D35="","",'11'!D35)</f>
        <v>-</v>
      </c>
      <c r="E35" s="17" t="str">
        <f>IF('11'!E35="","",'11'!E35)</f>
        <v>クロニクルノヴァ</v>
      </c>
      <c r="F35" s="266" t="str">
        <f>IF('11'!F35="","",'11'!F35)</f>
        <v>-</v>
      </c>
      <c r="G35" s="17" t="str">
        <f>IF('11'!G35="","",'11'!G35)</f>
        <v>乗馬クラブクレイン東京</v>
      </c>
    </row>
    <row r="36" spans="1:7" s="19" customFormat="1" ht="23.1" customHeight="1">
      <c r="A36" s="16" t="str">
        <f>IF('11'!A36="","",'11'!A36)</f>
        <v/>
      </c>
      <c r="B36" s="16">
        <f>IF('11'!B36="","",'11'!B36)</f>
        <v>23</v>
      </c>
      <c r="C36" s="17" t="str">
        <f>IF('11'!C36="","",'11'!C36)</f>
        <v>星野　眞也子</v>
      </c>
      <c r="D36" s="266">
        <f>IF('11'!D36="","",'11'!D36)</f>
        <v>30373</v>
      </c>
      <c r="E36" s="17" t="str">
        <f>IF('11'!E36="","",'11'!E36)</f>
        <v>メアラス</v>
      </c>
      <c r="F36" s="266">
        <f>IF('11'!F36="","",'11'!F36)</f>
        <v>59173</v>
      </c>
      <c r="G36" s="17" t="str">
        <f>IF('11'!G36="","",'11'!G36)</f>
        <v>オリエント馬事センター</v>
      </c>
    </row>
    <row r="37" spans="1:7" s="19" customFormat="1" ht="23.1" customHeight="1">
      <c r="A37" s="16" t="str">
        <f>IF('11'!A37="","",'11'!A37)</f>
        <v/>
      </c>
      <c r="B37" s="16">
        <f>IF('11'!B37="","",'11'!B37)</f>
        <v>24</v>
      </c>
      <c r="C37" s="17" t="str">
        <f>IF('11'!C37="","",'11'!C37)</f>
        <v>渡邉　陽和</v>
      </c>
      <c r="D37" s="266" t="str">
        <f>IF('11'!D37="","",'11'!D37)</f>
        <v>-</v>
      </c>
      <c r="E37" s="17" t="str">
        <f>IF('11'!E37="","",'11'!E37)</f>
        <v>ブルーダイヤ</v>
      </c>
      <c r="F37" s="266" t="str">
        <f>IF('11'!F37="","",'11'!F37)</f>
        <v>‐</v>
      </c>
      <c r="G37" s="17" t="str">
        <f>IF('11'!G37="","",'11'!G37)</f>
        <v>ライディングクラブフジファーム</v>
      </c>
    </row>
    <row r="38" spans="1:7" s="19" customFormat="1" ht="23.1" customHeight="1">
      <c r="A38" s="16" t="str">
        <f>IF('11'!A38="","",'11'!A38)</f>
        <v/>
      </c>
      <c r="B38" s="16">
        <f>IF('11'!B38="","",'11'!B38)</f>
        <v>25</v>
      </c>
      <c r="C38" s="17" t="str">
        <f>IF('11'!C38="","",'11'!C38)</f>
        <v>内山　国宝</v>
      </c>
      <c r="D38" s="266" t="str">
        <f>IF('11'!D38="","",'11'!D38)</f>
        <v>-</v>
      </c>
      <c r="E38" s="17" t="str">
        <f>IF('11'!E38="","",'11'!E38)</f>
        <v>バニラジーヴァル</v>
      </c>
      <c r="F38" s="266" t="str">
        <f>IF('11'!F38="","",'11'!F38)</f>
        <v>-</v>
      </c>
      <c r="G38" s="17" t="str">
        <f>IF('11'!G38="","",'11'!G38)</f>
        <v>乗馬クラブクレイン神奈川</v>
      </c>
    </row>
    <row r="39" spans="1:7" s="19" customFormat="1" ht="23.1" customHeight="1">
      <c r="A39" s="16" t="str">
        <f>IF('11'!A39="","",'11'!A39)</f>
        <v/>
      </c>
      <c r="B39" s="16">
        <f>IF('11'!B39="","",'11'!B39)</f>
        <v>26</v>
      </c>
      <c r="C39" s="17" t="str">
        <f>IF('11'!C39="","",'11'!C39)</f>
        <v>鈴木　絢子</v>
      </c>
      <c r="D39" s="266" t="str">
        <f>IF('11'!D39="","",'11'!D39)</f>
        <v>-</v>
      </c>
      <c r="E39" s="17" t="str">
        <f>IF('11'!E39="","",'11'!E39)</f>
        <v>マグノオンゾウシ</v>
      </c>
      <c r="F39" s="266" t="str">
        <f>IF('11'!F39="","",'11'!F39)</f>
        <v>-</v>
      </c>
      <c r="G39" s="17" t="str">
        <f>IF('11'!G39="","",'11'!G39)</f>
        <v>乗馬クラブクレイン東京</v>
      </c>
    </row>
    <row r="40" spans="1:7" s="19" customFormat="1" ht="23.1" customHeight="1">
      <c r="A40" s="16" t="str">
        <f>IF('11'!A40="","",'11'!A40)</f>
        <v/>
      </c>
      <c r="B40" s="16">
        <f>IF('11'!B40="","",'11'!B40)</f>
        <v>27</v>
      </c>
      <c r="C40" s="17" t="str">
        <f>IF('11'!C40="","",'11'!C40)</f>
        <v>林　清子</v>
      </c>
      <c r="D40" s="266" t="str">
        <f>IF('11'!D40="","",'11'!D40)</f>
        <v>-</v>
      </c>
      <c r="E40" s="17" t="str">
        <f>IF('11'!E40="","",'11'!E40)</f>
        <v>アタビズム</v>
      </c>
      <c r="F40" s="266" t="str">
        <f>IF('11'!F40="","",'11'!F40)</f>
        <v>-</v>
      </c>
      <c r="G40" s="17" t="str">
        <f>IF('11'!G40="","",'11'!G40)</f>
        <v>筑波スカイラインスティーブル</v>
      </c>
    </row>
    <row r="41" spans="1:7" s="19" customFormat="1" ht="23.1" customHeight="1">
      <c r="A41" s="16" t="str">
        <f>IF('11'!A41="","",'11'!A41)</f>
        <v>OP</v>
      </c>
      <c r="B41" s="16">
        <f>IF('11'!B41="","",'11'!B41)</f>
        <v>28</v>
      </c>
      <c r="C41" s="17" t="str">
        <f>IF('11'!C41="","",'11'!C41)</f>
        <v>伊藤　正平</v>
      </c>
      <c r="D41" s="266">
        <f>IF('11'!D41="","",'11'!D41)</f>
        <v>11976</v>
      </c>
      <c r="E41" s="17" t="str">
        <f>IF('11'!E41="","",'11'!E41)</f>
        <v>ブルーカップ</v>
      </c>
      <c r="F41" s="266" t="str">
        <f>IF('11'!F41="","",'11'!F41)</f>
        <v>-</v>
      </c>
      <c r="G41" s="17" t="str">
        <f>IF('11'!G41="","",'11'!G41)</f>
        <v>乗馬クラブクレイン伊奈</v>
      </c>
    </row>
    <row r="42" spans="1:7" s="19" customFormat="1" ht="23.1" customHeight="1">
      <c r="A42" s="16" t="str">
        <f>IF('11'!A42="","",'11'!A42)</f>
        <v/>
      </c>
      <c r="B42" s="16">
        <f>IF('11'!B42="","",'11'!B42)</f>
        <v>29</v>
      </c>
      <c r="C42" s="17" t="str">
        <f>IF('11'!C42="","",'11'!C42)</f>
        <v>杉野　ゆみ</v>
      </c>
      <c r="D42" s="266" t="str">
        <f>IF('11'!D42="","",'11'!D42)</f>
        <v>-</v>
      </c>
      <c r="E42" s="17" t="str">
        <f>IF('11'!E42="","",'11'!E42)</f>
        <v>グラスター</v>
      </c>
      <c r="F42" s="266" t="str">
        <f>IF('11'!F42="","",'11'!F42)</f>
        <v>-</v>
      </c>
      <c r="G42" s="17" t="str">
        <f>IF('11'!G42="","",'11'!G42)</f>
        <v>フジホースライディングクラブ</v>
      </c>
    </row>
    <row r="43" spans="1:7" s="19" customFormat="1" ht="23.1" customHeight="1">
      <c r="A43" s="16" t="str">
        <f>IF('11'!A43="","",'11'!A43)</f>
        <v/>
      </c>
      <c r="B43" s="16">
        <f>IF('11'!B43="","",'11'!B43)</f>
        <v>30</v>
      </c>
      <c r="C43" s="17" t="str">
        <f>IF('11'!C43="","",'11'!C43)</f>
        <v>岩崎　優希</v>
      </c>
      <c r="D43" s="266" t="str">
        <f>IF('11'!D43="","",'11'!D43)</f>
        <v>-</v>
      </c>
      <c r="E43" s="17" t="str">
        <f>IF('11'!E43="","",'11'!E43)</f>
        <v>バニラジーヴァル</v>
      </c>
      <c r="F43" s="266" t="str">
        <f>IF('11'!F43="","",'11'!F43)</f>
        <v>-</v>
      </c>
      <c r="G43" s="17" t="str">
        <f>IF('11'!G43="","",'11'!G43)</f>
        <v>乗馬クラブクレイン神奈川</v>
      </c>
    </row>
    <row r="44" spans="1:7" ht="23.1" customHeight="1">
      <c r="A44" s="16" t="str">
        <f>IF('11'!A44="","",'11'!A44)</f>
        <v>OP</v>
      </c>
      <c r="B44" s="16">
        <f>IF('11'!B44="","",'11'!B44)</f>
        <v>31</v>
      </c>
      <c r="C44" s="17" t="str">
        <f>IF('11'!C44="","",'11'!C44)</f>
        <v>小野　敬司</v>
      </c>
      <c r="D44" s="266">
        <f>IF('11'!D44="","",'11'!D44)</f>
        <v>21867</v>
      </c>
      <c r="E44" s="17" t="str">
        <f>IF('11'!E44="","",'11'!E44)</f>
        <v>トイボックス</v>
      </c>
      <c r="F44" s="266" t="str">
        <f>IF('11'!F44="","",'11'!F44)</f>
        <v>-</v>
      </c>
      <c r="G44" s="17" t="str">
        <f>IF('11'!G44="","",'11'!G44)</f>
        <v>乗馬クラブクレイン東京</v>
      </c>
    </row>
    <row r="45" spans="1:7" ht="23.1" customHeight="1">
      <c r="A45" s="16" t="str">
        <f>IF('11'!A45="","",'11'!A45)</f>
        <v>OP</v>
      </c>
      <c r="B45" s="16">
        <f>IF('11'!B45="","",'11'!B45)</f>
        <v>32</v>
      </c>
      <c r="C45" s="17" t="str">
        <f>IF('11'!C45="","",'11'!C45)</f>
        <v>川口　大輔</v>
      </c>
      <c r="D45" s="266">
        <f>IF('11'!D45="","",'11'!D45)</f>
        <v>13141</v>
      </c>
      <c r="E45" s="17" t="str">
        <f>IF('11'!E45="","",'11'!E45)</f>
        <v>クールモンテ</v>
      </c>
      <c r="F45" s="266" t="str">
        <f>IF('11'!F45="","",'11'!F45)</f>
        <v>‐</v>
      </c>
      <c r="G45" s="17" t="str">
        <f>IF('11'!G45="","",'11'!G45)</f>
        <v>ライディングクラブフジファーム</v>
      </c>
    </row>
    <row r="46" spans="1:7" ht="23.1" customHeight="1">
      <c r="A46" s="16" t="str">
        <f>IF('11'!A46="","",'11'!A46)</f>
        <v/>
      </c>
      <c r="B46" s="16">
        <f>IF('11'!B46="","",'11'!B46)</f>
        <v>33</v>
      </c>
      <c r="C46" s="17" t="str">
        <f>IF('11'!C46="","",'11'!C46)</f>
        <v>梅澤　美和子</v>
      </c>
      <c r="D46" s="266">
        <f>IF('11'!D46="","",'11'!D46)</f>
        <v>6200</v>
      </c>
      <c r="E46" s="17" t="str">
        <f>IF('11'!E46="","",'11'!E46)</f>
        <v>マグノオンゾウシ</v>
      </c>
      <c r="F46" s="266" t="str">
        <f>IF('11'!F46="","",'11'!F46)</f>
        <v>-</v>
      </c>
      <c r="G46" s="17" t="str">
        <f>IF('11'!G46="","",'11'!G46)</f>
        <v>乗馬クラブクレイン東京</v>
      </c>
    </row>
    <row r="47" spans="1:7" ht="23.1" customHeight="1">
      <c r="A47" s="16" t="str">
        <f>IF('11'!A47="","",'11'!A47)</f>
        <v>OP</v>
      </c>
      <c r="B47" s="16">
        <f>IF('11'!B47="","",'11'!B47)</f>
        <v>34</v>
      </c>
      <c r="C47" s="17" t="str">
        <f>IF('11'!C47="","",'11'!C47)</f>
        <v>本間　唯純</v>
      </c>
      <c r="D47" s="266">
        <f>IF('11'!D47="","",'11'!D47)</f>
        <v>14546</v>
      </c>
      <c r="E47" s="17" t="str">
        <f>IF('11'!E47="","",'11'!E47)</f>
        <v>ごま丸</v>
      </c>
      <c r="F47" s="266" t="str">
        <f>IF('11'!F47="","",'11'!F47)</f>
        <v>-</v>
      </c>
      <c r="G47" s="17" t="str">
        <f>IF('11'!G47="","",'11'!G47)</f>
        <v>乗馬クラブクレイン神奈川</v>
      </c>
    </row>
    <row r="48" spans="1:7" ht="23.1" customHeight="1">
      <c r="A48" s="16" t="str">
        <f>IF('11'!A48="","",'11'!A48)</f>
        <v/>
      </c>
      <c r="B48" s="16">
        <f>IF('11'!B48="","",'11'!B48)</f>
        <v>35</v>
      </c>
      <c r="C48" s="17" t="str">
        <f>IF('11'!C48="","",'11'!C48)</f>
        <v>植野　正子</v>
      </c>
      <c r="D48" s="266" t="str">
        <f>IF('11'!D48="","",'11'!D48)</f>
        <v>-</v>
      </c>
      <c r="E48" s="17" t="str">
        <f>IF('11'!E48="","",'11'!E48)</f>
        <v>ブルーカップ</v>
      </c>
      <c r="F48" s="266" t="str">
        <f>IF('11'!F48="","",'11'!F48)</f>
        <v>-</v>
      </c>
      <c r="G48" s="17" t="str">
        <f>IF('11'!G48="","",'11'!G48)</f>
        <v>乗馬クラブクレイン伊奈</v>
      </c>
    </row>
    <row r="49" spans="1:7" ht="23.1" customHeight="1">
      <c r="A49" s="16" t="str">
        <f>IF('11'!A49="","",'11'!A49)</f>
        <v/>
      </c>
      <c r="B49" s="16">
        <f>IF('11'!B49="","",'11'!B49)</f>
        <v>36</v>
      </c>
      <c r="C49" s="17" t="str">
        <f>IF('11'!C49="","",'11'!C49)</f>
        <v>山本　久美子</v>
      </c>
      <c r="D49" s="266" t="str">
        <f>IF('11'!D49="","",'11'!D49)</f>
        <v>-</v>
      </c>
      <c r="E49" s="17" t="str">
        <f>IF('11'!E49="","",'11'!E49)</f>
        <v>オーロラオジョウ</v>
      </c>
      <c r="F49" s="266" t="str">
        <f>IF('11'!F49="","",'11'!F49)</f>
        <v>-</v>
      </c>
      <c r="G49" s="17" t="str">
        <f>IF('11'!G49="","",'11'!G49)</f>
        <v>筑波スカイラインスティーブル</v>
      </c>
    </row>
    <row r="50" spans="1:7" ht="23.1" customHeight="1">
      <c r="A50" s="16" t="str">
        <f>IF('11'!A50="","",'11'!A50)</f>
        <v/>
      </c>
      <c r="B50" s="16">
        <f>IF('11'!B50="","",'11'!B50)</f>
        <v>37</v>
      </c>
      <c r="C50" s="17" t="str">
        <f>IF('11'!C50="","",'11'!C50)</f>
        <v>吉澤　春花</v>
      </c>
      <c r="D50" s="266" t="str">
        <f>IF('11'!D50="","",'11'!D50)</f>
        <v>-</v>
      </c>
      <c r="E50" s="17" t="str">
        <f>IF('11'!E50="","",'11'!E50)</f>
        <v>トイボックス</v>
      </c>
      <c r="F50" s="266" t="str">
        <f>IF('11'!F50="","",'11'!F50)</f>
        <v>-</v>
      </c>
      <c r="G50" s="17" t="str">
        <f>IF('11'!G50="","",'11'!G50)</f>
        <v>乗馬クラブクレイン東京</v>
      </c>
    </row>
    <row r="51" spans="1:7" ht="23.1" customHeight="1">
      <c r="A51" s="16" t="str">
        <f>IF('11'!A51="","",'11'!A51)</f>
        <v/>
      </c>
      <c r="B51" s="16">
        <f>IF('11'!B51="","",'11'!B51)</f>
        <v>38</v>
      </c>
      <c r="C51" s="17" t="str">
        <f>IF('11'!C51="","",'11'!C51)</f>
        <v>渡邉　陽和</v>
      </c>
      <c r="D51" s="266" t="str">
        <f>IF('11'!D51="","",'11'!D51)</f>
        <v>-</v>
      </c>
      <c r="E51" s="17" t="str">
        <f>IF('11'!E51="","",'11'!E51)</f>
        <v>クールモンテ</v>
      </c>
      <c r="F51" s="266" t="str">
        <f>IF('11'!F51="","",'11'!F51)</f>
        <v>‐</v>
      </c>
      <c r="G51" s="17" t="str">
        <f>IF('11'!G51="","",'11'!G51)</f>
        <v>ライディングクラブフジファーム</v>
      </c>
    </row>
    <row r="52" spans="1:7" ht="23.1" customHeight="1">
      <c r="A52" s="16" t="str">
        <f>IF('11'!A52="","",'11'!A52)</f>
        <v/>
      </c>
      <c r="B52" s="16">
        <f>IF('11'!B52="","",'11'!B52)</f>
        <v>39</v>
      </c>
      <c r="C52" s="17" t="str">
        <f>IF('11'!C52="","",'11'!C52)</f>
        <v>榎本　恵子</v>
      </c>
      <c r="D52" s="266" t="str">
        <f>IF('11'!D52="","",'11'!D52)</f>
        <v>-</v>
      </c>
      <c r="E52" s="17" t="str">
        <f>IF('11'!E52="","",'11'!E52)</f>
        <v>ごま丸</v>
      </c>
      <c r="F52" s="266" t="str">
        <f>IF('11'!F52="","",'11'!F52)</f>
        <v>-</v>
      </c>
      <c r="G52" s="17" t="str">
        <f>IF('11'!G52="","",'11'!G52)</f>
        <v>乗馬クラブクレイン神奈川</v>
      </c>
    </row>
    <row r="53" spans="1:7" ht="23.1" customHeight="1">
      <c r="A53" s="16" t="str">
        <f>IF('11'!A53="","",'11'!A53)</f>
        <v/>
      </c>
      <c r="B53" s="16">
        <f>IF('11'!B53="","",'11'!B53)</f>
        <v>40</v>
      </c>
      <c r="C53" s="17" t="str">
        <f>IF('11'!C53="","",'11'!C53)</f>
        <v>星野　眞也子</v>
      </c>
      <c r="D53" s="266">
        <f>IF('11'!D53="","",'11'!D53)</f>
        <v>30373</v>
      </c>
      <c r="E53" s="17" t="str">
        <f>IF('11'!E53="","",'11'!E53)</f>
        <v>キートス・サクラ</v>
      </c>
      <c r="F53" s="266">
        <f>IF('11'!F53="","",'11'!F53)</f>
        <v>56664</v>
      </c>
      <c r="G53" s="17" t="str">
        <f>IF('11'!G53="","",'11'!G53)</f>
        <v>オリエント馬事センター</v>
      </c>
    </row>
    <row r="54" spans="1:7" ht="23.1" customHeight="1">
      <c r="A54" s="16" t="str">
        <f>IF('11'!A54="","",'11'!A54)</f>
        <v/>
      </c>
      <c r="B54" s="16">
        <f>IF('11'!B54="","",'11'!B54)</f>
        <v>41</v>
      </c>
      <c r="C54" s="17" t="str">
        <f>IF('11'!C54="","",'11'!C54)</f>
        <v>佐藤　裕昭</v>
      </c>
      <c r="D54" s="266" t="str">
        <f>IF('11'!D54="","",'11'!D54)</f>
        <v>-</v>
      </c>
      <c r="E54" s="17" t="str">
        <f>IF('11'!E54="","",'11'!E54)</f>
        <v>トイボックス</v>
      </c>
      <c r="F54" s="266" t="str">
        <f>IF('11'!F54="","",'11'!F54)</f>
        <v>-</v>
      </c>
      <c r="G54" s="17" t="str">
        <f>IF('11'!G54="","",'11'!G54)</f>
        <v>乗馬クラブクレイン東京</v>
      </c>
    </row>
    <row r="55" spans="1:7" ht="23.1" customHeight="1">
      <c r="A55" s="16" t="str">
        <f>IF('11'!A55="","",'11'!A55)</f>
        <v/>
      </c>
      <c r="B55" s="16">
        <f>IF('11'!B55="","",'11'!B55)</f>
        <v>42</v>
      </c>
      <c r="C55" s="17" t="str">
        <f>IF('11'!C55="","",'11'!C55)</f>
        <v/>
      </c>
      <c r="D55" s="266" t="str">
        <f>IF('11'!D55="","",'11'!D55)</f>
        <v/>
      </c>
      <c r="E55" s="17" t="str">
        <f>IF('11'!E55="","",'11'!E55)</f>
        <v/>
      </c>
      <c r="F55" s="266" t="str">
        <f>IF('11'!F55="","",'11'!F55)</f>
        <v/>
      </c>
      <c r="G55" s="17" t="str">
        <f>IF('11'!G55="","",'11'!G55)</f>
        <v/>
      </c>
    </row>
    <row r="56" spans="1:7" ht="23.1" customHeight="1">
      <c r="A56" s="16" t="str">
        <f>IF('11'!A56="","",'11'!A56)</f>
        <v/>
      </c>
      <c r="B56" s="16">
        <f>IF('11'!B56="","",'11'!B56)</f>
        <v>43</v>
      </c>
      <c r="C56" s="17" t="str">
        <f>IF('11'!C56="","",'11'!C56)</f>
        <v/>
      </c>
      <c r="D56" s="266" t="str">
        <f>IF('11'!D56="","",'11'!D56)</f>
        <v/>
      </c>
      <c r="E56" s="17" t="str">
        <f>IF('11'!E56="","",'11'!E56)</f>
        <v/>
      </c>
      <c r="F56" s="266" t="str">
        <f>IF('11'!F56="","",'11'!F56)</f>
        <v/>
      </c>
      <c r="G56" s="17" t="str">
        <f>IF('11'!G56="","",'11'!G56)</f>
        <v/>
      </c>
    </row>
    <row r="57" spans="1:7" ht="23.1" customHeight="1">
      <c r="A57" s="16" t="str">
        <f>IF('11'!A57="","",'11'!A57)</f>
        <v/>
      </c>
      <c r="B57" s="16">
        <f>IF('11'!B57="","",'11'!B57)</f>
        <v>44</v>
      </c>
      <c r="C57" s="17" t="str">
        <f>IF('11'!C57="","",'11'!C57)</f>
        <v/>
      </c>
      <c r="D57" s="266" t="str">
        <f>IF('11'!D57="","",'11'!D57)</f>
        <v/>
      </c>
      <c r="E57" s="17" t="str">
        <f>IF('11'!E57="","",'11'!E57)</f>
        <v/>
      </c>
      <c r="F57" s="266" t="str">
        <f>IF('11'!F57="","",'11'!F57)</f>
        <v/>
      </c>
      <c r="G57" s="17" t="str">
        <f>IF('11'!G57="","",'11'!G57)</f>
        <v/>
      </c>
    </row>
    <row r="58" spans="1:7" ht="23.1" customHeight="1">
      <c r="A58" s="16" t="str">
        <f>IF('11'!A58="","",'11'!A58)</f>
        <v/>
      </c>
      <c r="B58" s="16">
        <f>IF('11'!B58="","",'11'!B58)</f>
        <v>45</v>
      </c>
      <c r="C58" s="17" t="str">
        <f>IF('11'!C58="","",'11'!C58)</f>
        <v/>
      </c>
      <c r="D58" s="266" t="str">
        <f>IF('11'!D58="","",'11'!D58)</f>
        <v/>
      </c>
      <c r="E58" s="17" t="str">
        <f>IF('11'!E58="","",'11'!E58)</f>
        <v/>
      </c>
      <c r="F58" s="266" t="str">
        <f>IF('11'!F58="","",'11'!F58)</f>
        <v/>
      </c>
      <c r="G58" s="17" t="str">
        <f>IF('11'!G58="","",'11'!G58)</f>
        <v/>
      </c>
    </row>
    <row r="59" spans="1:7" ht="23.1" customHeight="1">
      <c r="A59" s="16" t="str">
        <f>IF('11'!A59="","",'11'!A59)</f>
        <v/>
      </c>
      <c r="B59" s="16">
        <f>IF('11'!B59="","",'11'!B59)</f>
        <v>46</v>
      </c>
      <c r="C59" s="17" t="str">
        <f>IF('11'!C59="","",'11'!C59)</f>
        <v/>
      </c>
      <c r="D59" s="266" t="str">
        <f>IF('11'!D59="","",'11'!D59)</f>
        <v/>
      </c>
      <c r="E59" s="17" t="str">
        <f>IF('11'!E59="","",'11'!E59)</f>
        <v/>
      </c>
      <c r="F59" s="266" t="str">
        <f>IF('11'!F59="","",'11'!F59)</f>
        <v/>
      </c>
      <c r="G59" s="17" t="str">
        <f>IF('11'!G59="","",'11'!G59)</f>
        <v/>
      </c>
    </row>
    <row r="60" spans="1:7" ht="23.1" customHeight="1">
      <c r="A60" s="16" t="str">
        <f>IF('11'!A60="","",'11'!A60)</f>
        <v/>
      </c>
      <c r="B60" s="16">
        <f>IF('11'!B60="","",'11'!B60)</f>
        <v>47</v>
      </c>
      <c r="C60" s="17" t="str">
        <f>IF('11'!C60="","",'11'!C60)</f>
        <v/>
      </c>
      <c r="D60" s="266" t="str">
        <f>IF('11'!D60="","",'11'!D60)</f>
        <v/>
      </c>
      <c r="E60" s="17" t="str">
        <f>IF('11'!E60="","",'11'!E60)</f>
        <v/>
      </c>
      <c r="F60" s="266" t="str">
        <f>IF('11'!F60="","",'11'!F60)</f>
        <v/>
      </c>
      <c r="G60" s="17" t="str">
        <f>IF('11'!G60="","",'11'!G60)</f>
        <v/>
      </c>
    </row>
    <row r="61" spans="1:7" ht="23.1" customHeight="1">
      <c r="A61" s="16" t="str">
        <f>IF('11'!A61="","",'11'!A61)</f>
        <v/>
      </c>
      <c r="B61" s="16">
        <f>IF('11'!B61="","",'11'!B61)</f>
        <v>48</v>
      </c>
      <c r="C61" s="17" t="str">
        <f>IF('11'!C61="","",'11'!C61)</f>
        <v/>
      </c>
      <c r="D61" s="266" t="str">
        <f>IF('11'!D61="","",'11'!D61)</f>
        <v/>
      </c>
      <c r="E61" s="17" t="str">
        <f>IF('11'!E61="","",'11'!E61)</f>
        <v/>
      </c>
      <c r="F61" s="266" t="str">
        <f>IF('11'!F61="","",'11'!F61)</f>
        <v/>
      </c>
      <c r="G61" s="17" t="str">
        <f>IF('11'!G61="","",'11'!G61)</f>
        <v/>
      </c>
    </row>
    <row r="62" spans="1:7" ht="23.1" customHeight="1">
      <c r="A62" s="16" t="str">
        <f>IF('11'!A62="","",'11'!A62)</f>
        <v/>
      </c>
      <c r="B62" s="16">
        <f>IF('11'!B62="","",'11'!B62)</f>
        <v>49</v>
      </c>
      <c r="C62" s="17" t="str">
        <f>IF('11'!C62="","",'11'!C62)</f>
        <v/>
      </c>
      <c r="D62" s="266" t="str">
        <f>IF('11'!D62="","",'11'!D62)</f>
        <v/>
      </c>
      <c r="E62" s="17" t="str">
        <f>IF('11'!E62="","",'11'!E62)</f>
        <v/>
      </c>
      <c r="F62" s="266" t="str">
        <f>IF('11'!F62="","",'11'!F62)</f>
        <v/>
      </c>
      <c r="G62" s="17" t="str">
        <f>IF('11'!G62="","",'11'!G62)</f>
        <v/>
      </c>
    </row>
    <row r="63" spans="1:7" ht="23.1" customHeight="1">
      <c r="A63" s="16" t="str">
        <f>IF('11'!A63="","",'11'!A63)</f>
        <v/>
      </c>
      <c r="B63" s="16">
        <f>IF('11'!B63="","",'11'!B63)</f>
        <v>50</v>
      </c>
      <c r="C63" s="17" t="str">
        <f>IF('11'!C63="","",'11'!C63)</f>
        <v/>
      </c>
      <c r="D63" s="266" t="str">
        <f>IF('11'!D63="","",'11'!D63)</f>
        <v/>
      </c>
      <c r="E63" s="17" t="str">
        <f>IF('11'!E63="","",'11'!E63)</f>
        <v/>
      </c>
      <c r="F63" s="266" t="str">
        <f>IF('11'!F63="","",'11'!F63)</f>
        <v/>
      </c>
      <c r="G63" s="17" t="str">
        <f>IF('11'!G63="","",'11'!G63)</f>
        <v/>
      </c>
    </row>
    <row r="64" spans="1:7" ht="23.1" customHeight="1">
      <c r="A64" s="16" t="str">
        <f>IF('11'!A64="","",'11'!A64)</f>
        <v/>
      </c>
      <c r="B64" s="16" t="str">
        <f>IF('11'!B64="","",'11'!B64)</f>
        <v/>
      </c>
      <c r="C64" s="17" t="str">
        <f>IF('11'!C64="","",'11'!C64)</f>
        <v/>
      </c>
      <c r="D64" s="266" t="str">
        <f>IF('11'!D64="","",'11'!D64)</f>
        <v/>
      </c>
      <c r="E64" s="17" t="str">
        <f>IF('11'!E64="","",'11'!E64)</f>
        <v/>
      </c>
      <c r="F64" s="266" t="str">
        <f>IF('11'!F64="","",'11'!F64)</f>
        <v/>
      </c>
      <c r="G64" s="17" t="str">
        <f>IF('11'!G64="","",'11'!G64)</f>
        <v/>
      </c>
    </row>
    <row r="65" spans="1:7" ht="23.1" customHeight="1">
      <c r="A65" s="16" t="str">
        <f>IF('11'!A65="","",'11'!A65)</f>
        <v/>
      </c>
      <c r="B65" s="16" t="str">
        <f>IF('11'!B65="","",'11'!B65)</f>
        <v/>
      </c>
      <c r="C65" s="17" t="str">
        <f>IF('11'!C65="","",'11'!C65)</f>
        <v/>
      </c>
      <c r="D65" s="266" t="str">
        <f>IF('11'!D65="","",'11'!D65)</f>
        <v/>
      </c>
      <c r="E65" s="17" t="str">
        <f>IF('11'!E65="","",'11'!E65)</f>
        <v/>
      </c>
      <c r="F65" s="266" t="str">
        <f>IF('11'!F65="","",'11'!F65)</f>
        <v/>
      </c>
      <c r="G65" s="17" t="str">
        <f>IF('11'!G65="","",'11'!G65)</f>
        <v/>
      </c>
    </row>
    <row r="66" spans="1:7" ht="23.1" customHeight="1">
      <c r="A66" s="16" t="str">
        <f>IF('11'!A66="","",'11'!A66)</f>
        <v/>
      </c>
      <c r="B66" s="16" t="str">
        <f>IF('11'!B66="","",'11'!B66)</f>
        <v/>
      </c>
      <c r="C66" s="17" t="str">
        <f>IF('11'!C66="","",'11'!C66)</f>
        <v/>
      </c>
      <c r="D66" s="266" t="str">
        <f>IF('11'!D66="","",'11'!D66)</f>
        <v/>
      </c>
      <c r="E66" s="17" t="str">
        <f>IF('11'!E66="","",'11'!E66)</f>
        <v/>
      </c>
      <c r="F66" s="266" t="str">
        <f>IF('11'!F66="","",'11'!F66)</f>
        <v/>
      </c>
      <c r="G66" s="17" t="str">
        <f>IF('11'!G66="","",'11'!G66)</f>
        <v/>
      </c>
    </row>
    <row r="67" spans="1:7" ht="23.1" customHeight="1">
      <c r="A67" s="16" t="str">
        <f>IF('11'!A67="","",'11'!A67)</f>
        <v/>
      </c>
      <c r="B67" s="16" t="str">
        <f>IF('11'!B67="","",'11'!B67)</f>
        <v/>
      </c>
      <c r="C67" s="17" t="str">
        <f>IF('11'!C67="","",'11'!C67)</f>
        <v/>
      </c>
      <c r="D67" s="266" t="str">
        <f>IF('11'!D67="","",'11'!D67)</f>
        <v/>
      </c>
      <c r="E67" s="17" t="str">
        <f>IF('11'!E67="","",'11'!E67)</f>
        <v/>
      </c>
      <c r="F67" s="266" t="str">
        <f>IF('11'!F67="","",'11'!F67)</f>
        <v/>
      </c>
      <c r="G67" s="17" t="str">
        <f>IF('11'!G67="","",'11'!G67)</f>
        <v/>
      </c>
    </row>
    <row r="68" spans="1:7" ht="23.1" customHeight="1">
      <c r="A68" s="16" t="str">
        <f>IF('11'!A68="","",'11'!A68)</f>
        <v/>
      </c>
      <c r="B68" s="16" t="str">
        <f>IF('11'!B68="","",'11'!B68)</f>
        <v/>
      </c>
      <c r="C68" s="17" t="str">
        <f>IF('11'!C68="","",'11'!C68)</f>
        <v/>
      </c>
      <c r="D68" s="266" t="str">
        <f>IF('11'!D68="","",'11'!D68)</f>
        <v/>
      </c>
      <c r="E68" s="17" t="str">
        <f>IF('11'!E68="","",'11'!E68)</f>
        <v/>
      </c>
      <c r="F68" s="266" t="str">
        <f>IF('11'!F68="","",'11'!F68)</f>
        <v/>
      </c>
      <c r="G68" s="17" t="str">
        <f>IF('11'!G68="","",'11'!G68)</f>
        <v/>
      </c>
    </row>
    <row r="69" spans="1:7" ht="23.1" customHeight="1">
      <c r="A69" s="16" t="str">
        <f>IF('11'!A69="","",'11'!A69)</f>
        <v/>
      </c>
      <c r="B69" s="16" t="str">
        <f>IF('11'!B69="","",'11'!B69)</f>
        <v/>
      </c>
      <c r="C69" s="17" t="str">
        <f>IF('11'!C69="","",'11'!C69)</f>
        <v/>
      </c>
      <c r="D69" s="266" t="str">
        <f>IF('11'!D69="","",'11'!D69)</f>
        <v/>
      </c>
      <c r="E69" s="17" t="str">
        <f>IF('11'!E69="","",'11'!E69)</f>
        <v/>
      </c>
      <c r="F69" s="266" t="str">
        <f>IF('11'!F69="","",'11'!F69)</f>
        <v/>
      </c>
      <c r="G69" s="17" t="str">
        <f>IF('11'!G69="","",'11'!G69)</f>
        <v/>
      </c>
    </row>
    <row r="70" spans="1:7" ht="23.1" customHeight="1">
      <c r="A70" s="16" t="str">
        <f>IF('11'!A70="","",'11'!A70)</f>
        <v/>
      </c>
      <c r="B70" s="16" t="str">
        <f>IF('11'!B70="","",'11'!B70)</f>
        <v/>
      </c>
      <c r="C70" s="17" t="str">
        <f>IF('11'!C70="","",'11'!C70)</f>
        <v/>
      </c>
      <c r="D70" s="266" t="str">
        <f>IF('11'!D70="","",'11'!D70)</f>
        <v/>
      </c>
      <c r="E70" s="17" t="str">
        <f>IF('11'!E70="","",'11'!E70)</f>
        <v/>
      </c>
      <c r="F70" s="266" t="str">
        <f>IF('11'!F70="","",'11'!F70)</f>
        <v/>
      </c>
      <c r="G70" s="17" t="str">
        <f>IF('11'!G70="","",'11'!G70)</f>
        <v/>
      </c>
    </row>
    <row r="71" spans="1:7" ht="23.1" customHeight="1">
      <c r="A71" s="16" t="str">
        <f>IF('11'!A71="","",'11'!A71)</f>
        <v/>
      </c>
      <c r="B71" s="16" t="str">
        <f>IF('11'!B71="","",'11'!B71)</f>
        <v/>
      </c>
      <c r="C71" s="17" t="str">
        <f>IF('11'!C71="","",'11'!C71)</f>
        <v/>
      </c>
      <c r="D71" s="266" t="str">
        <f>IF('11'!D71="","",'11'!D71)</f>
        <v/>
      </c>
      <c r="E71" s="17" t="str">
        <f>IF('11'!E71="","",'11'!E71)</f>
        <v/>
      </c>
      <c r="F71" s="266" t="str">
        <f>IF('11'!F71="","",'11'!F71)</f>
        <v/>
      </c>
      <c r="G71" s="17" t="str">
        <f>IF('11'!G71="","",'11'!G71)</f>
        <v/>
      </c>
    </row>
    <row r="72" spans="1:7" ht="23.1" customHeight="1">
      <c r="A72" s="16" t="str">
        <f>IF('11'!A72="","",'11'!A72)</f>
        <v/>
      </c>
      <c r="B72" s="16" t="str">
        <f>IF('11'!B72="","",'11'!B72)</f>
        <v/>
      </c>
      <c r="C72" s="17" t="str">
        <f>IF('11'!C72="","",'11'!C72)</f>
        <v/>
      </c>
      <c r="D72" s="266" t="str">
        <f>IF('11'!D72="","",'11'!D72)</f>
        <v/>
      </c>
      <c r="E72" s="17" t="str">
        <f>IF('11'!E72="","",'11'!E72)</f>
        <v/>
      </c>
      <c r="F72" s="266" t="str">
        <f>IF('11'!F72="","",'11'!F72)</f>
        <v/>
      </c>
      <c r="G72" s="17" t="str">
        <f>IF('11'!G72="","",'11'!G72)</f>
        <v/>
      </c>
    </row>
    <row r="73" spans="1:7" ht="23.1" customHeight="1">
      <c r="A73" s="16" t="str">
        <f>IF('11'!A73="","",'11'!A73)</f>
        <v/>
      </c>
      <c r="B73" s="16" t="str">
        <f>IF('11'!B73="","",'11'!B73)</f>
        <v/>
      </c>
      <c r="C73" s="17" t="str">
        <f>IF('11'!C73="","",'11'!C73)</f>
        <v/>
      </c>
      <c r="D73" s="266" t="str">
        <f>IF('11'!D73="","",'11'!D73)</f>
        <v/>
      </c>
      <c r="E73" s="17" t="str">
        <f>IF('11'!E73="","",'11'!E73)</f>
        <v/>
      </c>
      <c r="F73" s="266" t="str">
        <f>IF('11'!F73="","",'11'!F73)</f>
        <v/>
      </c>
      <c r="G73" s="17" t="str">
        <f>IF('11'!G73="","",'11'!G73)</f>
        <v/>
      </c>
    </row>
  </sheetData>
  <dataConsolidate link="1"/>
  <mergeCells count="6">
    <mergeCell ref="G12:G13"/>
    <mergeCell ref="D8:F8"/>
    <mergeCell ref="A12:A13"/>
    <mergeCell ref="B12:B13"/>
    <mergeCell ref="C12:D12"/>
    <mergeCell ref="E12:F12"/>
  </mergeCells>
  <phoneticPr fontId="10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verticalDpi="4294967292" r:id="rId1"/>
  <headerFooter alignWithMargins="0">
    <oddHeader>&amp;R&amp;P/&amp;N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7A107-C32C-47A9-B86F-EC12621E6CF0}">
  <sheetPr codeName="Sheet2">
    <tabColor rgb="FF0070C0"/>
  </sheetPr>
  <dimension ref="A4:J16"/>
  <sheetViews>
    <sheetView view="pageBreakPreview" topLeftCell="A7" zoomScale="170" zoomScaleNormal="100" zoomScaleSheetLayoutView="170" workbookViewId="0">
      <selection activeCell="F2" sqref="F2:G2"/>
    </sheetView>
  </sheetViews>
  <sheetFormatPr defaultColWidth="8.88671875" defaultRowHeight="30" customHeight="1"/>
  <cols>
    <col min="1" max="1" width="8.88671875" style="96"/>
    <col min="2" max="3" width="8.88671875" style="95"/>
    <col min="4" max="4" width="13.6640625" style="99" customWidth="1"/>
    <col min="5" max="5" width="13.33203125" style="95" bestFit="1" customWidth="1"/>
    <col min="6" max="16384" width="8.88671875" style="95"/>
  </cols>
  <sheetData>
    <row r="4" spans="1:10" ht="30" customHeight="1">
      <c r="A4" s="356" t="str">
        <f>'12_V80'!C7</f>
        <v>2026 Fuji Horse Show Autumn Grand Prix</v>
      </c>
      <c r="B4" s="356"/>
      <c r="C4" s="356"/>
      <c r="D4" s="356"/>
      <c r="E4" s="356"/>
      <c r="F4" s="356"/>
      <c r="G4" s="356"/>
      <c r="H4" s="356"/>
      <c r="I4" s="356"/>
      <c r="J4" s="356"/>
    </row>
    <row r="6" spans="1:10" ht="30" customHeight="1">
      <c r="A6" s="96" t="s">
        <v>42</v>
      </c>
      <c r="B6" s="97">
        <f>'12_V80'!B8</f>
        <v>12</v>
      </c>
      <c r="C6" s="95" t="s">
        <v>43</v>
      </c>
      <c r="D6" s="98" t="str">
        <f>'12_V80'!D8:F8</f>
        <v>バーティカルジャンプ８０</v>
      </c>
    </row>
    <row r="8" spans="1:10" ht="30" customHeight="1">
      <c r="C8" s="95" t="s">
        <v>85</v>
      </c>
      <c r="E8" s="100" t="s">
        <v>98</v>
      </c>
    </row>
    <row r="9" spans="1:10" ht="30" customHeight="1">
      <c r="C9" s="95" t="s">
        <v>86</v>
      </c>
      <c r="E9" s="107" t="s">
        <v>99</v>
      </c>
      <c r="F9" s="95" t="s">
        <v>87</v>
      </c>
    </row>
    <row r="10" spans="1:10" ht="30" customHeight="1">
      <c r="A10" s="358" t="s">
        <v>94</v>
      </c>
      <c r="B10" s="358"/>
      <c r="C10" s="358"/>
      <c r="D10" s="358"/>
      <c r="E10" s="358"/>
      <c r="F10" s="358"/>
      <c r="G10" s="358"/>
      <c r="H10" s="358"/>
    </row>
    <row r="11" spans="1:10" ht="30" customHeight="1">
      <c r="C11" s="357"/>
      <c r="D11" s="357"/>
      <c r="E11" s="357"/>
      <c r="F11" s="357"/>
      <c r="G11" s="357"/>
    </row>
    <row r="12" spans="1:10" ht="30" customHeight="1">
      <c r="D12" s="95"/>
      <c r="F12" s="99"/>
      <c r="G12" s="99"/>
    </row>
    <row r="13" spans="1:10" ht="30" customHeight="1">
      <c r="D13" s="95"/>
      <c r="F13" s="99"/>
      <c r="G13" s="99"/>
    </row>
    <row r="14" spans="1:10" ht="30" customHeight="1">
      <c r="D14" s="95"/>
      <c r="G14" s="99"/>
    </row>
    <row r="15" spans="1:10" ht="30" customHeight="1">
      <c r="D15" s="95"/>
      <c r="G15" s="99"/>
    </row>
    <row r="16" spans="1:10" ht="30" customHeight="1">
      <c r="D16" s="98"/>
      <c r="E16" s="98"/>
      <c r="F16" s="98"/>
      <c r="G16" s="98"/>
    </row>
  </sheetData>
  <mergeCells count="3">
    <mergeCell ref="A4:J4"/>
    <mergeCell ref="C11:G11"/>
    <mergeCell ref="A10:H10"/>
  </mergeCells>
  <phoneticPr fontId="10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0070C0"/>
  </sheetPr>
  <dimension ref="A1:G73"/>
  <sheetViews>
    <sheetView view="pageBreakPreview" topLeftCell="A6" zoomScaleNormal="100" zoomScaleSheetLayoutView="100" workbookViewId="0">
      <selection activeCell="G17" sqref="G17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41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'12'!C2</f>
        <v>0</v>
      </c>
      <c r="D6" s="3"/>
      <c r="F6" s="4" t="s">
        <v>2</v>
      </c>
      <c r="G6" s="6">
        <v>46277</v>
      </c>
    </row>
    <row r="7" spans="1:7" ht="24" customHeight="1">
      <c r="A7" s="7"/>
      <c r="B7" s="4" t="s">
        <v>4</v>
      </c>
      <c r="C7" s="8" t="str">
        <f>'12'!C3</f>
        <v>2026 Fuji Horse Show Autumn Grand Prix</v>
      </c>
      <c r="D7" s="9"/>
      <c r="E7" s="9"/>
      <c r="F7" s="9"/>
      <c r="G7" s="346" t="s">
        <v>732</v>
      </c>
    </row>
    <row r="8" spans="1:7" ht="21" customHeight="1">
      <c r="A8" s="10" t="s">
        <v>42</v>
      </c>
      <c r="B8" s="68">
        <f>'12'!C4</f>
        <v>12</v>
      </c>
      <c r="C8" s="4" t="s">
        <v>43</v>
      </c>
      <c r="D8" s="349" t="str">
        <f>'12'!F4</f>
        <v>バーティカルジャンプ８０</v>
      </c>
      <c r="E8" s="349"/>
      <c r="F8" s="349"/>
    </row>
    <row r="9" spans="1:7" ht="18.75" customHeight="1">
      <c r="C9" s="11" t="s">
        <v>11</v>
      </c>
      <c r="D9" s="264" t="str">
        <f>'12'!D5</f>
        <v>-</v>
      </c>
      <c r="E9" s="4" t="s">
        <v>9</v>
      </c>
      <c r="F9" s="267" t="str">
        <f>'12'!K4</f>
        <v>-</v>
      </c>
    </row>
    <row r="10" spans="1:7" ht="21" customHeight="1">
      <c r="A10" s="12" t="s">
        <v>44</v>
      </c>
      <c r="B10" s="12"/>
      <c r="C10" s="12"/>
      <c r="D10" s="265" t="str">
        <f>'12'!D6</f>
        <v>-</v>
      </c>
      <c r="E10" s="4" t="s">
        <v>12</v>
      </c>
      <c r="F10" s="268" t="str">
        <f>'12'!F5</f>
        <v>-</v>
      </c>
      <c r="G10" s="13" t="s">
        <v>45</v>
      </c>
    </row>
    <row r="11" spans="1:7" ht="5.0999999999999996" customHeight="1"/>
    <row r="12" spans="1:7" ht="15" customHeight="1">
      <c r="A12" s="350" t="s">
        <v>46</v>
      </c>
      <c r="B12" s="352" t="s">
        <v>47</v>
      </c>
      <c r="C12" s="354" t="s">
        <v>48</v>
      </c>
      <c r="D12" s="355"/>
      <c r="E12" s="347" t="s">
        <v>49</v>
      </c>
      <c r="F12" s="347"/>
      <c r="G12" s="347" t="s">
        <v>50</v>
      </c>
    </row>
    <row r="13" spans="1:7" ht="24" customHeight="1">
      <c r="A13" s="351"/>
      <c r="B13" s="353"/>
      <c r="C13" s="14" t="s">
        <v>53</v>
      </c>
      <c r="D13" s="15" t="s">
        <v>54</v>
      </c>
      <c r="E13" s="15" t="s">
        <v>55</v>
      </c>
      <c r="F13" s="15" t="s">
        <v>56</v>
      </c>
      <c r="G13" s="348"/>
    </row>
    <row r="14" spans="1:7" s="19" customFormat="1" ht="23.1" customHeight="1">
      <c r="A14" s="16" t="str">
        <f>IF('12'!A14="","",'12'!A14)</f>
        <v>OP</v>
      </c>
      <c r="B14" s="16">
        <f>IF('12'!B14="","",'12'!B14)</f>
        <v>1</v>
      </c>
      <c r="C14" s="17" t="str">
        <f>IF('12'!C14="","",'12'!C14)</f>
        <v>福島　大輔</v>
      </c>
      <c r="D14" s="266">
        <f>IF('12'!D14="","",'12'!D14)</f>
        <v>7270</v>
      </c>
      <c r="E14" s="17" t="str">
        <f>IF('12'!E14="","",'12'!E14)</f>
        <v>アルミココ</v>
      </c>
      <c r="F14" s="266">
        <f>IF('12'!F14="","",'12'!F14)</f>
        <v>60955</v>
      </c>
      <c r="G14" s="17" t="str">
        <f>IF('12'!G14="","",'12'!G14)</f>
        <v>STAR HORSES</v>
      </c>
    </row>
    <row r="15" spans="1:7" s="19" customFormat="1" ht="23.1" customHeight="1">
      <c r="A15" s="16" t="str">
        <f>IF('12'!A15="","",'12'!A15)</f>
        <v>OP</v>
      </c>
      <c r="B15" s="16">
        <f>IF('12'!B15="","",'12'!B15)</f>
        <v>2</v>
      </c>
      <c r="C15" s="17" t="str">
        <f>IF('12'!C15="","",'12'!C15)</f>
        <v>服部　亮太</v>
      </c>
      <c r="D15" s="266" t="str">
        <f>IF('12'!D15="","",'12'!D15)</f>
        <v>-</v>
      </c>
      <c r="E15" s="17" t="str">
        <f>IF('12'!E15="","",'12'!E15)</f>
        <v>フレデリカ</v>
      </c>
      <c r="F15" s="266" t="str">
        <f>IF('12'!F15="","",'12'!F15)</f>
        <v>-</v>
      </c>
      <c r="G15" s="17" t="str">
        <f>IF('12'!G15="","",'12'!G15)</f>
        <v>乗馬クラブクレイン神奈川</v>
      </c>
    </row>
    <row r="16" spans="1:7" s="19" customFormat="1" ht="23.1" customHeight="1">
      <c r="A16" s="16" t="str">
        <f>IF('12'!A16="","",'12'!A16)</f>
        <v>OP</v>
      </c>
      <c r="B16" s="16">
        <f>IF('12'!B16="","",'12'!B16)</f>
        <v>3</v>
      </c>
      <c r="C16" s="17" t="str">
        <f>IF('12'!C16="","",'12'!C16)</f>
        <v>鈴木　裕介</v>
      </c>
      <c r="D16" s="266">
        <f>IF('12'!D16="","",'12'!D16)</f>
        <v>23529</v>
      </c>
      <c r="E16" s="17" t="str">
        <f>IF('12'!E16="","",'12'!E16)</f>
        <v>ワンダークラッシー</v>
      </c>
      <c r="F16" s="266" t="str">
        <f>IF('12'!F16="","",'12'!F16)</f>
        <v>-</v>
      </c>
      <c r="G16" s="17" t="str">
        <f>IF('12'!G16="","",'12'!G16)</f>
        <v>北駿ホースヴィラ</v>
      </c>
    </row>
    <row r="17" spans="1:7" s="19" customFormat="1" ht="23.1" customHeight="1">
      <c r="A17" s="16" t="str">
        <f>IF('12'!A17="","",'12'!A17)</f>
        <v>OP</v>
      </c>
      <c r="B17" s="16">
        <f>IF('12'!B17="","",'12'!B17)</f>
        <v>4</v>
      </c>
      <c r="C17" s="17" t="str">
        <f>IF('12'!C17="","",'12'!C17)</f>
        <v>小野　敬司</v>
      </c>
      <c r="D17" s="266">
        <f>IF('12'!D17="","",'12'!D17)</f>
        <v>21867</v>
      </c>
      <c r="E17" s="17" t="str">
        <f>IF('12'!E17="","",'12'!E17)</f>
        <v>リモーネ</v>
      </c>
      <c r="F17" s="266">
        <f>IF('12'!F17="","",'12'!F17)</f>
        <v>58308</v>
      </c>
      <c r="G17" s="17" t="str">
        <f>IF('12'!G17="","",'12'!G17)</f>
        <v>乗馬クラブクレイン東京</v>
      </c>
    </row>
    <row r="18" spans="1:7" s="19" customFormat="1" ht="23.1" customHeight="1">
      <c r="A18" s="16" t="str">
        <f>IF('12'!A18="","",'12'!A18)</f>
        <v/>
      </c>
      <c r="B18" s="16">
        <f>IF('12'!B18="","",'12'!B18)</f>
        <v>5</v>
      </c>
      <c r="C18" s="17" t="str">
        <f>IF('12'!C18="","",'12'!C18)</f>
        <v>吉岡　容子</v>
      </c>
      <c r="D18" s="266">
        <f>IF('12'!D18="","",'12'!D18)</f>
        <v>32787</v>
      </c>
      <c r="E18" s="17" t="str">
        <f>IF('12'!E18="","",'12'!E18)</f>
        <v>ベルナルドI</v>
      </c>
      <c r="F18" s="266">
        <f>IF('12'!F18="","",'12'!F18)</f>
        <v>58347</v>
      </c>
      <c r="G18" s="17" t="str">
        <f>IF('12'!G18="","",'12'!G18)</f>
        <v>乗馬クラブクレイン伊奈</v>
      </c>
    </row>
    <row r="19" spans="1:7" s="19" customFormat="1" ht="23.1" customHeight="1">
      <c r="A19" s="16" t="str">
        <f>IF('12'!A19="","",'12'!A19)</f>
        <v/>
      </c>
      <c r="B19" s="16">
        <f>IF('12'!B19="","",'12'!B19)</f>
        <v>6</v>
      </c>
      <c r="C19" s="17" t="str">
        <f>IF('12'!C19="","",'12'!C19)</f>
        <v>宇佐美　真澄</v>
      </c>
      <c r="D19" s="266" t="str">
        <f>IF('12'!D19="","",'12'!D19)</f>
        <v>-</v>
      </c>
      <c r="E19" s="17" t="str">
        <f>IF('12'!E19="","",'12'!E19)</f>
        <v>遠宝17</v>
      </c>
      <c r="F19" s="266" t="str">
        <f>IF('12'!F19="","",'12'!F19)</f>
        <v>‐</v>
      </c>
      <c r="G19" s="17" t="str">
        <f>IF('12'!G19="","",'12'!G19)</f>
        <v>ペガサス乗馬クラブ</v>
      </c>
    </row>
    <row r="20" spans="1:7" s="19" customFormat="1" ht="23.1" customHeight="1">
      <c r="A20" s="16" t="str">
        <f>IF('12'!A20="","",'12'!A20)</f>
        <v/>
      </c>
      <c r="B20" s="16">
        <f>IF('12'!B20="","",'12'!B20)</f>
        <v>7</v>
      </c>
      <c r="C20" s="17" t="str">
        <f>IF('12'!C20="","",'12'!C20)</f>
        <v>伊部　美予子</v>
      </c>
      <c r="D20" s="266">
        <f>IF('12'!D20="","",'12'!D20)</f>
        <v>27704</v>
      </c>
      <c r="E20" s="17" t="str">
        <f>IF('12'!E20="","",'12'!E20)</f>
        <v>アルミココ</v>
      </c>
      <c r="F20" s="266">
        <f>IF('12'!F20="","",'12'!F20)</f>
        <v>60955</v>
      </c>
      <c r="G20" s="17" t="str">
        <f>IF('12'!G20="","",'12'!G20)</f>
        <v>STAR HORSES</v>
      </c>
    </row>
    <row r="21" spans="1:7" s="19" customFormat="1" ht="23.1" customHeight="1">
      <c r="A21" s="16" t="str">
        <f>IF('12'!A21="","",'12'!A21)</f>
        <v/>
      </c>
      <c r="B21" s="16">
        <f>IF('12'!B21="","",'12'!B21)</f>
        <v>8</v>
      </c>
      <c r="C21" s="17" t="str">
        <f>IF('12'!C21="","",'12'!C21)</f>
        <v>西村　愛由</v>
      </c>
      <c r="D21" s="266" t="str">
        <f>IF('12'!D21="","",'12'!D21)</f>
        <v>-</v>
      </c>
      <c r="E21" s="17" t="str">
        <f>IF('12'!E21="","",'12'!E21)</f>
        <v>フレデリカ</v>
      </c>
      <c r="F21" s="266" t="str">
        <f>IF('12'!F21="","",'12'!F21)</f>
        <v>-</v>
      </c>
      <c r="G21" s="17" t="str">
        <f>IF('12'!G21="","",'12'!G21)</f>
        <v>乗馬クラブクレイン神奈川</v>
      </c>
    </row>
    <row r="22" spans="1:7" s="19" customFormat="1" ht="23.1" customHeight="1">
      <c r="A22" s="16" t="str">
        <f>IF('12'!A22="","",'12'!A22)</f>
        <v/>
      </c>
      <c r="B22" s="16">
        <f>IF('12'!B22="","",'12'!B22)</f>
        <v>9</v>
      </c>
      <c r="C22" s="17" t="str">
        <f>IF('12'!C22="","",'12'!C22)</f>
        <v>鈴木　絢子</v>
      </c>
      <c r="D22" s="266" t="str">
        <f>IF('12'!D22="","",'12'!D22)</f>
        <v>-</v>
      </c>
      <c r="E22" s="17" t="str">
        <f>IF('12'!E22="","",'12'!E22)</f>
        <v>リモーネ</v>
      </c>
      <c r="F22" s="266">
        <f>IF('12'!F22="","",'12'!F22)</f>
        <v>58308</v>
      </c>
      <c r="G22" s="17" t="str">
        <f>IF('12'!G22="","",'12'!G22)</f>
        <v>乗馬クラブクレイン東京</v>
      </c>
    </row>
    <row r="23" spans="1:7" s="19" customFormat="1" ht="23.1" customHeight="1">
      <c r="A23" s="16" t="str">
        <f>IF('12'!A23="","",'12'!A23)</f>
        <v/>
      </c>
      <c r="B23" s="16">
        <f>IF('12'!B23="","",'12'!B23)</f>
        <v>10</v>
      </c>
      <c r="C23" s="17" t="str">
        <f>IF('12'!C23="","",'12'!C23)</f>
        <v>小川　秀生</v>
      </c>
      <c r="D23" s="266" t="str">
        <f>IF('12'!D23="","",'12'!D23)</f>
        <v>-</v>
      </c>
      <c r="E23" s="17" t="str">
        <f>IF('12'!E23="","",'12'!E23)</f>
        <v>ベルナルドI</v>
      </c>
      <c r="F23" s="266">
        <f>IF('12'!F23="","",'12'!F23)</f>
        <v>58347</v>
      </c>
      <c r="G23" s="17" t="str">
        <f>IF('12'!G23="","",'12'!G23)</f>
        <v>乗馬クラブクレイン伊奈</v>
      </c>
    </row>
    <row r="24" spans="1:7" s="19" customFormat="1" ht="23.1" customHeight="1">
      <c r="A24" s="16" t="str">
        <f>IF('12'!A24="","",'12'!A24)</f>
        <v/>
      </c>
      <c r="B24" s="16">
        <f>IF('12'!B24="","",'12'!B24)</f>
        <v>11</v>
      </c>
      <c r="C24" s="17" t="str">
        <f>IF('12'!C24="","",'12'!C24)</f>
        <v>岩崎　優馬</v>
      </c>
      <c r="D24" s="266" t="str">
        <f>IF('12'!D24="","",'12'!D24)</f>
        <v>-</v>
      </c>
      <c r="E24" s="17" t="str">
        <f>IF('12'!E24="","",'12'!E24)</f>
        <v>ごま丸</v>
      </c>
      <c r="F24" s="266" t="str">
        <f>IF('12'!F24="","",'12'!F24)</f>
        <v>-</v>
      </c>
      <c r="G24" s="17" t="str">
        <f>IF('12'!G24="","",'12'!G24)</f>
        <v>乗馬クラブクレイン神奈川</v>
      </c>
    </row>
    <row r="25" spans="1:7" s="19" customFormat="1" ht="23.1" customHeight="1">
      <c r="A25" s="16" t="str">
        <f>IF('12'!A25="","",'12'!A25)</f>
        <v/>
      </c>
      <c r="B25" s="16">
        <f>IF('12'!B25="","",'12'!B25)</f>
        <v>12</v>
      </c>
      <c r="C25" s="17" t="str">
        <f>IF('12'!C25="","",'12'!C25)</f>
        <v>野々川　颯華</v>
      </c>
      <c r="D25" s="266" t="str">
        <f>IF('12'!D25="","",'12'!D25)</f>
        <v>-</v>
      </c>
      <c r="E25" s="17" t="str">
        <f>IF('12'!E25="","",'12'!E25)</f>
        <v>紅鈴</v>
      </c>
      <c r="F25" s="266">
        <f>IF('12'!F25="","",'12'!F25)</f>
        <v>57863</v>
      </c>
      <c r="G25" s="17" t="str">
        <f>IF('12'!G25="","",'12'!G25)</f>
        <v>拓殖大学馬術部</v>
      </c>
    </row>
    <row r="26" spans="1:7" s="19" customFormat="1" ht="23.1" customHeight="1">
      <c r="A26" s="16" t="str">
        <f>IF('12'!A26="","",'12'!A26)</f>
        <v/>
      </c>
      <c r="B26" s="16">
        <f>IF('12'!B26="","",'12'!B26)</f>
        <v>13</v>
      </c>
      <c r="C26" s="17" t="str">
        <f>IF('12'!C26="","",'12'!C26)</f>
        <v>大森　康行</v>
      </c>
      <c r="D26" s="266" t="str">
        <f>IF('12'!D26="","",'12'!D26)</f>
        <v>-</v>
      </c>
      <c r="E26" s="17" t="str">
        <f>IF('12'!E26="","",'12'!E26)</f>
        <v>フレデリカ</v>
      </c>
      <c r="F26" s="266" t="str">
        <f>IF('12'!F26="","",'12'!F26)</f>
        <v>-</v>
      </c>
      <c r="G26" s="17" t="str">
        <f>IF('12'!G26="","",'12'!G26)</f>
        <v>乗馬クラブクレイン神奈川</v>
      </c>
    </row>
    <row r="27" spans="1:7" s="19" customFormat="1" ht="23.1" customHeight="1">
      <c r="A27" s="16" t="str">
        <f>IF('12'!A27="","",'12'!A27)</f>
        <v/>
      </c>
      <c r="B27" s="16">
        <f>IF('12'!B27="","",'12'!B27)</f>
        <v>14</v>
      </c>
      <c r="C27" s="17" t="str">
        <f>IF('12'!C27="","",'12'!C27)</f>
        <v>飯島　真紀</v>
      </c>
      <c r="D27" s="266" t="str">
        <f>IF('12'!D27="","",'12'!D27)</f>
        <v>-</v>
      </c>
      <c r="E27" s="17" t="str">
        <f>IF('12'!E27="","",'12'!E27)</f>
        <v>ティラミス</v>
      </c>
      <c r="F27" s="266" t="str">
        <f>IF('12'!F27="","",'12'!F27)</f>
        <v>-</v>
      </c>
      <c r="G27" s="17" t="str">
        <f>IF('12'!G27="","",'12'!G27)</f>
        <v>乗馬クラブクレイン神奈川</v>
      </c>
    </row>
    <row r="28" spans="1:7" s="19" customFormat="1" ht="23.1" customHeight="1">
      <c r="A28" s="16" t="str">
        <f>IF('12'!A28="","",'12'!A28)</f>
        <v>OP</v>
      </c>
      <c r="B28" s="16">
        <f>IF('12'!B28="","",'12'!B28)</f>
        <v>15</v>
      </c>
      <c r="C28" s="17" t="str">
        <f>IF('12'!C28="","",'12'!C28)</f>
        <v>福島　大輔</v>
      </c>
      <c r="D28" s="266">
        <f>IF('12'!D28="","",'12'!D28)</f>
        <v>7270</v>
      </c>
      <c r="E28" s="17" t="str">
        <f>IF('12'!E28="","",'12'!E28)</f>
        <v>アデラヴィーナス</v>
      </c>
      <c r="F28" s="266">
        <f>IF('12'!F28="","",'12'!F28)</f>
        <v>60672</v>
      </c>
      <c r="G28" s="17" t="str">
        <f>IF('12'!G28="","",'12'!G28)</f>
        <v>STAR HORSES</v>
      </c>
    </row>
    <row r="29" spans="1:7" s="19" customFormat="1" ht="23.1" customHeight="1">
      <c r="A29" s="16" t="str">
        <f>IF('12'!A29="","",'12'!A29)</f>
        <v/>
      </c>
      <c r="B29" s="16">
        <f>IF('12'!B29="","",'12'!B29)</f>
        <v>16</v>
      </c>
      <c r="C29" s="17" t="str">
        <f>IF('12'!C29="","",'12'!C29)</f>
        <v>Ksenia Ulanova</v>
      </c>
      <c r="D29" s="266" t="str">
        <f>IF('12'!D29="","",'12'!D29)</f>
        <v>-</v>
      </c>
      <c r="E29" s="17" t="str">
        <f>IF('12'!E29="","",'12'!E29)</f>
        <v>ジューン</v>
      </c>
      <c r="F29" s="266" t="str">
        <f>IF('12'!F29="","",'12'!F29)</f>
        <v>-</v>
      </c>
      <c r="G29" s="17" t="str">
        <f>IF('12'!G29="","",'12'!G29)</f>
        <v>岡本ライディングクラブJAPAN</v>
      </c>
    </row>
    <row r="30" spans="1:7" s="19" customFormat="1" ht="23.1" customHeight="1">
      <c r="A30" s="16" t="str">
        <f>IF('12'!A30="","",'12'!A30)</f>
        <v/>
      </c>
      <c r="B30" s="16">
        <f>IF('12'!B30="","",'12'!B30)</f>
        <v>17</v>
      </c>
      <c r="C30" s="17" t="str">
        <f>IF('12'!C30="","",'12'!C30)</f>
        <v>戸田　侑汰</v>
      </c>
      <c r="D30" s="266" t="str">
        <f>IF('12'!D30="","",'12'!D30)</f>
        <v>-</v>
      </c>
      <c r="E30" s="17" t="str">
        <f>IF('12'!E30="","",'12'!E30)</f>
        <v>カスミチャン</v>
      </c>
      <c r="F30" s="266">
        <f>IF('12'!F30="","",'12'!F30)</f>
        <v>61736</v>
      </c>
      <c r="G30" s="17" t="str">
        <f>IF('12'!G30="","",'12'!G30)</f>
        <v>拓殖大学馬術部</v>
      </c>
    </row>
    <row r="31" spans="1:7" s="19" customFormat="1" ht="23.1" customHeight="1">
      <c r="A31" s="16" t="str">
        <f>IF('12'!A31="","",'12'!A31)</f>
        <v/>
      </c>
      <c r="B31" s="16">
        <f>IF('12'!B31="","",'12'!B31)</f>
        <v>18</v>
      </c>
      <c r="C31" s="17" t="str">
        <f>IF('12'!C31="","",'12'!C31)</f>
        <v>中塚　昌利</v>
      </c>
      <c r="D31" s="266" t="str">
        <f>IF('12'!D31="","",'12'!D31)</f>
        <v>-</v>
      </c>
      <c r="E31" s="17" t="str">
        <f>IF('12'!E31="","",'12'!E31)</f>
        <v>フレデリカ</v>
      </c>
      <c r="F31" s="266" t="str">
        <f>IF('12'!F31="","",'12'!F31)</f>
        <v>-</v>
      </c>
      <c r="G31" s="17" t="str">
        <f>IF('12'!G31="","",'12'!G31)</f>
        <v>乗馬クラブクレイン神奈川</v>
      </c>
    </row>
    <row r="32" spans="1:7" s="19" customFormat="1" ht="23.1" customHeight="1">
      <c r="A32" s="16" t="str">
        <f>IF('12'!A32="","",'12'!A32)</f>
        <v/>
      </c>
      <c r="B32" s="16">
        <f>IF('12'!B32="","",'12'!B32)</f>
        <v>19</v>
      </c>
      <c r="C32" s="17" t="str">
        <f>IF('12'!C32="","",'12'!C32)</f>
        <v>蒋　心宇</v>
      </c>
      <c r="D32" s="266" t="str">
        <f>IF('12'!D32="","",'12'!D32)</f>
        <v>-</v>
      </c>
      <c r="E32" s="17" t="str">
        <f>IF('12'!E32="","",'12'!E32)</f>
        <v>ブラックバタフライ</v>
      </c>
      <c r="F32" s="266" t="str">
        <f>IF('12'!F32="","",'12'!F32)</f>
        <v>‐</v>
      </c>
      <c r="G32" s="17" t="str">
        <f>IF('12'!G32="","",'12'!G32)</f>
        <v>ペガサス乗馬クラブ</v>
      </c>
    </row>
    <row r="33" spans="1:7" s="19" customFormat="1" ht="23.1" customHeight="1">
      <c r="A33" s="16" t="str">
        <f>IF('12'!A33="","",'12'!A33)</f>
        <v/>
      </c>
      <c r="B33" s="16">
        <f>IF('12'!B33="","",'12'!B33)</f>
        <v>20</v>
      </c>
      <c r="C33" s="17" t="str">
        <f>IF('12'!C33="","",'12'!C33)</f>
        <v>小林　暁子</v>
      </c>
      <c r="D33" s="266">
        <f>IF('12'!D33="","",'12'!D33)</f>
        <v>31486</v>
      </c>
      <c r="E33" s="17" t="str">
        <f>IF('12'!E33="","",'12'!E33)</f>
        <v>アデラヴィーナス</v>
      </c>
      <c r="F33" s="266">
        <f>IF('12'!F33="","",'12'!F33)</f>
        <v>60672</v>
      </c>
      <c r="G33" s="17" t="str">
        <f>IF('12'!G33="","",'12'!G33)</f>
        <v>STAR HORSES</v>
      </c>
    </row>
    <row r="34" spans="1:7" s="19" customFormat="1" ht="23.1" customHeight="1">
      <c r="A34" s="16" t="str">
        <f>IF('12'!A34="","",'12'!A34)</f>
        <v/>
      </c>
      <c r="B34" s="16">
        <f>IF('12'!B34="","",'12'!B34)</f>
        <v>21</v>
      </c>
      <c r="C34" s="17" t="str">
        <f>IF('12'!C34="","",'12'!C34)</f>
        <v>鈴木　萌</v>
      </c>
      <c r="D34" s="266">
        <f>IF('12'!D34="","",'12'!D34)</f>
        <v>31292</v>
      </c>
      <c r="E34" s="17" t="str">
        <f>IF('12'!E34="","",'12'!E34)</f>
        <v>フェアレディー</v>
      </c>
      <c r="F34" s="266">
        <f>IF('12'!F34="","",'12'!F34)</f>
        <v>50565</v>
      </c>
      <c r="G34" s="17" t="str">
        <f>IF('12'!G34="","",'12'!G34)</f>
        <v>Horses' New Stage</v>
      </c>
    </row>
    <row r="35" spans="1:7" s="19" customFormat="1" ht="23.1" customHeight="1">
      <c r="A35" s="16" t="str">
        <f>IF('12'!A35="","",'12'!A35)</f>
        <v>WD</v>
      </c>
      <c r="B35" s="16">
        <f>IF('12'!B35="","",'12'!B35)</f>
        <v>22</v>
      </c>
      <c r="C35" s="17" t="str">
        <f>IF('12'!C35="","",'12'!C35)</f>
        <v>小山　知美</v>
      </c>
      <c r="D35" s="266">
        <f>IF('12'!D35="","",'12'!D35)</f>
        <v>33226</v>
      </c>
      <c r="E35" s="17" t="str">
        <f>IF('12'!E35="","",'12'!E35)</f>
        <v>イクスプロージョン</v>
      </c>
      <c r="F35" s="266">
        <f>IF('12'!F35="","",'12'!F35)</f>
        <v>61773</v>
      </c>
      <c r="G35" s="17" t="str">
        <f>IF('12'!G35="","",'12'!G35)</f>
        <v>ライディングクラブモーヴァン</v>
      </c>
    </row>
    <row r="36" spans="1:7" s="19" customFormat="1" ht="23.1" customHeight="1">
      <c r="A36" s="16" t="str">
        <f>IF('12'!A36="","",'12'!A36)</f>
        <v>WD</v>
      </c>
      <c r="B36" s="16">
        <f>IF('12'!B36="","",'12'!B36)</f>
        <v>23</v>
      </c>
      <c r="C36" s="17" t="str">
        <f>IF('12'!C36="","",'12'!C36)</f>
        <v>櫻井　飛鳥</v>
      </c>
      <c r="D36" s="266">
        <f>IF('12'!D36="","",'12'!D36)</f>
        <v>32214</v>
      </c>
      <c r="E36" s="17" t="str">
        <f>IF('12'!E36="","",'12'!E36)</f>
        <v>ワンダークラッシー</v>
      </c>
      <c r="F36" s="266" t="str">
        <f>IF('12'!F36="","",'12'!F36)</f>
        <v>-</v>
      </c>
      <c r="G36" s="17" t="str">
        <f>IF('12'!G36="","",'12'!G36)</f>
        <v>北駿ホースヴィラ</v>
      </c>
    </row>
    <row r="37" spans="1:7" s="19" customFormat="1" ht="23.1" customHeight="1">
      <c r="A37" s="16" t="str">
        <f>IF('12'!A37="","",'12'!A37)</f>
        <v/>
      </c>
      <c r="B37" s="16">
        <f>IF('12'!B37="","",'12'!B37)</f>
        <v>24</v>
      </c>
      <c r="C37" s="17" t="str">
        <f>IF('12'!C37="","",'12'!C37)</f>
        <v/>
      </c>
      <c r="D37" s="266" t="str">
        <f>IF('12'!D37="","",'12'!D37)</f>
        <v/>
      </c>
      <c r="E37" s="17" t="str">
        <f>IF('12'!E37="","",'12'!E37)</f>
        <v/>
      </c>
      <c r="F37" s="266" t="str">
        <f>IF('12'!F37="","",'12'!F37)</f>
        <v/>
      </c>
      <c r="G37" s="17" t="str">
        <f>IF('12'!G37="","",'12'!G37)</f>
        <v/>
      </c>
    </row>
    <row r="38" spans="1:7" s="19" customFormat="1" ht="23.1" customHeight="1">
      <c r="A38" s="16" t="str">
        <f>IF('12'!A38="","",'12'!A38)</f>
        <v/>
      </c>
      <c r="B38" s="16">
        <f>IF('12'!B38="","",'12'!B38)</f>
        <v>25</v>
      </c>
      <c r="C38" s="17" t="str">
        <f>IF('12'!C38="","",'12'!C38)</f>
        <v/>
      </c>
      <c r="D38" s="266" t="str">
        <f>IF('12'!D38="","",'12'!D38)</f>
        <v/>
      </c>
      <c r="E38" s="17" t="str">
        <f>IF('12'!E38="","",'12'!E38)</f>
        <v/>
      </c>
      <c r="F38" s="266" t="str">
        <f>IF('12'!F38="","",'12'!F38)</f>
        <v/>
      </c>
      <c r="G38" s="17" t="str">
        <f>IF('12'!G38="","",'12'!G38)</f>
        <v/>
      </c>
    </row>
    <row r="39" spans="1:7" s="19" customFormat="1" ht="23.1" customHeight="1">
      <c r="A39" s="16" t="str">
        <f>IF('12'!A39="","",'12'!A39)</f>
        <v/>
      </c>
      <c r="B39" s="16">
        <f>IF('12'!B39="","",'12'!B39)</f>
        <v>26</v>
      </c>
      <c r="C39" s="17" t="str">
        <f>IF('12'!C39="","",'12'!C39)</f>
        <v/>
      </c>
      <c r="D39" s="266" t="str">
        <f>IF('12'!D39="","",'12'!D39)</f>
        <v/>
      </c>
      <c r="E39" s="17" t="str">
        <f>IF('12'!E39="","",'12'!E39)</f>
        <v/>
      </c>
      <c r="F39" s="266" t="str">
        <f>IF('12'!F39="","",'12'!F39)</f>
        <v/>
      </c>
      <c r="G39" s="17" t="str">
        <f>IF('12'!G39="","",'12'!G39)</f>
        <v/>
      </c>
    </row>
    <row r="40" spans="1:7" s="19" customFormat="1" ht="23.1" customHeight="1">
      <c r="A40" s="16" t="str">
        <f>IF('12'!A40="","",'12'!A40)</f>
        <v/>
      </c>
      <c r="B40" s="16">
        <f>IF('12'!B40="","",'12'!B40)</f>
        <v>27</v>
      </c>
      <c r="C40" s="17" t="str">
        <f>IF('12'!C40="","",'12'!C40)</f>
        <v/>
      </c>
      <c r="D40" s="266" t="str">
        <f>IF('12'!D40="","",'12'!D40)</f>
        <v/>
      </c>
      <c r="E40" s="17" t="str">
        <f>IF('12'!E40="","",'12'!E40)</f>
        <v/>
      </c>
      <c r="F40" s="266" t="str">
        <f>IF('12'!F40="","",'12'!F40)</f>
        <v/>
      </c>
      <c r="G40" s="17" t="str">
        <f>IF('12'!G40="","",'12'!G40)</f>
        <v/>
      </c>
    </row>
    <row r="41" spans="1:7" s="19" customFormat="1" ht="23.1" customHeight="1">
      <c r="A41" s="16" t="str">
        <f>IF('12'!A41="","",'12'!A41)</f>
        <v/>
      </c>
      <c r="B41" s="16">
        <f>IF('12'!B41="","",'12'!B41)</f>
        <v>28</v>
      </c>
      <c r="C41" s="17" t="str">
        <f>IF('12'!C41="","",'12'!C41)</f>
        <v/>
      </c>
      <c r="D41" s="266" t="str">
        <f>IF('12'!D41="","",'12'!D41)</f>
        <v/>
      </c>
      <c r="E41" s="17" t="str">
        <f>IF('12'!E41="","",'12'!E41)</f>
        <v/>
      </c>
      <c r="F41" s="266" t="str">
        <f>IF('12'!F41="","",'12'!F41)</f>
        <v/>
      </c>
      <c r="G41" s="17" t="str">
        <f>IF('12'!G41="","",'12'!G41)</f>
        <v/>
      </c>
    </row>
    <row r="42" spans="1:7" s="19" customFormat="1" ht="23.1" customHeight="1">
      <c r="A42" s="16" t="str">
        <f>IF('12'!A42="","",'12'!A42)</f>
        <v/>
      </c>
      <c r="B42" s="16">
        <f>IF('12'!B42="","",'12'!B42)</f>
        <v>29</v>
      </c>
      <c r="C42" s="17" t="str">
        <f>IF('12'!C42="","",'12'!C42)</f>
        <v/>
      </c>
      <c r="D42" s="266" t="str">
        <f>IF('12'!D42="","",'12'!D42)</f>
        <v/>
      </c>
      <c r="E42" s="17" t="str">
        <f>IF('12'!E42="","",'12'!E42)</f>
        <v/>
      </c>
      <c r="F42" s="266" t="str">
        <f>IF('12'!F42="","",'12'!F42)</f>
        <v/>
      </c>
      <c r="G42" s="17" t="str">
        <f>IF('12'!G42="","",'12'!G42)</f>
        <v/>
      </c>
    </row>
    <row r="43" spans="1:7" s="19" customFormat="1" ht="23.1" customHeight="1">
      <c r="A43" s="16" t="str">
        <f>IF('12'!A43="","",'12'!A43)</f>
        <v/>
      </c>
      <c r="B43" s="16">
        <f>IF('12'!B43="","",'12'!B43)</f>
        <v>30</v>
      </c>
      <c r="C43" s="17" t="str">
        <f>IF('12'!C43="","",'12'!C43)</f>
        <v/>
      </c>
      <c r="D43" s="266" t="str">
        <f>IF('12'!D43="","",'12'!D43)</f>
        <v/>
      </c>
      <c r="E43" s="17" t="str">
        <f>IF('12'!E43="","",'12'!E43)</f>
        <v/>
      </c>
      <c r="F43" s="266" t="str">
        <f>IF('12'!F43="","",'12'!F43)</f>
        <v/>
      </c>
      <c r="G43" s="17" t="str">
        <f>IF('12'!G43="","",'12'!G43)</f>
        <v/>
      </c>
    </row>
    <row r="44" spans="1:7" ht="23.1" customHeight="1">
      <c r="A44" s="16" t="str">
        <f>IF('12'!A44="","",'12'!A44)</f>
        <v/>
      </c>
      <c r="B44" s="16">
        <f>IF('12'!B44="","",'12'!B44)</f>
        <v>31</v>
      </c>
      <c r="C44" s="17" t="str">
        <f>IF('12'!C44="","",'12'!C44)</f>
        <v/>
      </c>
      <c r="D44" s="266" t="str">
        <f>IF('12'!D44="","",'12'!D44)</f>
        <v/>
      </c>
      <c r="E44" s="17" t="str">
        <f>IF('12'!E44="","",'12'!E44)</f>
        <v/>
      </c>
      <c r="F44" s="266" t="str">
        <f>IF('12'!F44="","",'12'!F44)</f>
        <v/>
      </c>
      <c r="G44" s="17" t="str">
        <f>IF('12'!G44="","",'12'!G44)</f>
        <v/>
      </c>
    </row>
    <row r="45" spans="1:7" ht="23.1" customHeight="1">
      <c r="A45" s="16" t="str">
        <f>IF('12'!A45="","",'12'!A45)</f>
        <v/>
      </c>
      <c r="B45" s="16">
        <f>IF('12'!B45="","",'12'!B45)</f>
        <v>32</v>
      </c>
      <c r="C45" s="17" t="str">
        <f>IF('12'!C45="","",'12'!C45)</f>
        <v/>
      </c>
      <c r="D45" s="266" t="str">
        <f>IF('12'!D45="","",'12'!D45)</f>
        <v/>
      </c>
      <c r="E45" s="17" t="str">
        <f>IF('12'!E45="","",'12'!E45)</f>
        <v/>
      </c>
      <c r="F45" s="266" t="str">
        <f>IF('12'!F45="","",'12'!F45)</f>
        <v/>
      </c>
      <c r="G45" s="17" t="str">
        <f>IF('12'!G45="","",'12'!G45)</f>
        <v/>
      </c>
    </row>
    <row r="46" spans="1:7" ht="23.1" customHeight="1">
      <c r="A46" s="16" t="str">
        <f>IF('12'!A46="","",'12'!A46)</f>
        <v/>
      </c>
      <c r="B46" s="16">
        <f>IF('12'!B46="","",'12'!B46)</f>
        <v>33</v>
      </c>
      <c r="C46" s="17" t="str">
        <f>IF('12'!C46="","",'12'!C46)</f>
        <v/>
      </c>
      <c r="D46" s="266" t="str">
        <f>IF('12'!D46="","",'12'!D46)</f>
        <v/>
      </c>
      <c r="E46" s="17" t="str">
        <f>IF('12'!E46="","",'12'!E46)</f>
        <v/>
      </c>
      <c r="F46" s="266" t="str">
        <f>IF('12'!F46="","",'12'!F46)</f>
        <v/>
      </c>
      <c r="G46" s="17" t="str">
        <f>IF('12'!G46="","",'12'!G46)</f>
        <v/>
      </c>
    </row>
    <row r="47" spans="1:7" ht="23.1" customHeight="1">
      <c r="A47" s="16" t="str">
        <f>IF('12'!A47="","",'12'!A47)</f>
        <v/>
      </c>
      <c r="B47" s="16">
        <f>IF('12'!B47="","",'12'!B47)</f>
        <v>34</v>
      </c>
      <c r="C47" s="17" t="str">
        <f>IF('12'!C47="","",'12'!C47)</f>
        <v/>
      </c>
      <c r="D47" s="266" t="str">
        <f>IF('12'!D47="","",'12'!D47)</f>
        <v/>
      </c>
      <c r="E47" s="17" t="str">
        <f>IF('12'!E47="","",'12'!E47)</f>
        <v/>
      </c>
      <c r="F47" s="266" t="str">
        <f>IF('12'!F47="","",'12'!F47)</f>
        <v/>
      </c>
      <c r="G47" s="17" t="str">
        <f>IF('12'!G47="","",'12'!G47)</f>
        <v/>
      </c>
    </row>
    <row r="48" spans="1:7" ht="23.1" customHeight="1">
      <c r="A48" s="16" t="str">
        <f>IF('12'!A48="","",'12'!A48)</f>
        <v/>
      </c>
      <c r="B48" s="16">
        <f>IF('12'!B48="","",'12'!B48)</f>
        <v>35</v>
      </c>
      <c r="C48" s="17" t="str">
        <f>IF('12'!C48="","",'12'!C48)</f>
        <v/>
      </c>
      <c r="D48" s="266" t="str">
        <f>IF('12'!D48="","",'12'!D48)</f>
        <v/>
      </c>
      <c r="E48" s="17" t="str">
        <f>IF('12'!E48="","",'12'!E48)</f>
        <v/>
      </c>
      <c r="F48" s="266" t="str">
        <f>IF('12'!F48="","",'12'!F48)</f>
        <v/>
      </c>
      <c r="G48" s="17" t="str">
        <f>IF('12'!G48="","",'12'!G48)</f>
        <v/>
      </c>
    </row>
    <row r="49" spans="1:7" ht="23.1" customHeight="1">
      <c r="A49" s="16" t="str">
        <f>IF('12'!A49="","",'12'!A49)</f>
        <v/>
      </c>
      <c r="B49" s="16">
        <f>IF('12'!B49="","",'12'!B49)</f>
        <v>36</v>
      </c>
      <c r="C49" s="17" t="str">
        <f>IF('12'!C49="","",'12'!C49)</f>
        <v/>
      </c>
      <c r="D49" s="266" t="str">
        <f>IF('12'!D49="","",'12'!D49)</f>
        <v/>
      </c>
      <c r="E49" s="17" t="str">
        <f>IF('12'!E49="","",'12'!E49)</f>
        <v/>
      </c>
      <c r="F49" s="266" t="str">
        <f>IF('12'!F49="","",'12'!F49)</f>
        <v/>
      </c>
      <c r="G49" s="17" t="str">
        <f>IF('12'!G49="","",'12'!G49)</f>
        <v/>
      </c>
    </row>
    <row r="50" spans="1:7" ht="23.1" customHeight="1">
      <c r="A50" s="16" t="str">
        <f>IF('12'!A50="","",'12'!A50)</f>
        <v/>
      </c>
      <c r="B50" s="16">
        <f>IF('12'!B50="","",'12'!B50)</f>
        <v>37</v>
      </c>
      <c r="C50" s="17" t="str">
        <f>IF('12'!C50="","",'12'!C50)</f>
        <v/>
      </c>
      <c r="D50" s="266" t="str">
        <f>IF('12'!D50="","",'12'!D50)</f>
        <v/>
      </c>
      <c r="E50" s="17" t="str">
        <f>IF('12'!E50="","",'12'!E50)</f>
        <v/>
      </c>
      <c r="F50" s="266" t="str">
        <f>IF('12'!F50="","",'12'!F50)</f>
        <v/>
      </c>
      <c r="G50" s="17" t="str">
        <f>IF('12'!G50="","",'12'!G50)</f>
        <v/>
      </c>
    </row>
    <row r="51" spans="1:7" ht="23.1" customHeight="1">
      <c r="A51" s="16" t="str">
        <f>IF('12'!A51="","",'12'!A51)</f>
        <v/>
      </c>
      <c r="B51" s="16">
        <f>IF('12'!B51="","",'12'!B51)</f>
        <v>38</v>
      </c>
      <c r="C51" s="17" t="str">
        <f>IF('12'!C51="","",'12'!C51)</f>
        <v/>
      </c>
      <c r="D51" s="266" t="str">
        <f>IF('12'!D51="","",'12'!D51)</f>
        <v/>
      </c>
      <c r="E51" s="17" t="str">
        <f>IF('12'!E51="","",'12'!E51)</f>
        <v/>
      </c>
      <c r="F51" s="266" t="str">
        <f>IF('12'!F51="","",'12'!F51)</f>
        <v/>
      </c>
      <c r="G51" s="17" t="str">
        <f>IF('12'!G51="","",'12'!G51)</f>
        <v/>
      </c>
    </row>
    <row r="52" spans="1:7" ht="23.1" customHeight="1">
      <c r="A52" s="16" t="str">
        <f>IF('12'!A52="","",'12'!A52)</f>
        <v/>
      </c>
      <c r="B52" s="16">
        <f>IF('12'!B52="","",'12'!B52)</f>
        <v>39</v>
      </c>
      <c r="C52" s="17" t="str">
        <f>IF('12'!C52="","",'12'!C52)</f>
        <v/>
      </c>
      <c r="D52" s="266" t="str">
        <f>IF('12'!D52="","",'12'!D52)</f>
        <v/>
      </c>
      <c r="E52" s="17" t="str">
        <f>IF('12'!E52="","",'12'!E52)</f>
        <v/>
      </c>
      <c r="F52" s="266" t="str">
        <f>IF('12'!F52="","",'12'!F52)</f>
        <v/>
      </c>
      <c r="G52" s="17" t="str">
        <f>IF('12'!G52="","",'12'!G52)</f>
        <v/>
      </c>
    </row>
    <row r="53" spans="1:7" ht="23.1" customHeight="1">
      <c r="A53" s="16" t="str">
        <f>IF('12'!A53="","",'12'!A53)</f>
        <v/>
      </c>
      <c r="B53" s="16">
        <f>IF('12'!B53="","",'12'!B53)</f>
        <v>40</v>
      </c>
      <c r="C53" s="17" t="str">
        <f>IF('12'!C53="","",'12'!C53)</f>
        <v/>
      </c>
      <c r="D53" s="266" t="str">
        <f>IF('12'!D53="","",'12'!D53)</f>
        <v/>
      </c>
      <c r="E53" s="17" t="str">
        <f>IF('12'!E53="","",'12'!E53)</f>
        <v/>
      </c>
      <c r="F53" s="266" t="str">
        <f>IF('12'!F53="","",'12'!F53)</f>
        <v/>
      </c>
      <c r="G53" s="17" t="str">
        <f>IF('12'!G53="","",'12'!G53)</f>
        <v/>
      </c>
    </row>
    <row r="54" spans="1:7" ht="23.1" customHeight="1">
      <c r="A54" s="16" t="str">
        <f>IF('12'!A54="","",'12'!A54)</f>
        <v/>
      </c>
      <c r="B54" s="16">
        <f>IF('12'!B54="","",'12'!B54)</f>
        <v>41</v>
      </c>
      <c r="C54" s="17" t="str">
        <f>IF('12'!C54="","",'12'!C54)</f>
        <v/>
      </c>
      <c r="D54" s="266" t="str">
        <f>IF('12'!D54="","",'12'!D54)</f>
        <v/>
      </c>
      <c r="E54" s="17" t="str">
        <f>IF('12'!E54="","",'12'!E54)</f>
        <v/>
      </c>
      <c r="F54" s="266" t="str">
        <f>IF('12'!F54="","",'12'!F54)</f>
        <v/>
      </c>
      <c r="G54" s="17" t="str">
        <f>IF('12'!G54="","",'12'!G54)</f>
        <v/>
      </c>
    </row>
    <row r="55" spans="1:7" ht="23.1" customHeight="1">
      <c r="A55" s="16" t="str">
        <f>IF('12'!A55="","",'12'!A55)</f>
        <v/>
      </c>
      <c r="B55" s="16">
        <f>IF('12'!B55="","",'12'!B55)</f>
        <v>42</v>
      </c>
      <c r="C55" s="17" t="str">
        <f>IF('12'!C55="","",'12'!C55)</f>
        <v/>
      </c>
      <c r="D55" s="266" t="str">
        <f>IF('12'!D55="","",'12'!D55)</f>
        <v/>
      </c>
      <c r="E55" s="17" t="str">
        <f>IF('12'!E55="","",'12'!E55)</f>
        <v/>
      </c>
      <c r="F55" s="266" t="str">
        <f>IF('12'!F55="","",'12'!F55)</f>
        <v/>
      </c>
      <c r="G55" s="17" t="str">
        <f>IF('12'!G55="","",'12'!G55)</f>
        <v/>
      </c>
    </row>
    <row r="56" spans="1:7" ht="23.1" customHeight="1">
      <c r="A56" s="16" t="str">
        <f>IF('12'!A56="","",'12'!A56)</f>
        <v/>
      </c>
      <c r="B56" s="16">
        <f>IF('12'!B56="","",'12'!B56)</f>
        <v>43</v>
      </c>
      <c r="C56" s="17" t="str">
        <f>IF('12'!C56="","",'12'!C56)</f>
        <v/>
      </c>
      <c r="D56" s="266" t="str">
        <f>IF('12'!D56="","",'12'!D56)</f>
        <v/>
      </c>
      <c r="E56" s="17" t="str">
        <f>IF('12'!E56="","",'12'!E56)</f>
        <v/>
      </c>
      <c r="F56" s="266" t="str">
        <f>IF('12'!F56="","",'12'!F56)</f>
        <v/>
      </c>
      <c r="G56" s="17" t="str">
        <f>IF('12'!G56="","",'12'!G56)</f>
        <v/>
      </c>
    </row>
    <row r="57" spans="1:7" ht="23.1" customHeight="1">
      <c r="A57" s="16" t="str">
        <f>IF('12'!A57="","",'12'!A57)</f>
        <v/>
      </c>
      <c r="B57" s="16">
        <f>IF('12'!B57="","",'12'!B57)</f>
        <v>44</v>
      </c>
      <c r="C57" s="17" t="str">
        <f>IF('12'!C57="","",'12'!C57)</f>
        <v/>
      </c>
      <c r="D57" s="266" t="str">
        <f>IF('12'!D57="","",'12'!D57)</f>
        <v/>
      </c>
      <c r="E57" s="17" t="str">
        <f>IF('12'!E57="","",'12'!E57)</f>
        <v/>
      </c>
      <c r="F57" s="266" t="str">
        <f>IF('12'!F57="","",'12'!F57)</f>
        <v/>
      </c>
      <c r="G57" s="17" t="str">
        <f>IF('12'!G57="","",'12'!G57)</f>
        <v/>
      </c>
    </row>
    <row r="58" spans="1:7" ht="23.1" customHeight="1">
      <c r="A58" s="16" t="str">
        <f>IF('12'!A58="","",'12'!A58)</f>
        <v/>
      </c>
      <c r="B58" s="16">
        <f>IF('12'!B58="","",'12'!B58)</f>
        <v>45</v>
      </c>
      <c r="C58" s="17" t="str">
        <f>IF('12'!C58="","",'12'!C58)</f>
        <v/>
      </c>
      <c r="D58" s="266" t="str">
        <f>IF('12'!D58="","",'12'!D58)</f>
        <v/>
      </c>
      <c r="E58" s="17" t="str">
        <f>IF('12'!E58="","",'12'!E58)</f>
        <v/>
      </c>
      <c r="F58" s="266" t="str">
        <f>IF('12'!F58="","",'12'!F58)</f>
        <v/>
      </c>
      <c r="G58" s="17" t="str">
        <f>IF('12'!G58="","",'12'!G58)</f>
        <v/>
      </c>
    </row>
    <row r="59" spans="1:7" ht="23.1" customHeight="1">
      <c r="A59" s="16" t="str">
        <f>IF('12'!A59="","",'12'!A59)</f>
        <v/>
      </c>
      <c r="B59" s="16">
        <f>IF('12'!B59="","",'12'!B59)</f>
        <v>46</v>
      </c>
      <c r="C59" s="17" t="str">
        <f>IF('12'!C59="","",'12'!C59)</f>
        <v/>
      </c>
      <c r="D59" s="266" t="str">
        <f>IF('12'!D59="","",'12'!D59)</f>
        <v/>
      </c>
      <c r="E59" s="17" t="str">
        <f>IF('12'!E59="","",'12'!E59)</f>
        <v/>
      </c>
      <c r="F59" s="266" t="str">
        <f>IF('12'!F59="","",'12'!F59)</f>
        <v/>
      </c>
      <c r="G59" s="17" t="str">
        <f>IF('12'!G59="","",'12'!G59)</f>
        <v/>
      </c>
    </row>
    <row r="60" spans="1:7" ht="23.1" customHeight="1">
      <c r="A60" s="16" t="str">
        <f>IF('12'!A60="","",'12'!A60)</f>
        <v/>
      </c>
      <c r="B60" s="16">
        <f>IF('12'!B60="","",'12'!B60)</f>
        <v>47</v>
      </c>
      <c r="C60" s="17" t="str">
        <f>IF('12'!C60="","",'12'!C60)</f>
        <v/>
      </c>
      <c r="D60" s="266" t="str">
        <f>IF('12'!D60="","",'12'!D60)</f>
        <v/>
      </c>
      <c r="E60" s="17" t="str">
        <f>IF('12'!E60="","",'12'!E60)</f>
        <v/>
      </c>
      <c r="F60" s="266" t="str">
        <f>IF('12'!F60="","",'12'!F60)</f>
        <v/>
      </c>
      <c r="G60" s="17" t="str">
        <f>IF('12'!G60="","",'12'!G60)</f>
        <v/>
      </c>
    </row>
    <row r="61" spans="1:7" ht="23.1" customHeight="1">
      <c r="A61" s="16" t="str">
        <f>IF('12'!A61="","",'12'!A61)</f>
        <v/>
      </c>
      <c r="B61" s="16">
        <f>IF('12'!B61="","",'12'!B61)</f>
        <v>48</v>
      </c>
      <c r="C61" s="17" t="str">
        <f>IF('12'!C61="","",'12'!C61)</f>
        <v/>
      </c>
      <c r="D61" s="266" t="str">
        <f>IF('12'!D61="","",'12'!D61)</f>
        <v/>
      </c>
      <c r="E61" s="17" t="str">
        <f>IF('12'!E61="","",'12'!E61)</f>
        <v/>
      </c>
      <c r="F61" s="266" t="str">
        <f>IF('12'!F61="","",'12'!F61)</f>
        <v/>
      </c>
      <c r="G61" s="17" t="str">
        <f>IF('12'!G61="","",'12'!G61)</f>
        <v/>
      </c>
    </row>
    <row r="62" spans="1:7" ht="23.1" customHeight="1">
      <c r="A62" s="16" t="str">
        <f>IF('12'!A62="","",'12'!A62)</f>
        <v/>
      </c>
      <c r="B62" s="16">
        <f>IF('12'!B62="","",'12'!B62)</f>
        <v>49</v>
      </c>
      <c r="C62" s="17" t="str">
        <f>IF('12'!C62="","",'12'!C62)</f>
        <v/>
      </c>
      <c r="D62" s="266" t="str">
        <f>IF('12'!D62="","",'12'!D62)</f>
        <v/>
      </c>
      <c r="E62" s="17" t="str">
        <f>IF('12'!E62="","",'12'!E62)</f>
        <v/>
      </c>
      <c r="F62" s="266" t="str">
        <f>IF('12'!F62="","",'12'!F62)</f>
        <v/>
      </c>
      <c r="G62" s="17" t="str">
        <f>IF('12'!G62="","",'12'!G62)</f>
        <v/>
      </c>
    </row>
    <row r="63" spans="1:7" ht="23.1" customHeight="1">
      <c r="A63" s="16" t="str">
        <f>IF('12'!A63="","",'12'!A63)</f>
        <v/>
      </c>
      <c r="B63" s="16">
        <f>IF('12'!B63="","",'12'!B63)</f>
        <v>50</v>
      </c>
      <c r="C63" s="17" t="str">
        <f>IF('12'!C63="","",'12'!C63)</f>
        <v/>
      </c>
      <c r="D63" s="266" t="str">
        <f>IF('12'!D63="","",'12'!D63)</f>
        <v/>
      </c>
      <c r="E63" s="17" t="str">
        <f>IF('12'!E63="","",'12'!E63)</f>
        <v/>
      </c>
      <c r="F63" s="266" t="str">
        <f>IF('12'!F63="","",'12'!F63)</f>
        <v/>
      </c>
      <c r="G63" s="17" t="str">
        <f>IF('12'!G63="","",'12'!G63)</f>
        <v/>
      </c>
    </row>
    <row r="64" spans="1:7" ht="23.1" customHeight="1">
      <c r="A64" s="16" t="str">
        <f>IF('12'!A64="","",'12'!A64)</f>
        <v/>
      </c>
      <c r="B64" s="16">
        <f>IF('12'!B64="","",'12'!B64)</f>
        <v>51</v>
      </c>
      <c r="C64" s="17" t="str">
        <f>IF('12'!C64="","",'12'!C64)</f>
        <v/>
      </c>
      <c r="D64" s="266" t="str">
        <f>IF('12'!D64="","",'12'!D64)</f>
        <v/>
      </c>
      <c r="E64" s="17" t="str">
        <f>IF('12'!E64="","",'12'!E64)</f>
        <v/>
      </c>
      <c r="F64" s="266" t="str">
        <f>IF('12'!F64="","",'12'!F64)</f>
        <v/>
      </c>
      <c r="G64" s="17" t="str">
        <f>IF('12'!G64="","",'12'!G64)</f>
        <v/>
      </c>
    </row>
    <row r="65" spans="1:7" ht="23.1" customHeight="1">
      <c r="A65" s="16" t="str">
        <f>IF('12'!A65="","",'12'!A65)</f>
        <v/>
      </c>
      <c r="B65" s="16">
        <f>IF('12'!B65="","",'12'!B65)</f>
        <v>52</v>
      </c>
      <c r="C65" s="17" t="str">
        <f>IF('12'!C65="","",'12'!C65)</f>
        <v/>
      </c>
      <c r="D65" s="266" t="str">
        <f>IF('12'!D65="","",'12'!D65)</f>
        <v/>
      </c>
      <c r="E65" s="17" t="str">
        <f>IF('12'!E65="","",'12'!E65)</f>
        <v/>
      </c>
      <c r="F65" s="266" t="str">
        <f>IF('12'!F65="","",'12'!F65)</f>
        <v/>
      </c>
      <c r="G65" s="17" t="str">
        <f>IF('12'!G65="","",'12'!G65)</f>
        <v/>
      </c>
    </row>
    <row r="66" spans="1:7" ht="23.1" customHeight="1">
      <c r="A66" s="16" t="str">
        <f>IF('12'!A66="","",'12'!A66)</f>
        <v/>
      </c>
      <c r="B66" s="16">
        <f>IF('12'!B66="","",'12'!B66)</f>
        <v>53</v>
      </c>
      <c r="C66" s="17" t="str">
        <f>IF('12'!C66="","",'12'!C66)</f>
        <v/>
      </c>
      <c r="D66" s="266" t="str">
        <f>IF('12'!D66="","",'12'!D66)</f>
        <v/>
      </c>
      <c r="E66" s="17" t="str">
        <f>IF('12'!E66="","",'12'!E66)</f>
        <v/>
      </c>
      <c r="F66" s="266" t="str">
        <f>IF('12'!F66="","",'12'!F66)</f>
        <v/>
      </c>
      <c r="G66" s="17" t="str">
        <f>IF('12'!G66="","",'12'!G66)</f>
        <v/>
      </c>
    </row>
    <row r="67" spans="1:7" ht="23.1" customHeight="1">
      <c r="A67" s="16" t="str">
        <f>IF('12'!A67="","",'12'!A67)</f>
        <v/>
      </c>
      <c r="B67" s="16">
        <f>IF('12'!B67="","",'12'!B67)</f>
        <v>54</v>
      </c>
      <c r="C67" s="17" t="str">
        <f>IF('12'!C67="","",'12'!C67)</f>
        <v/>
      </c>
      <c r="D67" s="266" t="str">
        <f>IF('12'!D67="","",'12'!D67)</f>
        <v/>
      </c>
      <c r="E67" s="17" t="str">
        <f>IF('12'!E67="","",'12'!E67)</f>
        <v/>
      </c>
      <c r="F67" s="266" t="str">
        <f>IF('12'!F67="","",'12'!F67)</f>
        <v/>
      </c>
      <c r="G67" s="17" t="str">
        <f>IF('12'!G67="","",'12'!G67)</f>
        <v/>
      </c>
    </row>
    <row r="68" spans="1:7" ht="23.1" customHeight="1">
      <c r="A68" s="16" t="str">
        <f>IF('12'!A68="","",'12'!A68)</f>
        <v/>
      </c>
      <c r="B68" s="16">
        <f>IF('12'!B68="","",'12'!B68)</f>
        <v>55</v>
      </c>
      <c r="C68" s="17" t="str">
        <f>IF('12'!C68="","",'12'!C68)</f>
        <v/>
      </c>
      <c r="D68" s="266" t="str">
        <f>IF('12'!D68="","",'12'!D68)</f>
        <v/>
      </c>
      <c r="E68" s="17" t="str">
        <f>IF('12'!E68="","",'12'!E68)</f>
        <v/>
      </c>
      <c r="F68" s="266" t="str">
        <f>IF('12'!F68="","",'12'!F68)</f>
        <v/>
      </c>
      <c r="G68" s="17" t="str">
        <f>IF('12'!G68="","",'12'!G68)</f>
        <v/>
      </c>
    </row>
    <row r="69" spans="1:7" ht="23.1" customHeight="1">
      <c r="A69" s="16" t="str">
        <f>IF('12'!A69="","",'12'!A69)</f>
        <v/>
      </c>
      <c r="B69" s="16">
        <f>IF('12'!B69="","",'12'!B69)</f>
        <v>56</v>
      </c>
      <c r="C69" s="17" t="str">
        <f>IF('12'!C69="","",'12'!C69)</f>
        <v/>
      </c>
      <c r="D69" s="266" t="str">
        <f>IF('12'!D69="","",'12'!D69)</f>
        <v/>
      </c>
      <c r="E69" s="17" t="str">
        <f>IF('12'!E69="","",'12'!E69)</f>
        <v/>
      </c>
      <c r="F69" s="266" t="str">
        <f>IF('12'!F69="","",'12'!F69)</f>
        <v/>
      </c>
      <c r="G69" s="17" t="str">
        <f>IF('12'!G69="","",'12'!G69)</f>
        <v/>
      </c>
    </row>
    <row r="70" spans="1:7" ht="23.1" customHeight="1">
      <c r="A70" s="16" t="str">
        <f>IF('12'!A70="","",'12'!A70)</f>
        <v/>
      </c>
      <c r="B70" s="16">
        <f>IF('12'!B70="","",'12'!B70)</f>
        <v>57</v>
      </c>
      <c r="C70" s="17" t="str">
        <f>IF('12'!C70="","",'12'!C70)</f>
        <v/>
      </c>
      <c r="D70" s="266" t="str">
        <f>IF('12'!D70="","",'12'!D70)</f>
        <v/>
      </c>
      <c r="E70" s="17" t="str">
        <f>IF('12'!E70="","",'12'!E70)</f>
        <v/>
      </c>
      <c r="F70" s="266" t="str">
        <f>IF('12'!F70="","",'12'!F70)</f>
        <v/>
      </c>
      <c r="G70" s="17" t="str">
        <f>IF('12'!G70="","",'12'!G70)</f>
        <v/>
      </c>
    </row>
    <row r="71" spans="1:7" ht="23.1" customHeight="1">
      <c r="A71" s="16" t="str">
        <f>IF('12'!A71="","",'12'!A71)</f>
        <v/>
      </c>
      <c r="B71" s="16">
        <f>IF('12'!B71="","",'12'!B71)</f>
        <v>58</v>
      </c>
      <c r="C71" s="17" t="str">
        <f>IF('12'!C71="","",'12'!C71)</f>
        <v/>
      </c>
      <c r="D71" s="266" t="str">
        <f>IF('12'!D71="","",'12'!D71)</f>
        <v/>
      </c>
      <c r="E71" s="17" t="str">
        <f>IF('12'!E71="","",'12'!E71)</f>
        <v/>
      </c>
      <c r="F71" s="266" t="str">
        <f>IF('12'!F71="","",'12'!F71)</f>
        <v/>
      </c>
      <c r="G71" s="17" t="str">
        <f>IF('12'!G71="","",'12'!G71)</f>
        <v/>
      </c>
    </row>
    <row r="72" spans="1:7" ht="23.1" customHeight="1">
      <c r="A72" s="16" t="str">
        <f>IF('12'!A72="","",'12'!A72)</f>
        <v/>
      </c>
      <c r="B72" s="16">
        <f>IF('12'!B72="","",'12'!B72)</f>
        <v>59</v>
      </c>
      <c r="C72" s="17" t="str">
        <f>IF('12'!C72="","",'12'!C72)</f>
        <v/>
      </c>
      <c r="D72" s="266" t="str">
        <f>IF('12'!D72="","",'12'!D72)</f>
        <v/>
      </c>
      <c r="E72" s="17" t="str">
        <f>IF('12'!E72="","",'12'!E72)</f>
        <v/>
      </c>
      <c r="F72" s="266" t="str">
        <f>IF('12'!F72="","",'12'!F72)</f>
        <v/>
      </c>
      <c r="G72" s="17" t="str">
        <f>IF('12'!G72="","",'12'!G72)</f>
        <v/>
      </c>
    </row>
    <row r="73" spans="1:7" ht="23.1" customHeight="1">
      <c r="A73" s="16" t="str">
        <f>IF('12'!A73="","",'12'!A73)</f>
        <v/>
      </c>
      <c r="B73" s="16">
        <f>IF('12'!B73="","",'12'!B73)</f>
        <v>60</v>
      </c>
      <c r="C73" s="17" t="str">
        <f>IF('12'!C73="","",'12'!C73)</f>
        <v/>
      </c>
      <c r="D73" s="266" t="str">
        <f>IF('12'!D73="","",'12'!D73)</f>
        <v/>
      </c>
      <c r="E73" s="17" t="str">
        <f>IF('12'!E73="","",'12'!E73)</f>
        <v/>
      </c>
      <c r="F73" s="266" t="str">
        <f>IF('12'!F73="","",'12'!F73)</f>
        <v/>
      </c>
      <c r="G73" s="17" t="str">
        <f>IF('12'!G73="","",'12'!G73)</f>
        <v/>
      </c>
    </row>
  </sheetData>
  <dataConsolidate link="1"/>
  <mergeCells count="6">
    <mergeCell ref="G12:G13"/>
    <mergeCell ref="D8:F8"/>
    <mergeCell ref="A12:A13"/>
    <mergeCell ref="B12:B13"/>
    <mergeCell ref="C12:D12"/>
    <mergeCell ref="E12:F12"/>
  </mergeCells>
  <phoneticPr fontId="10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horizontalDpi="4294967293" verticalDpi="4294967292" r:id="rId1"/>
  <headerFooter alignWithMargins="0">
    <oddHeader>&amp;R&amp;P/&amp;N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119F2D-8688-4595-BAB6-56161F6C1BF2}">
  <sheetPr codeName="Sheet4">
    <tabColor rgb="FF0070C0"/>
  </sheetPr>
  <dimension ref="A4:J16"/>
  <sheetViews>
    <sheetView view="pageBreakPreview" topLeftCell="A4" zoomScale="60" zoomScaleNormal="100" workbookViewId="0">
      <selection activeCell="F2" sqref="F2:G2"/>
    </sheetView>
  </sheetViews>
  <sheetFormatPr defaultColWidth="8.88671875" defaultRowHeight="30" customHeight="1"/>
  <cols>
    <col min="1" max="1" width="8.88671875" style="96"/>
    <col min="2" max="3" width="8.88671875" style="95"/>
    <col min="4" max="4" width="13.6640625" style="99" customWidth="1"/>
    <col min="5" max="5" width="13.33203125" style="95" bestFit="1" customWidth="1"/>
    <col min="6" max="16384" width="8.88671875" style="95"/>
  </cols>
  <sheetData>
    <row r="4" spans="1:10" ht="30" customHeight="1">
      <c r="A4" s="356" t="str">
        <f>'13_LB'!C7</f>
        <v>2026 Fuji Horse Show Autumn Grand Prix</v>
      </c>
      <c r="B4" s="356"/>
      <c r="C4" s="356"/>
      <c r="D4" s="356"/>
      <c r="E4" s="356"/>
      <c r="F4" s="356"/>
      <c r="G4" s="356"/>
      <c r="H4" s="356"/>
      <c r="I4" s="356"/>
      <c r="J4" s="356"/>
    </row>
    <row r="6" spans="1:10" ht="30" customHeight="1">
      <c r="A6" s="96" t="s">
        <v>42</v>
      </c>
      <c r="B6" s="97">
        <f>'13_LB'!B8</f>
        <v>13</v>
      </c>
      <c r="C6" s="95" t="s">
        <v>43</v>
      </c>
      <c r="D6" s="98" t="str">
        <f>'13_LB'!D8:F8</f>
        <v>Ｌ－Ｂ級障害飛越競技</v>
      </c>
    </row>
    <row r="8" spans="1:10" ht="30" customHeight="1">
      <c r="C8" s="95" t="s">
        <v>85</v>
      </c>
      <c r="E8" s="100">
        <v>0.36805555555555558</v>
      </c>
    </row>
    <row r="9" spans="1:10" ht="30" customHeight="1">
      <c r="C9" s="95" t="s">
        <v>86</v>
      </c>
      <c r="E9" s="100">
        <v>0.37847222222222221</v>
      </c>
      <c r="F9" s="95" t="s">
        <v>87</v>
      </c>
    </row>
    <row r="11" spans="1:10" ht="30" customHeight="1">
      <c r="C11" s="357"/>
      <c r="D11" s="357"/>
      <c r="E11" s="357"/>
      <c r="F11" s="357"/>
      <c r="G11" s="357"/>
    </row>
    <row r="12" spans="1:10" ht="30" customHeight="1">
      <c r="D12" s="95"/>
      <c r="F12" s="99"/>
      <c r="G12" s="99"/>
    </row>
    <row r="13" spans="1:10" ht="30" customHeight="1">
      <c r="D13" s="95"/>
      <c r="F13" s="99"/>
      <c r="G13" s="99"/>
    </row>
    <row r="14" spans="1:10" ht="30" customHeight="1">
      <c r="D14" s="95"/>
      <c r="G14" s="99"/>
    </row>
    <row r="15" spans="1:10" ht="30" customHeight="1">
      <c r="D15" s="95"/>
      <c r="G15" s="99"/>
    </row>
    <row r="16" spans="1:10" ht="30" customHeight="1">
      <c r="D16" s="98"/>
      <c r="E16" s="98"/>
      <c r="F16" s="98"/>
      <c r="G16" s="98"/>
    </row>
  </sheetData>
  <mergeCells count="2">
    <mergeCell ref="A4:J4"/>
    <mergeCell ref="C11:G11"/>
  </mergeCells>
  <phoneticPr fontId="10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70C0"/>
  </sheetPr>
  <dimension ref="A1:G73"/>
  <sheetViews>
    <sheetView view="pageBreakPreview" topLeftCell="A6" zoomScaleNormal="100" zoomScaleSheetLayoutView="100" workbookViewId="0">
      <selection activeCell="G17" sqref="G17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41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'13'!C2</f>
        <v>0</v>
      </c>
      <c r="D6" s="3"/>
      <c r="F6" s="4" t="s">
        <v>2</v>
      </c>
      <c r="G6" s="6">
        <v>46277</v>
      </c>
    </row>
    <row r="7" spans="1:7" ht="24" customHeight="1">
      <c r="A7" s="7"/>
      <c r="B7" s="4" t="s">
        <v>4</v>
      </c>
      <c r="C7" s="8" t="str">
        <f>'13'!C3</f>
        <v>2026 Fuji Horse Show Autumn Grand Prix</v>
      </c>
      <c r="D7" s="9"/>
      <c r="E7" s="9"/>
      <c r="F7" s="9"/>
      <c r="G7" s="346" t="s">
        <v>732</v>
      </c>
    </row>
    <row r="8" spans="1:7" ht="21" customHeight="1">
      <c r="A8" s="10" t="s">
        <v>42</v>
      </c>
      <c r="B8" s="68">
        <f>'13'!C4</f>
        <v>13</v>
      </c>
      <c r="C8" s="4" t="s">
        <v>43</v>
      </c>
      <c r="D8" s="349" t="str">
        <f>'13'!F4</f>
        <v>Ｌ－Ｂ級障害飛越競技</v>
      </c>
      <c r="E8" s="349"/>
      <c r="F8" s="349"/>
    </row>
    <row r="9" spans="1:7" ht="18.75" customHeight="1">
      <c r="C9" s="11" t="s">
        <v>11</v>
      </c>
      <c r="D9" s="264" t="str">
        <f>'13'!D5</f>
        <v>-</v>
      </c>
      <c r="E9" s="4" t="s">
        <v>9</v>
      </c>
      <c r="F9" s="267" t="str">
        <f>'13'!K4</f>
        <v>-</v>
      </c>
    </row>
    <row r="10" spans="1:7" ht="21" customHeight="1">
      <c r="A10" s="12" t="s">
        <v>44</v>
      </c>
      <c r="B10" s="12"/>
      <c r="C10" s="12"/>
      <c r="D10" s="265" t="str">
        <f>'13'!D6</f>
        <v>-</v>
      </c>
      <c r="E10" s="4" t="s">
        <v>12</v>
      </c>
      <c r="F10" s="268" t="str">
        <f>'13'!F5</f>
        <v>-</v>
      </c>
      <c r="G10" s="13" t="s">
        <v>45</v>
      </c>
    </row>
    <row r="11" spans="1:7" ht="5.0999999999999996" customHeight="1"/>
    <row r="12" spans="1:7" ht="15" customHeight="1">
      <c r="A12" s="350" t="s">
        <v>46</v>
      </c>
      <c r="B12" s="352" t="s">
        <v>47</v>
      </c>
      <c r="C12" s="354" t="s">
        <v>48</v>
      </c>
      <c r="D12" s="355"/>
      <c r="E12" s="347" t="s">
        <v>49</v>
      </c>
      <c r="F12" s="347"/>
      <c r="G12" s="347" t="s">
        <v>50</v>
      </c>
    </row>
    <row r="13" spans="1:7" ht="24" customHeight="1">
      <c r="A13" s="351"/>
      <c r="B13" s="353"/>
      <c r="C13" s="14" t="s">
        <v>53</v>
      </c>
      <c r="D13" s="15" t="s">
        <v>54</v>
      </c>
      <c r="E13" s="15" t="s">
        <v>55</v>
      </c>
      <c r="F13" s="15" t="s">
        <v>56</v>
      </c>
      <c r="G13" s="348"/>
    </row>
    <row r="14" spans="1:7" s="19" customFormat="1" ht="23.1" customHeight="1">
      <c r="A14" s="16" t="str">
        <f>IF('13'!A14="","",'13'!A14)</f>
        <v>OP</v>
      </c>
      <c r="B14" s="16">
        <f>IF('13'!B14="","",'13'!B14)</f>
        <v>1</v>
      </c>
      <c r="C14" s="17" t="str">
        <f>IF('13'!C14="","",'13'!C14)</f>
        <v>桑原　咲季</v>
      </c>
      <c r="D14" s="266">
        <f>IF('13'!D14="","",'13'!D14)</f>
        <v>28809</v>
      </c>
      <c r="E14" s="17" t="str">
        <f>IF('13'!E14="","",'13'!E14)</f>
        <v>コレガー</v>
      </c>
      <c r="F14" s="266">
        <f>IF('13'!F14="","",'13'!F14)</f>
        <v>61600</v>
      </c>
      <c r="G14" s="17" t="str">
        <f>IF('13'!G14="","",'13'!G14)</f>
        <v>八王子乗馬倶楽部</v>
      </c>
    </row>
    <row r="15" spans="1:7" s="19" customFormat="1" ht="23.1" customHeight="1">
      <c r="A15" s="16" t="str">
        <f>IF('13'!A15="","",'13'!A15)</f>
        <v>OP</v>
      </c>
      <c r="B15" s="16">
        <f>IF('13'!B15="","",'13'!B15)</f>
        <v>2</v>
      </c>
      <c r="C15" s="17" t="str">
        <f>IF('13'!C15="","",'13'!C15)</f>
        <v>福島　大輔</v>
      </c>
      <c r="D15" s="266">
        <f>IF('13'!D15="","",'13'!D15)</f>
        <v>7270</v>
      </c>
      <c r="E15" s="17" t="str">
        <f>IF('13'!E15="","",'13'!E15)</f>
        <v>スーリアラヴィ</v>
      </c>
      <c r="F15" s="266">
        <f>IF('13'!F15="","",'13'!F15)</f>
        <v>62130</v>
      </c>
      <c r="G15" s="17" t="str">
        <f>IF('13'!G15="","",'13'!G15)</f>
        <v>STAR HORSES</v>
      </c>
    </row>
    <row r="16" spans="1:7" s="19" customFormat="1" ht="23.1" customHeight="1">
      <c r="A16" s="16" t="str">
        <f>IF('13'!A16="","",'13'!A16)</f>
        <v/>
      </c>
      <c r="B16" s="16">
        <f>IF('13'!B16="","",'13'!B16)</f>
        <v>3</v>
      </c>
      <c r="C16" s="17" t="str">
        <f>IF('13'!C16="","",'13'!C16)</f>
        <v>小林　穂乃花</v>
      </c>
      <c r="D16" s="266">
        <f>IF('13'!D16="","",'13'!D16)</f>
        <v>33930</v>
      </c>
      <c r="E16" s="17" t="str">
        <f>IF('13'!E16="","",'13'!E16)</f>
        <v>ミケランジェロ</v>
      </c>
      <c r="F16" s="266" t="str">
        <f>IF('13'!F16="","",'13'!F16)</f>
        <v>-</v>
      </c>
      <c r="G16" s="17" t="str">
        <f>IF('13'!G16="","",'13'!G16)</f>
        <v>静岡乗馬クラブ</v>
      </c>
    </row>
    <row r="17" spans="1:7" s="19" customFormat="1" ht="23.1" customHeight="1">
      <c r="A17" s="16" t="str">
        <f>IF('13'!A17="","",'13'!A17)</f>
        <v/>
      </c>
      <c r="B17" s="16">
        <f>IF('13'!B17="","",'13'!B17)</f>
        <v>4</v>
      </c>
      <c r="C17" s="17" t="str">
        <f>IF('13'!C17="","",'13'!C17)</f>
        <v>松岡　健心</v>
      </c>
      <c r="D17" s="266">
        <f>IF('13'!D17="","",'13'!D17)</f>
        <v>30642</v>
      </c>
      <c r="E17" s="17" t="str">
        <f>IF('13'!E17="","",'13'!E17)</f>
        <v>カービー</v>
      </c>
      <c r="F17" s="266">
        <f>IF('13'!F17="","",'13'!F17)</f>
        <v>58902</v>
      </c>
      <c r="G17" s="17" t="str">
        <f>IF('13'!G17="","",'13'!G17)</f>
        <v>静岡乗馬クラブ</v>
      </c>
    </row>
    <row r="18" spans="1:7" s="19" customFormat="1" ht="23.1" customHeight="1">
      <c r="A18" s="16" t="str">
        <f>IF('13'!A18="","",'13'!A18)</f>
        <v/>
      </c>
      <c r="B18" s="16">
        <f>IF('13'!B18="","",'13'!B18)</f>
        <v>5</v>
      </c>
      <c r="C18" s="17" t="str">
        <f>IF('13'!C18="","",'13'!C18)</f>
        <v>堀内　志奈</v>
      </c>
      <c r="D18" s="266">
        <f>IF('13'!D18="","",'13'!D18)</f>
        <v>31690</v>
      </c>
      <c r="E18" s="17" t="str">
        <f>IF('13'!E18="","",'13'!E18)</f>
        <v>サクソンブルー</v>
      </c>
      <c r="F18" s="266">
        <f>IF('13'!F18="","",'13'!F18)</f>
        <v>59650</v>
      </c>
      <c r="G18" s="17" t="str">
        <f>IF('13'!G18="","",'13'!G18)</f>
        <v>岡本ライディングクラブJAPAN</v>
      </c>
    </row>
    <row r="19" spans="1:7" s="19" customFormat="1" ht="23.1" customHeight="1">
      <c r="A19" s="16" t="str">
        <f>IF('13'!A19="","",'13'!A19)</f>
        <v/>
      </c>
      <c r="B19" s="16">
        <f>IF('13'!B19="","",'13'!B19)</f>
        <v>6</v>
      </c>
      <c r="C19" s="17" t="str">
        <f>IF('13'!C19="","",'13'!C19)</f>
        <v>伊藤　正平</v>
      </c>
      <c r="D19" s="266">
        <f>IF('13'!D19="","",'13'!D19)</f>
        <v>11976</v>
      </c>
      <c r="E19" s="17" t="str">
        <f>IF('13'!E19="","",'13'!E19)</f>
        <v>ブルーカップ</v>
      </c>
      <c r="F19" s="266" t="str">
        <f>IF('13'!F19="","",'13'!F19)</f>
        <v>-</v>
      </c>
      <c r="G19" s="17" t="str">
        <f>IF('13'!G19="","",'13'!G19)</f>
        <v>乗馬クラブクレイン伊奈</v>
      </c>
    </row>
    <row r="20" spans="1:7" s="19" customFormat="1" ht="23.1" customHeight="1">
      <c r="A20" s="16" t="str">
        <f>IF('13'!A20="","",'13'!A20)</f>
        <v/>
      </c>
      <c r="B20" s="16">
        <f>IF('13'!B20="","",'13'!B20)</f>
        <v>7</v>
      </c>
      <c r="C20" s="17" t="str">
        <f>IF('13'!C20="","",'13'!C20)</f>
        <v>古賀　有希</v>
      </c>
      <c r="D20" s="266" t="str">
        <f>IF('13'!D20="","",'13'!D20)</f>
        <v>-</v>
      </c>
      <c r="E20" s="17" t="str">
        <f>IF('13'!E20="","",'13'!E20)</f>
        <v>遠宝16</v>
      </c>
      <c r="F20" s="266">
        <f>IF('13'!F20="","",'13'!F20)</f>
        <v>57574</v>
      </c>
      <c r="G20" s="17" t="str">
        <f>IF('13'!G20="","",'13'!G20)</f>
        <v>ペガサス乗馬クラブ</v>
      </c>
    </row>
    <row r="21" spans="1:7" s="19" customFormat="1" ht="23.1" customHeight="1">
      <c r="A21" s="16" t="str">
        <f>IF('13'!A21="","",'13'!A21)</f>
        <v>OP</v>
      </c>
      <c r="B21" s="16">
        <f>IF('13'!B21="","",'13'!B21)</f>
        <v>8</v>
      </c>
      <c r="C21" s="17" t="str">
        <f>IF('13'!C21="","",'13'!C21)</f>
        <v>林　義昌</v>
      </c>
      <c r="D21" s="266">
        <f>IF('13'!D21="","",'13'!D21)</f>
        <v>18717</v>
      </c>
      <c r="E21" s="17" t="str">
        <f>IF('13'!E21="","",'13'!E21)</f>
        <v>熊野八咫烏</v>
      </c>
      <c r="F21" s="266" t="str">
        <f>IF('13'!F21="","",'13'!F21)</f>
        <v>‐</v>
      </c>
      <c r="G21" s="17" t="str">
        <f>IF('13'!G21="","",'13'!G21)</f>
        <v>北総乗馬クラブ</v>
      </c>
    </row>
    <row r="22" spans="1:7" s="19" customFormat="1" ht="23.1" customHeight="1">
      <c r="A22" s="16" t="str">
        <f>IF('13'!A22="","",'13'!A22)</f>
        <v/>
      </c>
      <c r="B22" s="16">
        <f>IF('13'!B22="","",'13'!B22)</f>
        <v>9</v>
      </c>
      <c r="C22" s="17" t="str">
        <f>IF('13'!C22="","",'13'!C22)</f>
        <v>坪田　正輝</v>
      </c>
      <c r="D22" s="266">
        <f>IF('13'!D22="","",'13'!D22)</f>
        <v>33314</v>
      </c>
      <c r="E22" s="17" t="str">
        <f>IF('13'!E22="","",'13'!E22)</f>
        <v>コレガー</v>
      </c>
      <c r="F22" s="266">
        <f>IF('13'!F22="","",'13'!F22)</f>
        <v>61600</v>
      </c>
      <c r="G22" s="17" t="str">
        <f>IF('13'!G22="","",'13'!G22)</f>
        <v>八王子乗馬倶楽部</v>
      </c>
    </row>
    <row r="23" spans="1:7" s="19" customFormat="1" ht="23.1" customHeight="1">
      <c r="A23" s="16" t="str">
        <f>IF('13'!A23="","",'13'!A23)</f>
        <v/>
      </c>
      <c r="B23" s="16">
        <f>IF('13'!B23="","",'13'!B23)</f>
        <v>10</v>
      </c>
      <c r="C23" s="17" t="str">
        <f>IF('13'!C23="","",'13'!C23)</f>
        <v>星野　眞也子</v>
      </c>
      <c r="D23" s="266">
        <f>IF('13'!D23="","",'13'!D23)</f>
        <v>30373</v>
      </c>
      <c r="E23" s="17" t="str">
        <f>IF('13'!E23="","",'13'!E23)</f>
        <v>ブリッツ</v>
      </c>
      <c r="F23" s="266">
        <f>IF('13'!F23="","",'13'!F23)</f>
        <v>58339</v>
      </c>
      <c r="G23" s="17" t="str">
        <f>IF('13'!G23="","",'13'!G23)</f>
        <v>オリエント馬事センター</v>
      </c>
    </row>
    <row r="24" spans="1:7" s="19" customFormat="1" ht="23.1" customHeight="1">
      <c r="A24" s="16" t="str">
        <f>IF('13'!A24="","",'13'!A24)</f>
        <v/>
      </c>
      <c r="B24" s="16">
        <f>IF('13'!B24="","",'13'!B24)</f>
        <v>11</v>
      </c>
      <c r="C24" s="17" t="str">
        <f>IF('13'!C24="","",'13'!C24)</f>
        <v>須藤　すみれ</v>
      </c>
      <c r="D24" s="266">
        <f>IF('13'!D24="","",'13'!D24)</f>
        <v>34060</v>
      </c>
      <c r="E24" s="17" t="str">
        <f>IF('13'!E24="","",'13'!E24)</f>
        <v>スーリアラヴィ</v>
      </c>
      <c r="F24" s="266">
        <f>IF('13'!F24="","",'13'!F24)</f>
        <v>62130</v>
      </c>
      <c r="G24" s="17" t="str">
        <f>IF('13'!G24="","",'13'!G24)</f>
        <v>STAR HORSES</v>
      </c>
    </row>
    <row r="25" spans="1:7" s="19" customFormat="1" ht="23.1" customHeight="1">
      <c r="A25" s="16" t="str">
        <f>IF('13'!A25="","",'13'!A25)</f>
        <v/>
      </c>
      <c r="B25" s="16">
        <f>IF('13'!B25="","",'13'!B25)</f>
        <v>12</v>
      </c>
      <c r="C25" s="17" t="str">
        <f>IF('13'!C25="","",'13'!C25)</f>
        <v>伊部　美予子</v>
      </c>
      <c r="D25" s="266">
        <f>IF('13'!D25="","",'13'!D25)</f>
        <v>27704</v>
      </c>
      <c r="E25" s="17" t="str">
        <f>IF('13'!E25="","",'13'!E25)</f>
        <v>アルミココ</v>
      </c>
      <c r="F25" s="266">
        <f>IF('13'!F25="","",'13'!F25)</f>
        <v>60955</v>
      </c>
      <c r="G25" s="17" t="str">
        <f>IF('13'!G25="","",'13'!G25)</f>
        <v>STAR HORSES</v>
      </c>
    </row>
    <row r="26" spans="1:7" s="19" customFormat="1" ht="23.1" customHeight="1">
      <c r="A26" s="16" t="str">
        <f>IF('13'!A26="","",'13'!A26)</f>
        <v>OP</v>
      </c>
      <c r="B26" s="16">
        <f>IF('13'!B26="","",'13'!B26)</f>
        <v>13</v>
      </c>
      <c r="C26" s="17" t="str">
        <f>IF('13'!C26="","",'13'!C26)</f>
        <v>鈴木　裕介</v>
      </c>
      <c r="D26" s="266">
        <f>IF('13'!D26="","",'13'!D26)</f>
        <v>23529</v>
      </c>
      <c r="E26" s="17" t="str">
        <f>IF('13'!E26="","",'13'!E26)</f>
        <v>ミサキシャンティ</v>
      </c>
      <c r="F26" s="266" t="str">
        <f>IF('13'!F26="","",'13'!F26)</f>
        <v>-</v>
      </c>
      <c r="G26" s="17" t="str">
        <f>IF('13'!G26="","",'13'!G26)</f>
        <v>北駿ホースヴィラ</v>
      </c>
    </row>
    <row r="27" spans="1:7" s="19" customFormat="1" ht="23.1" customHeight="1">
      <c r="A27" s="16" t="str">
        <f>IF('13'!A27="","",'13'!A27)</f>
        <v/>
      </c>
      <c r="B27" s="16">
        <f>IF('13'!B27="","",'13'!B27)</f>
        <v>14</v>
      </c>
      <c r="C27" s="17" t="str">
        <f>IF('13'!C27="","",'13'!C27)</f>
        <v>西浦　芽衣</v>
      </c>
      <c r="D27" s="266" t="str">
        <f>IF('13'!D27="","",'13'!D27)</f>
        <v>-</v>
      </c>
      <c r="E27" s="17" t="str">
        <f>IF('13'!E27="","",'13'!E27)</f>
        <v>星娘</v>
      </c>
      <c r="F27" s="266">
        <f>IF('13'!F27="","",'13'!F27)</f>
        <v>59867</v>
      </c>
      <c r="G27" s="17" t="str">
        <f>IF('13'!G27="","",'13'!G27)</f>
        <v>筑波スカイラインスティーブル</v>
      </c>
    </row>
    <row r="28" spans="1:7" s="19" customFormat="1" ht="23.1" customHeight="1">
      <c r="A28" s="16" t="str">
        <f>IF('13'!A28="","",'13'!A28)</f>
        <v>OP</v>
      </c>
      <c r="B28" s="16">
        <f>IF('13'!B28="","",'13'!B28)</f>
        <v>15</v>
      </c>
      <c r="C28" s="17" t="str">
        <f>IF('13'!C28="","",'13'!C28)</f>
        <v>紙本　萌々</v>
      </c>
      <c r="D28" s="266">
        <f>IF('13'!D28="","",'13'!D28)</f>
        <v>28066</v>
      </c>
      <c r="E28" s="17" t="str">
        <f>IF('13'!E28="","",'13'!E28)</f>
        <v>トモロスリリング</v>
      </c>
      <c r="F28" s="266" t="str">
        <f>IF('13'!F28="","",'13'!F28)</f>
        <v>‐</v>
      </c>
      <c r="G28" s="17" t="str">
        <f>IF('13'!G28="","",'13'!G28)</f>
        <v>北総乗馬クラブ</v>
      </c>
    </row>
    <row r="29" spans="1:7" s="19" customFormat="1" ht="23.1" customHeight="1">
      <c r="A29" s="16" t="str">
        <f>IF('13'!A29="","",'13'!A29)</f>
        <v/>
      </c>
      <c r="B29" s="16">
        <f>IF('13'!B29="","",'13'!B29)</f>
        <v>16</v>
      </c>
      <c r="C29" s="17" t="str">
        <f>IF('13'!C29="","",'13'!C29)</f>
        <v>吉岡　容子</v>
      </c>
      <c r="D29" s="266">
        <f>IF('13'!D29="","",'13'!D29)</f>
        <v>32787</v>
      </c>
      <c r="E29" s="17" t="str">
        <f>IF('13'!E29="","",'13'!E29)</f>
        <v>アカペラ</v>
      </c>
      <c r="F29" s="266">
        <f>IF('13'!F29="","",'13'!F29)</f>
        <v>61272</v>
      </c>
      <c r="G29" s="17" t="str">
        <f>IF('13'!G29="","",'13'!G29)</f>
        <v>乗馬クラブクレイン伊奈</v>
      </c>
    </row>
    <row r="30" spans="1:7" s="19" customFormat="1" ht="23.1" customHeight="1">
      <c r="A30" s="16" t="str">
        <f>IF('13'!A30="","",'13'!A30)</f>
        <v>OP</v>
      </c>
      <c r="B30" s="16">
        <f>IF('13'!B30="","",'13'!B30)</f>
        <v>17</v>
      </c>
      <c r="C30" s="17" t="str">
        <f>IF('13'!C30="","",'13'!C30)</f>
        <v>林　義昌</v>
      </c>
      <c r="D30" s="266">
        <f>IF('13'!D30="","",'13'!D30)</f>
        <v>18717</v>
      </c>
      <c r="E30" s="17" t="str">
        <f>IF('13'!E30="","",'13'!E30)</f>
        <v>ホクソウラン</v>
      </c>
      <c r="F30" s="266" t="str">
        <f>IF('13'!F30="","",'13'!F30)</f>
        <v>‐</v>
      </c>
      <c r="G30" s="17" t="str">
        <f>IF('13'!G30="","",'13'!G30)</f>
        <v>北総乗馬クラブ</v>
      </c>
    </row>
    <row r="31" spans="1:7" s="19" customFormat="1" ht="23.1" customHeight="1">
      <c r="A31" s="16" t="str">
        <f>IF('13'!A31="","",'13'!A31)</f>
        <v/>
      </c>
      <c r="B31" s="16">
        <f>IF('13'!B31="","",'13'!B31)</f>
        <v>18</v>
      </c>
      <c r="C31" s="17" t="str">
        <f>IF('13'!C31="","",'13'!C31)</f>
        <v>林　高志</v>
      </c>
      <c r="D31" s="266">
        <f>IF('13'!D31="","",'13'!D31)</f>
        <v>32890</v>
      </c>
      <c r="E31" s="17" t="str">
        <f>IF('13'!E31="","",'13'!E31)</f>
        <v>ガライヤ</v>
      </c>
      <c r="F31" s="266">
        <f>IF('13'!F31="","",'13'!F31)</f>
        <v>58668</v>
      </c>
      <c r="G31" s="17" t="str">
        <f>IF('13'!G31="","",'13'!G31)</f>
        <v>ペガサス乗馬クラブ</v>
      </c>
    </row>
    <row r="32" spans="1:7" s="19" customFormat="1" ht="23.1" customHeight="1">
      <c r="A32" s="16" t="str">
        <f>IF('13'!A32="","",'13'!A32)</f>
        <v/>
      </c>
      <c r="B32" s="16">
        <f>IF('13'!B32="","",'13'!B32)</f>
        <v>19</v>
      </c>
      <c r="C32" s="17" t="str">
        <f>IF('13'!C32="","",'13'!C32)</f>
        <v>明渡　則和</v>
      </c>
      <c r="D32" s="266">
        <f>IF('13'!D32="","",'13'!D32)</f>
        <v>32215</v>
      </c>
      <c r="E32" s="17" t="str">
        <f>IF('13'!E32="","",'13'!E32)</f>
        <v>ミサキシャンティ</v>
      </c>
      <c r="F32" s="266" t="str">
        <f>IF('13'!F32="","",'13'!F32)</f>
        <v>-</v>
      </c>
      <c r="G32" s="17" t="str">
        <f>IF('13'!G32="","",'13'!G32)</f>
        <v>北駿ホースヴィラ</v>
      </c>
    </row>
    <row r="33" spans="1:7" s="19" customFormat="1" ht="23.1" customHeight="1">
      <c r="A33" s="16" t="str">
        <f>IF('13'!A33="","",'13'!A33)</f>
        <v/>
      </c>
      <c r="B33" s="16">
        <f>IF('13'!B33="","",'13'!B33)</f>
        <v>20</v>
      </c>
      <c r="C33" s="17" t="str">
        <f>IF('13'!C33="","",'13'!C33)</f>
        <v>谷崎　和寿</v>
      </c>
      <c r="D33" s="266">
        <f>IF('13'!D33="","",'13'!D33)</f>
        <v>32494</v>
      </c>
      <c r="E33" s="17" t="str">
        <f>IF('13'!E33="","",'13'!E33)</f>
        <v>トモロスリリング</v>
      </c>
      <c r="F33" s="266" t="str">
        <f>IF('13'!F33="","",'13'!F33)</f>
        <v>‐</v>
      </c>
      <c r="G33" s="17" t="str">
        <f>IF('13'!G33="","",'13'!G33)</f>
        <v>北総乗馬クラブ</v>
      </c>
    </row>
    <row r="34" spans="1:7" s="19" customFormat="1" ht="23.1" customHeight="1">
      <c r="A34" s="16" t="str">
        <f>IF('13'!A34="","",'13'!A34)</f>
        <v>OP</v>
      </c>
      <c r="B34" s="16">
        <f>IF('13'!B34="","",'13'!B34)</f>
        <v>21</v>
      </c>
      <c r="C34" s="17" t="str">
        <f>IF('13'!C34="","",'13'!C34)</f>
        <v>福島　大輔</v>
      </c>
      <c r="D34" s="266">
        <f>IF('13'!D34="","",'13'!D34)</f>
        <v>7270</v>
      </c>
      <c r="E34" s="17" t="str">
        <f>IF('13'!E34="","",'13'!E34)</f>
        <v>アデラヴィーナス</v>
      </c>
      <c r="F34" s="266">
        <f>IF('13'!F34="","",'13'!F34)</f>
        <v>60672</v>
      </c>
      <c r="G34" s="17" t="str">
        <f>IF('13'!G34="","",'13'!G34)</f>
        <v>STAR HORSES</v>
      </c>
    </row>
    <row r="35" spans="1:7" s="19" customFormat="1" ht="23.1" customHeight="1">
      <c r="A35" s="16" t="str">
        <f>IF('13'!A35="","",'13'!A35)</f>
        <v/>
      </c>
      <c r="B35" s="16">
        <f>IF('13'!B35="","",'13'!B35)</f>
        <v>22</v>
      </c>
      <c r="C35" s="17" t="str">
        <f>IF('13'!C35="","",'13'!C35)</f>
        <v>小山　知美</v>
      </c>
      <c r="D35" s="266">
        <f>IF('13'!D35="","",'13'!D35)</f>
        <v>33226</v>
      </c>
      <c r="E35" s="17" t="str">
        <f>IF('13'!E35="","",'13'!E35)</f>
        <v>イクスプロージョン</v>
      </c>
      <c r="F35" s="266">
        <f>IF('13'!F35="","",'13'!F35)</f>
        <v>61773</v>
      </c>
      <c r="G35" s="17" t="str">
        <f>IF('13'!G35="","",'13'!G35)</f>
        <v>ライディングクラブモーヴァン</v>
      </c>
    </row>
    <row r="36" spans="1:7" s="19" customFormat="1" ht="23.1" customHeight="1">
      <c r="A36" s="16" t="str">
        <f>IF('13'!A36="","",'13'!A36)</f>
        <v/>
      </c>
      <c r="B36" s="16">
        <f>IF('13'!B36="","",'13'!B36)</f>
        <v>23</v>
      </c>
      <c r="C36" s="17" t="str">
        <f>IF('13'!C36="","",'13'!C36)</f>
        <v>谷崎　文寿</v>
      </c>
      <c r="D36" s="266" t="str">
        <f>IF('13'!D36="","",'13'!D36)</f>
        <v>-</v>
      </c>
      <c r="E36" s="17" t="str">
        <f>IF('13'!E36="","",'13'!E36)</f>
        <v>ホクソウラン</v>
      </c>
      <c r="F36" s="266" t="str">
        <f>IF('13'!F36="","",'13'!F36)</f>
        <v>‐</v>
      </c>
      <c r="G36" s="17" t="str">
        <f>IF('13'!G36="","",'13'!G36)</f>
        <v>北総乗馬クラブ</v>
      </c>
    </row>
    <row r="37" spans="1:7" s="19" customFormat="1" ht="23.1" customHeight="1">
      <c r="A37" s="16" t="str">
        <f>IF('13'!A37="","",'13'!A37)</f>
        <v/>
      </c>
      <c r="B37" s="16">
        <f>IF('13'!B37="","",'13'!B37)</f>
        <v>24</v>
      </c>
      <c r="C37" s="17" t="str">
        <f>IF('13'!C37="","",'13'!C37)</f>
        <v>山下　永聖</v>
      </c>
      <c r="D37" s="266">
        <f>IF('13'!D37="","",'13'!D37)</f>
        <v>34299</v>
      </c>
      <c r="E37" s="17" t="str">
        <f>IF('13'!E37="","",'13'!E37)</f>
        <v>ジェノベーゼ</v>
      </c>
      <c r="F37" s="266">
        <f>IF('13'!F37="","",'13'!F37)</f>
        <v>62092</v>
      </c>
      <c r="G37" s="17" t="str">
        <f>IF('13'!G37="","",'13'!G37)</f>
        <v>拓殖大学馬術部</v>
      </c>
    </row>
    <row r="38" spans="1:7" s="19" customFormat="1" ht="23.1" customHeight="1">
      <c r="A38" s="16" t="str">
        <f>IF('13'!A38="","",'13'!A38)</f>
        <v/>
      </c>
      <c r="B38" s="16">
        <f>IF('13'!B38="","",'13'!B38)</f>
        <v>25</v>
      </c>
      <c r="C38" s="17" t="str">
        <f>IF('13'!C38="","",'13'!C38)</f>
        <v>中村　沙也加</v>
      </c>
      <c r="D38" s="266" t="str">
        <f>IF('13'!D38="","",'13'!D38)</f>
        <v>-</v>
      </c>
      <c r="E38" s="17" t="str">
        <f>IF('13'!E38="","",'13'!E38)</f>
        <v>紅愛</v>
      </c>
      <c r="F38" s="266">
        <f>IF('13'!F38="","",'13'!F38)</f>
        <v>59843</v>
      </c>
      <c r="G38" s="17" t="str">
        <f>IF('13'!G38="","",'13'!G38)</f>
        <v>拓殖大学馬術部</v>
      </c>
    </row>
    <row r="39" spans="1:7" s="19" customFormat="1" ht="23.1" customHeight="1">
      <c r="A39" s="16" t="str">
        <f>IF('13'!A39="","",'13'!A39)</f>
        <v/>
      </c>
      <c r="B39" s="16">
        <f>IF('13'!B39="","",'13'!B39)</f>
        <v>26</v>
      </c>
      <c r="C39" s="17" t="str">
        <f>IF('13'!C39="","",'13'!C39)</f>
        <v>小林　暁子</v>
      </c>
      <c r="D39" s="266">
        <f>IF('13'!D39="","",'13'!D39)</f>
        <v>31486</v>
      </c>
      <c r="E39" s="17" t="str">
        <f>IF('13'!E39="","",'13'!E39)</f>
        <v>アデラヴィーナス</v>
      </c>
      <c r="F39" s="266">
        <f>IF('13'!F39="","",'13'!F39)</f>
        <v>60672</v>
      </c>
      <c r="G39" s="17" t="str">
        <f>IF('13'!G39="","",'13'!G39)</f>
        <v>STAR HORSES</v>
      </c>
    </row>
    <row r="40" spans="1:7" s="19" customFormat="1" ht="23.1" customHeight="1">
      <c r="A40" s="16" t="str">
        <f>IF('13'!A40="","",'13'!A40)</f>
        <v>WD</v>
      </c>
      <c r="B40" s="16">
        <f>IF('13'!B40="","",'13'!B40)</f>
        <v>27</v>
      </c>
      <c r="C40" s="17" t="str">
        <f>IF('13'!C40="","",'13'!C40)</f>
        <v>秋山　花吏奈</v>
      </c>
      <c r="D40" s="266">
        <f>IF('13'!D40="","",'13'!D40)</f>
        <v>32313</v>
      </c>
      <c r="E40" s="17" t="str">
        <f>IF('13'!E40="","",'13'!E40)</f>
        <v>ラッキーリングス・M</v>
      </c>
      <c r="F40" s="266" t="str">
        <f>IF('13'!F40="","",'13'!F40)</f>
        <v>-</v>
      </c>
      <c r="G40" s="17" t="str">
        <f>IF('13'!G40="","",'13'!G40)</f>
        <v>Horses' New Stage</v>
      </c>
    </row>
    <row r="41" spans="1:7" s="19" customFormat="1" ht="23.1" customHeight="1">
      <c r="A41" s="16" t="str">
        <f>IF('13'!A41="","",'13'!A41)</f>
        <v/>
      </c>
      <c r="B41" s="16">
        <f>IF('13'!B41="","",'13'!B41)</f>
        <v>28</v>
      </c>
      <c r="C41" s="17" t="str">
        <f>IF('13'!C41="","",'13'!C41)</f>
        <v/>
      </c>
      <c r="D41" s="266" t="str">
        <f>IF('13'!D41="","",'13'!D41)</f>
        <v/>
      </c>
      <c r="E41" s="17" t="str">
        <f>IF('13'!E41="","",'13'!E41)</f>
        <v/>
      </c>
      <c r="F41" s="266" t="str">
        <f>IF('13'!F41="","",'13'!F41)</f>
        <v/>
      </c>
      <c r="G41" s="17" t="str">
        <f>IF('13'!G41="","",'13'!G41)</f>
        <v/>
      </c>
    </row>
    <row r="42" spans="1:7" s="19" customFormat="1" ht="23.1" customHeight="1">
      <c r="A42" s="16" t="str">
        <f>IF('13'!A42="","",'13'!A42)</f>
        <v/>
      </c>
      <c r="B42" s="16">
        <f>IF('13'!B42="","",'13'!B42)</f>
        <v>29</v>
      </c>
      <c r="C42" s="17" t="str">
        <f>IF('13'!C42="","",'13'!C42)</f>
        <v/>
      </c>
      <c r="D42" s="266" t="str">
        <f>IF('13'!D42="","",'13'!D42)</f>
        <v/>
      </c>
      <c r="E42" s="17" t="str">
        <f>IF('13'!E42="","",'13'!E42)</f>
        <v/>
      </c>
      <c r="F42" s="266" t="str">
        <f>IF('13'!F42="","",'13'!F42)</f>
        <v/>
      </c>
      <c r="G42" s="17" t="str">
        <f>IF('13'!G42="","",'13'!G42)</f>
        <v/>
      </c>
    </row>
    <row r="43" spans="1:7" s="19" customFormat="1" ht="23.1" customHeight="1">
      <c r="A43" s="16" t="str">
        <f>IF('13'!A43="","",'13'!A43)</f>
        <v/>
      </c>
      <c r="B43" s="16">
        <f>IF('13'!B43="","",'13'!B43)</f>
        <v>30</v>
      </c>
      <c r="C43" s="17" t="str">
        <f>IF('13'!C43="","",'13'!C43)</f>
        <v/>
      </c>
      <c r="D43" s="266" t="str">
        <f>IF('13'!D43="","",'13'!D43)</f>
        <v/>
      </c>
      <c r="E43" s="17" t="str">
        <f>IF('13'!E43="","",'13'!E43)</f>
        <v/>
      </c>
      <c r="F43" s="266" t="str">
        <f>IF('13'!F43="","",'13'!F43)</f>
        <v/>
      </c>
      <c r="G43" s="17" t="str">
        <f>IF('13'!G43="","",'13'!G43)</f>
        <v/>
      </c>
    </row>
    <row r="44" spans="1:7" ht="23.1" customHeight="1">
      <c r="A44" s="16" t="str">
        <f>IF('13'!A44="","",'13'!A44)</f>
        <v/>
      </c>
      <c r="B44" s="16">
        <f>IF('13'!B44="","",'13'!B44)</f>
        <v>31</v>
      </c>
      <c r="C44" s="17" t="str">
        <f>IF('13'!C44="","",'13'!C44)</f>
        <v/>
      </c>
      <c r="D44" s="266" t="str">
        <f>IF('13'!D44="","",'13'!D44)</f>
        <v/>
      </c>
      <c r="E44" s="17" t="str">
        <f>IF('13'!E44="","",'13'!E44)</f>
        <v/>
      </c>
      <c r="F44" s="266" t="str">
        <f>IF('13'!F44="","",'13'!F44)</f>
        <v/>
      </c>
      <c r="G44" s="17" t="str">
        <f>IF('13'!G44="","",'13'!G44)</f>
        <v/>
      </c>
    </row>
    <row r="45" spans="1:7" ht="23.1" customHeight="1">
      <c r="A45" s="16" t="str">
        <f>IF('13'!A45="","",'13'!A45)</f>
        <v/>
      </c>
      <c r="B45" s="16">
        <f>IF('13'!B45="","",'13'!B45)</f>
        <v>32</v>
      </c>
      <c r="C45" s="17" t="str">
        <f>IF('13'!C45="","",'13'!C45)</f>
        <v/>
      </c>
      <c r="D45" s="266" t="str">
        <f>IF('13'!D45="","",'13'!D45)</f>
        <v/>
      </c>
      <c r="E45" s="17" t="str">
        <f>IF('13'!E45="","",'13'!E45)</f>
        <v/>
      </c>
      <c r="F45" s="266" t="str">
        <f>IF('13'!F45="","",'13'!F45)</f>
        <v/>
      </c>
      <c r="G45" s="17" t="str">
        <f>IF('13'!G45="","",'13'!G45)</f>
        <v/>
      </c>
    </row>
    <row r="46" spans="1:7" ht="23.1" customHeight="1">
      <c r="A46" s="16" t="str">
        <f>IF('13'!A46="","",'13'!A46)</f>
        <v/>
      </c>
      <c r="B46" s="16">
        <f>IF('13'!B46="","",'13'!B46)</f>
        <v>33</v>
      </c>
      <c r="C46" s="17" t="str">
        <f>IF('13'!C46="","",'13'!C46)</f>
        <v/>
      </c>
      <c r="D46" s="266" t="str">
        <f>IF('13'!D46="","",'13'!D46)</f>
        <v/>
      </c>
      <c r="E46" s="17" t="str">
        <f>IF('13'!E46="","",'13'!E46)</f>
        <v/>
      </c>
      <c r="F46" s="266" t="str">
        <f>IF('13'!F46="","",'13'!F46)</f>
        <v/>
      </c>
      <c r="G46" s="17" t="str">
        <f>IF('13'!G46="","",'13'!G46)</f>
        <v/>
      </c>
    </row>
    <row r="47" spans="1:7" ht="23.1" customHeight="1">
      <c r="A47" s="16" t="str">
        <f>IF('13'!A47="","",'13'!A47)</f>
        <v/>
      </c>
      <c r="B47" s="16">
        <f>IF('13'!B47="","",'13'!B47)</f>
        <v>34</v>
      </c>
      <c r="C47" s="17" t="str">
        <f>IF('13'!C47="","",'13'!C47)</f>
        <v/>
      </c>
      <c r="D47" s="266" t="str">
        <f>IF('13'!D47="","",'13'!D47)</f>
        <v/>
      </c>
      <c r="E47" s="17" t="str">
        <f>IF('13'!E47="","",'13'!E47)</f>
        <v/>
      </c>
      <c r="F47" s="266" t="str">
        <f>IF('13'!F47="","",'13'!F47)</f>
        <v/>
      </c>
      <c r="G47" s="17" t="str">
        <f>IF('13'!G47="","",'13'!G47)</f>
        <v/>
      </c>
    </row>
    <row r="48" spans="1:7" ht="23.1" customHeight="1">
      <c r="A48" s="16" t="str">
        <f>IF('13'!A48="","",'13'!A48)</f>
        <v/>
      </c>
      <c r="B48" s="16">
        <f>IF('13'!B48="","",'13'!B48)</f>
        <v>35</v>
      </c>
      <c r="C48" s="17" t="str">
        <f>IF('13'!C48="","",'13'!C48)</f>
        <v/>
      </c>
      <c r="D48" s="266" t="str">
        <f>IF('13'!D48="","",'13'!D48)</f>
        <v/>
      </c>
      <c r="E48" s="17" t="str">
        <f>IF('13'!E48="","",'13'!E48)</f>
        <v/>
      </c>
      <c r="F48" s="266" t="str">
        <f>IF('13'!F48="","",'13'!F48)</f>
        <v/>
      </c>
      <c r="G48" s="17" t="str">
        <f>IF('13'!G48="","",'13'!G48)</f>
        <v/>
      </c>
    </row>
    <row r="49" spans="1:7" ht="23.1" customHeight="1">
      <c r="A49" s="16" t="str">
        <f>IF('13'!A49="","",'13'!A49)</f>
        <v/>
      </c>
      <c r="B49" s="16">
        <f>IF('13'!B49="","",'13'!B49)</f>
        <v>36</v>
      </c>
      <c r="C49" s="17" t="str">
        <f>IF('13'!C49="","",'13'!C49)</f>
        <v/>
      </c>
      <c r="D49" s="266" t="str">
        <f>IF('13'!D49="","",'13'!D49)</f>
        <v/>
      </c>
      <c r="E49" s="17" t="str">
        <f>IF('13'!E49="","",'13'!E49)</f>
        <v/>
      </c>
      <c r="F49" s="266" t="str">
        <f>IF('13'!F49="","",'13'!F49)</f>
        <v/>
      </c>
      <c r="G49" s="17" t="str">
        <f>IF('13'!G49="","",'13'!G49)</f>
        <v/>
      </c>
    </row>
    <row r="50" spans="1:7" ht="23.1" customHeight="1">
      <c r="A50" s="16" t="str">
        <f>IF('13'!A50="","",'13'!A50)</f>
        <v/>
      </c>
      <c r="B50" s="16">
        <f>IF('13'!B50="","",'13'!B50)</f>
        <v>37</v>
      </c>
      <c r="C50" s="17" t="str">
        <f>IF('13'!C50="","",'13'!C50)</f>
        <v/>
      </c>
      <c r="D50" s="266" t="str">
        <f>IF('13'!D50="","",'13'!D50)</f>
        <v/>
      </c>
      <c r="E50" s="17" t="str">
        <f>IF('13'!E50="","",'13'!E50)</f>
        <v/>
      </c>
      <c r="F50" s="266" t="str">
        <f>IF('13'!F50="","",'13'!F50)</f>
        <v/>
      </c>
      <c r="G50" s="17" t="str">
        <f>IF('13'!G50="","",'13'!G50)</f>
        <v/>
      </c>
    </row>
    <row r="51" spans="1:7" ht="23.1" customHeight="1">
      <c r="A51" s="16" t="str">
        <f>IF('13'!A51="","",'13'!A51)</f>
        <v/>
      </c>
      <c r="B51" s="16">
        <f>IF('13'!B51="","",'13'!B51)</f>
        <v>38</v>
      </c>
      <c r="C51" s="17" t="str">
        <f>IF('13'!C51="","",'13'!C51)</f>
        <v/>
      </c>
      <c r="D51" s="266" t="str">
        <f>IF('13'!D51="","",'13'!D51)</f>
        <v/>
      </c>
      <c r="E51" s="17" t="str">
        <f>IF('13'!E51="","",'13'!E51)</f>
        <v/>
      </c>
      <c r="F51" s="266" t="str">
        <f>IF('13'!F51="","",'13'!F51)</f>
        <v/>
      </c>
      <c r="G51" s="17" t="str">
        <f>IF('13'!G51="","",'13'!G51)</f>
        <v/>
      </c>
    </row>
    <row r="52" spans="1:7" ht="23.1" customHeight="1">
      <c r="A52" s="16" t="str">
        <f>IF('13'!A52="","",'13'!A52)</f>
        <v/>
      </c>
      <c r="B52" s="16">
        <f>IF('13'!B52="","",'13'!B52)</f>
        <v>39</v>
      </c>
      <c r="C52" s="17" t="str">
        <f>IF('13'!C52="","",'13'!C52)</f>
        <v/>
      </c>
      <c r="D52" s="266" t="str">
        <f>IF('13'!D52="","",'13'!D52)</f>
        <v/>
      </c>
      <c r="E52" s="17" t="str">
        <f>IF('13'!E52="","",'13'!E52)</f>
        <v/>
      </c>
      <c r="F52" s="266" t="str">
        <f>IF('13'!F52="","",'13'!F52)</f>
        <v/>
      </c>
      <c r="G52" s="17" t="str">
        <f>IF('13'!G52="","",'13'!G52)</f>
        <v/>
      </c>
    </row>
    <row r="53" spans="1:7" ht="23.1" customHeight="1">
      <c r="A53" s="16" t="str">
        <f>IF('13'!A53="","",'13'!A53)</f>
        <v/>
      </c>
      <c r="B53" s="16">
        <f>IF('13'!B53="","",'13'!B53)</f>
        <v>40</v>
      </c>
      <c r="C53" s="17" t="str">
        <f>IF('13'!C53="","",'13'!C53)</f>
        <v/>
      </c>
      <c r="D53" s="266" t="str">
        <f>IF('13'!D53="","",'13'!D53)</f>
        <v/>
      </c>
      <c r="E53" s="17" t="str">
        <f>IF('13'!E53="","",'13'!E53)</f>
        <v/>
      </c>
      <c r="F53" s="266" t="str">
        <f>IF('13'!F53="","",'13'!F53)</f>
        <v/>
      </c>
      <c r="G53" s="17" t="str">
        <f>IF('13'!G53="","",'13'!G53)</f>
        <v/>
      </c>
    </row>
    <row r="54" spans="1:7" ht="23.1" customHeight="1">
      <c r="A54" s="16" t="str">
        <f>IF('13'!A54="","",'13'!A54)</f>
        <v/>
      </c>
      <c r="B54" s="16">
        <f>IF('13'!B54="","",'13'!B54)</f>
        <v>41</v>
      </c>
      <c r="C54" s="17" t="str">
        <f>IF('13'!C54="","",'13'!C54)</f>
        <v/>
      </c>
      <c r="D54" s="266" t="str">
        <f>IF('13'!D54="","",'13'!D54)</f>
        <v/>
      </c>
      <c r="E54" s="17" t="str">
        <f>IF('13'!E54="","",'13'!E54)</f>
        <v/>
      </c>
      <c r="F54" s="266" t="str">
        <f>IF('13'!F54="","",'13'!F54)</f>
        <v/>
      </c>
      <c r="G54" s="17" t="str">
        <f>IF('13'!G54="","",'13'!G54)</f>
        <v/>
      </c>
    </row>
    <row r="55" spans="1:7" ht="23.1" customHeight="1">
      <c r="A55" s="16" t="str">
        <f>IF('13'!A55="","",'13'!A55)</f>
        <v/>
      </c>
      <c r="B55" s="16">
        <f>IF('13'!B55="","",'13'!B55)</f>
        <v>42</v>
      </c>
      <c r="C55" s="17" t="str">
        <f>IF('13'!C55="","",'13'!C55)</f>
        <v/>
      </c>
      <c r="D55" s="266" t="str">
        <f>IF('13'!D55="","",'13'!D55)</f>
        <v/>
      </c>
      <c r="E55" s="17" t="str">
        <f>IF('13'!E55="","",'13'!E55)</f>
        <v/>
      </c>
      <c r="F55" s="266" t="str">
        <f>IF('13'!F55="","",'13'!F55)</f>
        <v/>
      </c>
      <c r="G55" s="17" t="str">
        <f>IF('13'!G55="","",'13'!G55)</f>
        <v/>
      </c>
    </row>
    <row r="56" spans="1:7" ht="23.1" customHeight="1">
      <c r="A56" s="16" t="str">
        <f>IF('13'!A56="","",'13'!A56)</f>
        <v/>
      </c>
      <c r="B56" s="16">
        <f>IF('13'!B56="","",'13'!B56)</f>
        <v>43</v>
      </c>
      <c r="C56" s="17" t="str">
        <f>IF('13'!C56="","",'13'!C56)</f>
        <v/>
      </c>
      <c r="D56" s="266" t="str">
        <f>IF('13'!D56="","",'13'!D56)</f>
        <v/>
      </c>
      <c r="E56" s="17" t="str">
        <f>IF('13'!E56="","",'13'!E56)</f>
        <v/>
      </c>
      <c r="F56" s="266" t="str">
        <f>IF('13'!F56="","",'13'!F56)</f>
        <v/>
      </c>
      <c r="G56" s="17" t="str">
        <f>IF('13'!G56="","",'13'!G56)</f>
        <v/>
      </c>
    </row>
    <row r="57" spans="1:7" ht="23.1" customHeight="1">
      <c r="A57" s="16" t="str">
        <f>IF('13'!A57="","",'13'!A57)</f>
        <v/>
      </c>
      <c r="B57" s="16">
        <f>IF('13'!B57="","",'13'!B57)</f>
        <v>44</v>
      </c>
      <c r="C57" s="17" t="str">
        <f>IF('13'!C57="","",'13'!C57)</f>
        <v/>
      </c>
      <c r="D57" s="266" t="str">
        <f>IF('13'!D57="","",'13'!D57)</f>
        <v/>
      </c>
      <c r="E57" s="17" t="str">
        <f>IF('13'!E57="","",'13'!E57)</f>
        <v/>
      </c>
      <c r="F57" s="266" t="str">
        <f>IF('13'!F57="","",'13'!F57)</f>
        <v/>
      </c>
      <c r="G57" s="17" t="str">
        <f>IF('13'!G57="","",'13'!G57)</f>
        <v/>
      </c>
    </row>
    <row r="58" spans="1:7" ht="23.1" customHeight="1">
      <c r="A58" s="16" t="str">
        <f>IF('13'!A58="","",'13'!A58)</f>
        <v/>
      </c>
      <c r="B58" s="16">
        <f>IF('13'!B58="","",'13'!B58)</f>
        <v>45</v>
      </c>
      <c r="C58" s="17" t="str">
        <f>IF('13'!C58="","",'13'!C58)</f>
        <v/>
      </c>
      <c r="D58" s="266" t="str">
        <f>IF('13'!D58="","",'13'!D58)</f>
        <v/>
      </c>
      <c r="E58" s="17" t="str">
        <f>IF('13'!E58="","",'13'!E58)</f>
        <v/>
      </c>
      <c r="F58" s="266" t="str">
        <f>IF('13'!F58="","",'13'!F58)</f>
        <v/>
      </c>
      <c r="G58" s="17" t="str">
        <f>IF('13'!G58="","",'13'!G58)</f>
        <v/>
      </c>
    </row>
    <row r="59" spans="1:7" ht="23.1" customHeight="1">
      <c r="A59" s="16" t="str">
        <f>IF('13'!A59="","",'13'!A59)</f>
        <v/>
      </c>
      <c r="B59" s="16">
        <f>IF('13'!B59="","",'13'!B59)</f>
        <v>46</v>
      </c>
      <c r="C59" s="17" t="str">
        <f>IF('13'!C59="","",'13'!C59)</f>
        <v/>
      </c>
      <c r="D59" s="266" t="str">
        <f>IF('13'!D59="","",'13'!D59)</f>
        <v/>
      </c>
      <c r="E59" s="17" t="str">
        <f>IF('13'!E59="","",'13'!E59)</f>
        <v/>
      </c>
      <c r="F59" s="266" t="str">
        <f>IF('13'!F59="","",'13'!F59)</f>
        <v/>
      </c>
      <c r="G59" s="17" t="str">
        <f>IF('13'!G59="","",'13'!G59)</f>
        <v/>
      </c>
    </row>
    <row r="60" spans="1:7" ht="23.1" customHeight="1">
      <c r="A60" s="16" t="str">
        <f>IF('13'!A60="","",'13'!A60)</f>
        <v/>
      </c>
      <c r="B60" s="16">
        <f>IF('13'!B60="","",'13'!B60)</f>
        <v>47</v>
      </c>
      <c r="C60" s="17" t="str">
        <f>IF('13'!C60="","",'13'!C60)</f>
        <v/>
      </c>
      <c r="D60" s="266" t="str">
        <f>IF('13'!D60="","",'13'!D60)</f>
        <v/>
      </c>
      <c r="E60" s="17" t="str">
        <f>IF('13'!E60="","",'13'!E60)</f>
        <v/>
      </c>
      <c r="F60" s="266" t="str">
        <f>IF('13'!F60="","",'13'!F60)</f>
        <v/>
      </c>
      <c r="G60" s="17" t="str">
        <f>IF('13'!G60="","",'13'!G60)</f>
        <v/>
      </c>
    </row>
    <row r="61" spans="1:7" ht="23.1" customHeight="1">
      <c r="A61" s="16" t="str">
        <f>IF('13'!A61="","",'13'!A61)</f>
        <v/>
      </c>
      <c r="B61" s="16">
        <f>IF('13'!B61="","",'13'!B61)</f>
        <v>48</v>
      </c>
      <c r="C61" s="17" t="str">
        <f>IF('13'!C61="","",'13'!C61)</f>
        <v/>
      </c>
      <c r="D61" s="266" t="str">
        <f>IF('13'!D61="","",'13'!D61)</f>
        <v/>
      </c>
      <c r="E61" s="17" t="str">
        <f>IF('13'!E61="","",'13'!E61)</f>
        <v/>
      </c>
      <c r="F61" s="266" t="str">
        <f>IF('13'!F61="","",'13'!F61)</f>
        <v/>
      </c>
      <c r="G61" s="17" t="str">
        <f>IF('13'!G61="","",'13'!G61)</f>
        <v/>
      </c>
    </row>
    <row r="62" spans="1:7" ht="23.1" customHeight="1">
      <c r="A62" s="16" t="str">
        <f>IF('13'!A62="","",'13'!A62)</f>
        <v/>
      </c>
      <c r="B62" s="16">
        <f>IF('13'!B62="","",'13'!B62)</f>
        <v>49</v>
      </c>
      <c r="C62" s="17" t="str">
        <f>IF('13'!C62="","",'13'!C62)</f>
        <v/>
      </c>
      <c r="D62" s="266" t="str">
        <f>IF('13'!D62="","",'13'!D62)</f>
        <v/>
      </c>
      <c r="E62" s="17" t="str">
        <f>IF('13'!E62="","",'13'!E62)</f>
        <v/>
      </c>
      <c r="F62" s="266" t="str">
        <f>IF('13'!F62="","",'13'!F62)</f>
        <v/>
      </c>
      <c r="G62" s="17" t="str">
        <f>IF('13'!G62="","",'13'!G62)</f>
        <v/>
      </c>
    </row>
    <row r="63" spans="1:7" ht="23.1" customHeight="1">
      <c r="A63" s="16" t="str">
        <f>IF('13'!A63="","",'13'!A63)</f>
        <v/>
      </c>
      <c r="B63" s="16">
        <f>IF('13'!B63="","",'13'!B63)</f>
        <v>50</v>
      </c>
      <c r="C63" s="17" t="str">
        <f>IF('13'!C63="","",'13'!C63)</f>
        <v/>
      </c>
      <c r="D63" s="266" t="str">
        <f>IF('13'!D63="","",'13'!D63)</f>
        <v/>
      </c>
      <c r="E63" s="17" t="str">
        <f>IF('13'!E63="","",'13'!E63)</f>
        <v/>
      </c>
      <c r="F63" s="266" t="str">
        <f>IF('13'!F63="","",'13'!F63)</f>
        <v/>
      </c>
      <c r="G63" s="17" t="str">
        <f>IF('13'!G63="","",'13'!G63)</f>
        <v/>
      </c>
    </row>
    <row r="64" spans="1:7" ht="23.1" customHeight="1">
      <c r="A64" s="16" t="str">
        <f>IF('13'!A64="","",'13'!A64)</f>
        <v/>
      </c>
      <c r="B64" s="16">
        <f>IF('13'!B64="","",'13'!B64)</f>
        <v>51</v>
      </c>
      <c r="C64" s="17" t="str">
        <f>IF('13'!C64="","",'13'!C64)</f>
        <v/>
      </c>
      <c r="D64" s="266" t="str">
        <f>IF('13'!D64="","",'13'!D64)</f>
        <v/>
      </c>
      <c r="E64" s="17" t="str">
        <f>IF('13'!E64="","",'13'!E64)</f>
        <v/>
      </c>
      <c r="F64" s="266" t="str">
        <f>IF('13'!F64="","",'13'!F64)</f>
        <v/>
      </c>
      <c r="G64" s="17" t="str">
        <f>IF('13'!G64="","",'13'!G64)</f>
        <v/>
      </c>
    </row>
    <row r="65" spans="1:7" ht="23.1" customHeight="1">
      <c r="A65" s="16" t="str">
        <f>IF('13'!A65="","",'13'!A65)</f>
        <v/>
      </c>
      <c r="B65" s="16">
        <f>IF('13'!B65="","",'13'!B65)</f>
        <v>52</v>
      </c>
      <c r="C65" s="17" t="str">
        <f>IF('13'!C65="","",'13'!C65)</f>
        <v/>
      </c>
      <c r="D65" s="266" t="str">
        <f>IF('13'!D65="","",'13'!D65)</f>
        <v/>
      </c>
      <c r="E65" s="17" t="str">
        <f>IF('13'!E65="","",'13'!E65)</f>
        <v/>
      </c>
      <c r="F65" s="266" t="str">
        <f>IF('13'!F65="","",'13'!F65)</f>
        <v/>
      </c>
      <c r="G65" s="17" t="str">
        <f>IF('13'!G65="","",'13'!G65)</f>
        <v/>
      </c>
    </row>
    <row r="66" spans="1:7" ht="23.1" customHeight="1">
      <c r="A66" s="16" t="str">
        <f>IF('13'!A66="","",'13'!A66)</f>
        <v/>
      </c>
      <c r="B66" s="16">
        <f>IF('13'!B66="","",'13'!B66)</f>
        <v>53</v>
      </c>
      <c r="C66" s="17" t="str">
        <f>IF('13'!C66="","",'13'!C66)</f>
        <v/>
      </c>
      <c r="D66" s="266" t="str">
        <f>IF('13'!D66="","",'13'!D66)</f>
        <v/>
      </c>
      <c r="E66" s="17" t="str">
        <f>IF('13'!E66="","",'13'!E66)</f>
        <v/>
      </c>
      <c r="F66" s="266" t="str">
        <f>IF('13'!F66="","",'13'!F66)</f>
        <v/>
      </c>
      <c r="G66" s="17" t="str">
        <f>IF('13'!G66="","",'13'!G66)</f>
        <v/>
      </c>
    </row>
    <row r="67" spans="1:7" ht="23.1" customHeight="1">
      <c r="A67" s="16" t="str">
        <f>IF('13'!A67="","",'13'!A67)</f>
        <v/>
      </c>
      <c r="B67" s="16">
        <f>IF('13'!B67="","",'13'!B67)</f>
        <v>54</v>
      </c>
      <c r="C67" s="17" t="str">
        <f>IF('13'!C67="","",'13'!C67)</f>
        <v/>
      </c>
      <c r="D67" s="266" t="str">
        <f>IF('13'!D67="","",'13'!D67)</f>
        <v/>
      </c>
      <c r="E67" s="17" t="str">
        <f>IF('13'!E67="","",'13'!E67)</f>
        <v/>
      </c>
      <c r="F67" s="266" t="str">
        <f>IF('13'!F67="","",'13'!F67)</f>
        <v/>
      </c>
      <c r="G67" s="17" t="str">
        <f>IF('13'!G67="","",'13'!G67)</f>
        <v/>
      </c>
    </row>
    <row r="68" spans="1:7" ht="23.1" customHeight="1">
      <c r="A68" s="16" t="str">
        <f>IF('13'!A68="","",'13'!A68)</f>
        <v/>
      </c>
      <c r="B68" s="16">
        <f>IF('13'!B68="","",'13'!B68)</f>
        <v>55</v>
      </c>
      <c r="C68" s="17" t="str">
        <f>IF('13'!C68="","",'13'!C68)</f>
        <v/>
      </c>
      <c r="D68" s="266" t="str">
        <f>IF('13'!D68="","",'13'!D68)</f>
        <v/>
      </c>
      <c r="E68" s="17" t="str">
        <f>IF('13'!E68="","",'13'!E68)</f>
        <v/>
      </c>
      <c r="F68" s="266" t="str">
        <f>IF('13'!F68="","",'13'!F68)</f>
        <v/>
      </c>
      <c r="G68" s="17" t="str">
        <f>IF('13'!G68="","",'13'!G68)</f>
        <v/>
      </c>
    </row>
    <row r="69" spans="1:7" ht="23.1" customHeight="1">
      <c r="A69" s="16" t="str">
        <f>IF('13'!A69="","",'13'!A69)</f>
        <v/>
      </c>
      <c r="B69" s="16">
        <f>IF('13'!B69="","",'13'!B69)</f>
        <v>56</v>
      </c>
      <c r="C69" s="17" t="str">
        <f>IF('13'!C69="","",'13'!C69)</f>
        <v/>
      </c>
      <c r="D69" s="266" t="str">
        <f>IF('13'!D69="","",'13'!D69)</f>
        <v/>
      </c>
      <c r="E69" s="17" t="str">
        <f>IF('13'!E69="","",'13'!E69)</f>
        <v/>
      </c>
      <c r="F69" s="266" t="str">
        <f>IF('13'!F69="","",'13'!F69)</f>
        <v/>
      </c>
      <c r="G69" s="17" t="str">
        <f>IF('13'!G69="","",'13'!G69)</f>
        <v/>
      </c>
    </row>
    <row r="70" spans="1:7" ht="23.1" customHeight="1">
      <c r="A70" s="16" t="str">
        <f>IF('13'!A71="","",'13'!A71)</f>
        <v/>
      </c>
      <c r="B70" s="16">
        <f>IF('13'!B71="","",'13'!B71)</f>
        <v>58</v>
      </c>
      <c r="C70" s="17" t="str">
        <f>IF('13'!C71="","",'13'!C71)</f>
        <v/>
      </c>
      <c r="D70" s="266" t="str">
        <f>IF('13'!D71="","",'13'!D71)</f>
        <v/>
      </c>
      <c r="E70" s="17" t="str">
        <f>IF('13'!E71="","",'13'!E71)</f>
        <v/>
      </c>
      <c r="F70" s="266" t="str">
        <f>IF('13'!F71="","",'13'!F71)</f>
        <v/>
      </c>
      <c r="G70" s="17" t="str">
        <f>IF('13'!G71="","",'13'!G71)</f>
        <v/>
      </c>
    </row>
    <row r="71" spans="1:7" ht="23.1" customHeight="1">
      <c r="A71" s="16" t="str">
        <f>IF('13'!A72="","",'13'!A72)</f>
        <v/>
      </c>
      <c r="B71" s="16">
        <f>IF('13'!B72="","",'13'!B72)</f>
        <v>59</v>
      </c>
      <c r="C71" s="17" t="str">
        <f>IF('13'!C72="","",'13'!C72)</f>
        <v/>
      </c>
      <c r="D71" s="266" t="str">
        <f>IF('13'!D72="","",'13'!D72)</f>
        <v/>
      </c>
      <c r="E71" s="17" t="str">
        <f>IF('13'!E72="","",'13'!E72)</f>
        <v/>
      </c>
      <c r="F71" s="266" t="str">
        <f>IF('13'!F72="","",'13'!F72)</f>
        <v/>
      </c>
      <c r="G71" s="17" t="str">
        <f>IF('13'!G72="","",'13'!G72)</f>
        <v/>
      </c>
    </row>
    <row r="72" spans="1:7" ht="23.1" customHeight="1">
      <c r="A72" s="16" t="str">
        <f>IF('13'!A73="","",'13'!A73)</f>
        <v/>
      </c>
      <c r="B72" s="16">
        <f>IF('13'!B73="","",'13'!B73)</f>
        <v>60</v>
      </c>
      <c r="C72" s="17" t="str">
        <f>IF('13'!C73="","",'13'!C73)</f>
        <v/>
      </c>
      <c r="D72" s="266" t="str">
        <f>IF('13'!D73="","",'13'!D73)</f>
        <v/>
      </c>
      <c r="E72" s="17" t="str">
        <f>IF('13'!E73="","",'13'!E73)</f>
        <v/>
      </c>
      <c r="F72" s="266" t="str">
        <f>IF('13'!F73="","",'13'!F73)</f>
        <v/>
      </c>
      <c r="G72" s="17" t="str">
        <f>IF('13'!G73="","",'13'!G73)</f>
        <v/>
      </c>
    </row>
    <row r="73" spans="1:7" ht="23.1" customHeight="1">
      <c r="A73" s="16" t="str">
        <f>IF('13'!A74="","",'13'!A74)</f>
        <v/>
      </c>
      <c r="B73" s="16" t="str">
        <f>IF('13'!B74="","",'13'!B74)</f>
        <v/>
      </c>
      <c r="C73" s="17" t="str">
        <f>IF('13'!C74="","",'13'!C74)</f>
        <v/>
      </c>
      <c r="D73" s="266" t="str">
        <f>IF('13'!D74="","",'13'!D74)</f>
        <v/>
      </c>
      <c r="E73" s="17" t="str">
        <f>IF('13'!E74="","",'13'!E74)</f>
        <v/>
      </c>
      <c r="F73" s="266" t="str">
        <f>IF('13'!F74="","",'13'!F74)</f>
        <v/>
      </c>
      <c r="G73" s="17" t="str">
        <f>IF('13'!G74="","",'13'!G74)</f>
        <v/>
      </c>
    </row>
  </sheetData>
  <dataConsolidate link="1"/>
  <mergeCells count="6">
    <mergeCell ref="G12:G13"/>
    <mergeCell ref="D8:F8"/>
    <mergeCell ref="A12:A13"/>
    <mergeCell ref="B12:B13"/>
    <mergeCell ref="C12:D12"/>
    <mergeCell ref="E12:F12"/>
  </mergeCells>
  <phoneticPr fontId="10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horizontalDpi="4294967293" verticalDpi="4294967292" r:id="rId1"/>
  <headerFooter alignWithMargins="0">
    <oddHeader>&amp;R&amp;P/&amp;N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A0A2E-5996-4798-B686-01E878E3AB8F}">
  <sheetPr codeName="Sheet6">
    <tabColor rgb="FF0070C0"/>
  </sheetPr>
  <dimension ref="A4:J16"/>
  <sheetViews>
    <sheetView view="pageBreakPreview" zoomScale="60" zoomScaleNormal="100" workbookViewId="0">
      <selection activeCell="F2" sqref="F2:G2"/>
    </sheetView>
  </sheetViews>
  <sheetFormatPr defaultColWidth="8.88671875" defaultRowHeight="30" customHeight="1"/>
  <cols>
    <col min="1" max="1" width="8.88671875" style="96"/>
    <col min="2" max="3" width="8.88671875" style="95"/>
    <col min="4" max="4" width="13.6640625" style="99" customWidth="1"/>
    <col min="5" max="5" width="13.33203125" style="95" bestFit="1" customWidth="1"/>
    <col min="6" max="16384" width="8.88671875" style="95"/>
  </cols>
  <sheetData>
    <row r="4" spans="1:10" ht="30" customHeight="1">
      <c r="A4" s="356" t="str">
        <f>'14_LA'!C7</f>
        <v>2026 Fuji Horse Show Autumn Grand Prix</v>
      </c>
      <c r="B4" s="356"/>
      <c r="C4" s="356"/>
      <c r="D4" s="356"/>
      <c r="E4" s="356"/>
      <c r="F4" s="356"/>
      <c r="G4" s="356"/>
      <c r="H4" s="356"/>
      <c r="I4" s="356"/>
      <c r="J4" s="356"/>
    </row>
    <row r="6" spans="1:10" ht="30" customHeight="1">
      <c r="A6" s="96" t="s">
        <v>42</v>
      </c>
      <c r="B6" s="97">
        <f>'14_LA'!B8</f>
        <v>14</v>
      </c>
      <c r="C6" s="95" t="s">
        <v>43</v>
      </c>
      <c r="D6" s="98" t="str">
        <f>'14_LA'!D8:F8</f>
        <v>Ｌ－Ａ級障害飛越競技</v>
      </c>
    </row>
    <row r="8" spans="1:10" ht="30" customHeight="1">
      <c r="C8" s="95" t="s">
        <v>85</v>
      </c>
      <c r="E8" s="100" t="s">
        <v>98</v>
      </c>
    </row>
    <row r="9" spans="1:10" ht="30" customHeight="1">
      <c r="C9" s="95" t="s">
        <v>86</v>
      </c>
      <c r="E9" s="107" t="s">
        <v>99</v>
      </c>
      <c r="F9" s="95" t="s">
        <v>87</v>
      </c>
    </row>
    <row r="10" spans="1:10" ht="30" customHeight="1">
      <c r="A10" s="358" t="s">
        <v>94</v>
      </c>
      <c r="B10" s="358"/>
      <c r="C10" s="358"/>
      <c r="D10" s="358"/>
      <c r="E10" s="358"/>
      <c r="F10" s="358"/>
      <c r="G10" s="358"/>
      <c r="H10" s="358"/>
    </row>
    <row r="11" spans="1:10" ht="30" customHeight="1">
      <c r="C11" s="357"/>
      <c r="D11" s="357"/>
      <c r="E11" s="357"/>
      <c r="F11" s="357"/>
      <c r="G11" s="357"/>
    </row>
    <row r="12" spans="1:10" ht="30" customHeight="1">
      <c r="D12" s="95"/>
      <c r="F12" s="99"/>
      <c r="G12" s="99"/>
    </row>
    <row r="13" spans="1:10" ht="30" customHeight="1">
      <c r="D13" s="95"/>
      <c r="F13" s="99"/>
      <c r="G13" s="99"/>
    </row>
    <row r="14" spans="1:10" ht="30" customHeight="1">
      <c r="D14" s="95"/>
      <c r="G14" s="99"/>
    </row>
    <row r="15" spans="1:10" ht="30" customHeight="1">
      <c r="D15" s="95"/>
      <c r="G15" s="99"/>
    </row>
    <row r="16" spans="1:10" ht="30" customHeight="1">
      <c r="D16" s="98"/>
      <c r="E16" s="98"/>
      <c r="F16" s="98"/>
      <c r="G16" s="98"/>
    </row>
  </sheetData>
  <mergeCells count="3">
    <mergeCell ref="A4:J4"/>
    <mergeCell ref="C11:G11"/>
    <mergeCell ref="A10:H10"/>
  </mergeCells>
  <phoneticPr fontId="10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>
    <tabColor rgb="FF0070C0"/>
  </sheetPr>
  <dimension ref="A1:G73"/>
  <sheetViews>
    <sheetView tabSelected="1" view="pageBreakPreview" topLeftCell="A6" zoomScaleNormal="100" zoomScaleSheetLayoutView="100" workbookViewId="0">
      <selection activeCell="G8" sqref="G8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41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'14'!C2</f>
        <v>0</v>
      </c>
      <c r="D6" s="3"/>
      <c r="F6" s="4" t="s">
        <v>2</v>
      </c>
      <c r="G6" s="6">
        <v>46277</v>
      </c>
    </row>
    <row r="7" spans="1:7" ht="24" customHeight="1">
      <c r="A7" s="7"/>
      <c r="B7" s="4" t="s">
        <v>4</v>
      </c>
      <c r="C7" s="8" t="str">
        <f>'14'!C3</f>
        <v>2026 Fuji Horse Show Autumn Grand Prix</v>
      </c>
      <c r="D7" s="9"/>
      <c r="E7" s="9"/>
      <c r="F7" s="9"/>
      <c r="G7" s="346" t="s">
        <v>736</v>
      </c>
    </row>
    <row r="8" spans="1:7" ht="21" customHeight="1">
      <c r="A8" s="10" t="s">
        <v>42</v>
      </c>
      <c r="B8" s="68">
        <f>'14'!C4</f>
        <v>14</v>
      </c>
      <c r="C8" s="4" t="s">
        <v>43</v>
      </c>
      <c r="D8" s="349" t="str">
        <f>'14'!F4</f>
        <v>Ｌ－Ａ級障害飛越競技</v>
      </c>
      <c r="E8" s="349"/>
      <c r="F8" s="349"/>
    </row>
    <row r="9" spans="1:7" ht="18.75" customHeight="1">
      <c r="C9" s="11" t="s">
        <v>11</v>
      </c>
      <c r="D9" s="264" t="str">
        <f>'14'!D5</f>
        <v>-</v>
      </c>
      <c r="E9" s="4" t="s">
        <v>9</v>
      </c>
      <c r="F9" s="267" t="str">
        <f>'14'!K4</f>
        <v>-</v>
      </c>
    </row>
    <row r="10" spans="1:7" ht="21" customHeight="1">
      <c r="A10" s="12" t="s">
        <v>44</v>
      </c>
      <c r="B10" s="12"/>
      <c r="C10" s="12"/>
      <c r="D10" s="265" t="str">
        <f>'14'!D6</f>
        <v>-</v>
      </c>
      <c r="E10" s="4" t="s">
        <v>12</v>
      </c>
      <c r="F10" s="268" t="str">
        <f>'14'!F5</f>
        <v>-</v>
      </c>
      <c r="G10" s="13" t="s">
        <v>45</v>
      </c>
    </row>
    <row r="11" spans="1:7" ht="5.0999999999999996" customHeight="1"/>
    <row r="12" spans="1:7" ht="15" customHeight="1">
      <c r="A12" s="350" t="s">
        <v>46</v>
      </c>
      <c r="B12" s="352" t="s">
        <v>47</v>
      </c>
      <c r="C12" s="354" t="s">
        <v>48</v>
      </c>
      <c r="D12" s="355"/>
      <c r="E12" s="347" t="s">
        <v>49</v>
      </c>
      <c r="F12" s="347"/>
      <c r="G12" s="347" t="s">
        <v>50</v>
      </c>
    </row>
    <row r="13" spans="1:7" ht="24" customHeight="1">
      <c r="A13" s="351"/>
      <c r="B13" s="353"/>
      <c r="C13" s="14" t="s">
        <v>53</v>
      </c>
      <c r="D13" s="15" t="s">
        <v>54</v>
      </c>
      <c r="E13" s="15" t="s">
        <v>55</v>
      </c>
      <c r="F13" s="15" t="s">
        <v>56</v>
      </c>
      <c r="G13" s="348"/>
    </row>
    <row r="14" spans="1:7" s="19" customFormat="1" ht="23.1" customHeight="1">
      <c r="A14" s="16" t="str">
        <f>IF('14'!A14="","",'14'!A14)</f>
        <v/>
      </c>
      <c r="B14" s="16">
        <f>IF('14'!B14="","",'14'!B14)</f>
        <v>1</v>
      </c>
      <c r="C14" s="17" t="str">
        <f>IF('14'!C14="","",'14'!C14)</f>
        <v>津田　保乃香</v>
      </c>
      <c r="D14" s="266">
        <f>IF('14'!D14="","",'14'!D14)</f>
        <v>25255</v>
      </c>
      <c r="E14" s="17" t="str">
        <f>IF('14'!E14="","",'14'!E14)</f>
        <v>ドゥラメンタ</v>
      </c>
      <c r="F14" s="266" t="str">
        <f>IF('14'!F14="","",'14'!F14)</f>
        <v>-</v>
      </c>
      <c r="G14" s="17" t="str">
        <f>IF('14'!G14="","",'14'!G14)</f>
        <v>乗馬クラブニューシーズン御殿場</v>
      </c>
    </row>
    <row r="15" spans="1:7" s="19" customFormat="1" ht="23.1" customHeight="1">
      <c r="A15" s="16" t="str">
        <f>IF('14'!A15="","",'14'!A15)</f>
        <v/>
      </c>
      <c r="B15" s="16">
        <f>IF('14'!B15="","",'14'!B15)</f>
        <v>2</v>
      </c>
      <c r="C15" s="17" t="str">
        <f>IF('14'!C15="","",'14'!C15)</f>
        <v>松岡　健心</v>
      </c>
      <c r="D15" s="266">
        <f>IF('14'!D15="","",'14'!D15)</f>
        <v>30642</v>
      </c>
      <c r="E15" s="17" t="str">
        <f>IF('14'!E15="","",'14'!E15)</f>
        <v>カービー</v>
      </c>
      <c r="F15" s="266">
        <f>IF('14'!F15="","",'14'!F15)</f>
        <v>58902</v>
      </c>
      <c r="G15" s="17" t="str">
        <f>IF('14'!G15="","",'14'!G15)</f>
        <v>静岡乗馬クラブ</v>
      </c>
    </row>
    <row r="16" spans="1:7" s="19" customFormat="1" ht="23.1" customHeight="1">
      <c r="A16" s="16" t="str">
        <f>IF('14'!A16="","",'14'!A16)</f>
        <v>ＯＰ</v>
      </c>
      <c r="B16" s="16">
        <f>IF('14'!B16="","",'14'!B16)</f>
        <v>3</v>
      </c>
      <c r="C16" s="17" t="str">
        <f>IF('14'!C16="","",'14'!C16)</f>
        <v>鈴木　裕介</v>
      </c>
      <c r="D16" s="266">
        <f>IF('14'!D16="","",'14'!D16)</f>
        <v>23529</v>
      </c>
      <c r="E16" s="17" t="str">
        <f>IF('14'!E16="","",'14'!E16)</f>
        <v>スプレンディッド・アーク</v>
      </c>
      <c r="F16" s="266">
        <f>IF('14'!F16="","",'14'!F16)</f>
        <v>60111</v>
      </c>
      <c r="G16" s="17" t="str">
        <f>IF('14'!G16="","",'14'!G16)</f>
        <v>北駿ホースヴィラ</v>
      </c>
    </row>
    <row r="17" spans="1:7" s="19" customFormat="1" ht="23.1" customHeight="1">
      <c r="A17" s="16" t="str">
        <f>IF('14'!A17="","",'14'!A17)</f>
        <v>ＯＰ</v>
      </c>
      <c r="B17" s="16">
        <f>IF('14'!B17="","",'14'!B17)</f>
        <v>4</v>
      </c>
      <c r="C17" s="17" t="str">
        <f>IF('14'!C17="","",'14'!C17)</f>
        <v>桑原　咲季</v>
      </c>
      <c r="D17" s="266">
        <f>IF('14'!D17="","",'14'!D17)</f>
        <v>28809</v>
      </c>
      <c r="E17" s="17" t="str">
        <f>IF('14'!E17="","",'14'!E17)</f>
        <v>コスタブラバ</v>
      </c>
      <c r="F17" s="266">
        <f>IF('14'!F17="","",'14'!F17)</f>
        <v>55915</v>
      </c>
      <c r="G17" s="17" t="str">
        <f>IF('14'!G17="","",'14'!G17)</f>
        <v>八王子乗馬倶楽部</v>
      </c>
    </row>
    <row r="18" spans="1:7" s="19" customFormat="1" ht="23.1" customHeight="1">
      <c r="A18" s="16" t="str">
        <f>IF('14'!A18="","",'14'!A18)</f>
        <v>ＯＰ</v>
      </c>
      <c r="B18" s="16">
        <f>IF('14'!B18="","",'14'!B18)</f>
        <v>5</v>
      </c>
      <c r="C18" s="17" t="str">
        <f>IF('14'!C18="","",'14'!C18)</f>
        <v>村上　篤</v>
      </c>
      <c r="D18" s="266">
        <f>IF('14'!D18="","",'14'!D18)</f>
        <v>4416</v>
      </c>
      <c r="E18" s="17" t="str">
        <f>IF('14'!E18="","",'14'!E18)</f>
        <v>ペリドット</v>
      </c>
      <c r="F18" s="266" t="str">
        <f>IF('14'!F18="","",'14'!F18)</f>
        <v>-</v>
      </c>
      <c r="G18" s="17" t="str">
        <f>IF('14'!G18="","",'14'!G18)</f>
        <v>オリエント馬事センター</v>
      </c>
    </row>
    <row r="19" spans="1:7" s="19" customFormat="1" ht="23.1" customHeight="1">
      <c r="A19" s="16" t="str">
        <f>IF('14'!A19="","",'14'!A19)</f>
        <v>ＯＰ</v>
      </c>
      <c r="B19" s="16">
        <f>IF('14'!B19="","",'14'!B19)</f>
        <v>6</v>
      </c>
      <c r="C19" s="17" t="str">
        <f>IF('14'!C19="","",'14'!C19)</f>
        <v>増山　大治郎</v>
      </c>
      <c r="D19" s="266">
        <f>IF('14'!D19="","",'14'!D19)</f>
        <v>12159</v>
      </c>
      <c r="E19" s="17" t="str">
        <f>IF('14'!E19="","",'14'!E19)</f>
        <v>ハイネケン</v>
      </c>
      <c r="F19" s="266">
        <f>IF('14'!F19="","",'14'!F19)</f>
        <v>59064</v>
      </c>
      <c r="G19" s="17" t="str">
        <f>IF('14'!G19="","",'14'!G19)</f>
        <v>筑波スカイラインスティーブル</v>
      </c>
    </row>
    <row r="20" spans="1:7" s="19" customFormat="1" ht="23.1" customHeight="1">
      <c r="A20" s="16" t="str">
        <f>IF('14'!A20="","",'14'!A20)</f>
        <v>OP</v>
      </c>
      <c r="B20" s="16">
        <f>IF('14'!B20="","",'14'!B20)</f>
        <v>7</v>
      </c>
      <c r="C20" s="17" t="str">
        <f>IF('14'!C20="","",'14'!C20)</f>
        <v>林　義昌</v>
      </c>
      <c r="D20" s="266">
        <f>IF('14'!D20="","",'14'!D20)</f>
        <v>18717</v>
      </c>
      <c r="E20" s="17" t="str">
        <f>IF('14'!E20="","",'14'!E20)</f>
        <v>ラーグルフ</v>
      </c>
      <c r="F20" s="266" t="str">
        <f>IF('14'!F20="","",'14'!F20)</f>
        <v>‐</v>
      </c>
      <c r="G20" s="17" t="str">
        <f>IF('14'!G20="","",'14'!G20)</f>
        <v>北総乗馬クラブ</v>
      </c>
    </row>
    <row r="21" spans="1:7" s="19" customFormat="1" ht="23.1" customHeight="1">
      <c r="A21" s="16" t="str">
        <f>IF('14'!A21="","",'14'!A21)</f>
        <v>ＯＰ</v>
      </c>
      <c r="B21" s="16">
        <f>IF('14'!B21="","",'14'!B21)</f>
        <v>8</v>
      </c>
      <c r="C21" s="17" t="str">
        <f>IF('14'!C21="","",'14'!C21)</f>
        <v>本間　唯純</v>
      </c>
      <c r="D21" s="266">
        <f>IF('14'!D21="","",'14'!D21)</f>
        <v>14546</v>
      </c>
      <c r="E21" s="17" t="str">
        <f>IF('14'!E21="","",'14'!E21)</f>
        <v>アーチー</v>
      </c>
      <c r="F21" s="266">
        <f>IF('14'!F21="","",'14'!F21)</f>
        <v>60834</v>
      </c>
      <c r="G21" s="17" t="str">
        <f>IF('14'!G21="","",'14'!G21)</f>
        <v>乗馬クラブクレイン神奈川</v>
      </c>
    </row>
    <row r="22" spans="1:7" s="19" customFormat="1" ht="23.1" customHeight="1">
      <c r="A22" s="16" t="str">
        <f>IF('14'!A22="","",'14'!A22)</f>
        <v/>
      </c>
      <c r="B22" s="16">
        <f>IF('14'!B22="","",'14'!B22)</f>
        <v>9</v>
      </c>
      <c r="C22" s="17" t="str">
        <f>IF('14'!C22="","",'14'!C22)</f>
        <v>島貫　咲雅</v>
      </c>
      <c r="D22" s="266">
        <f>IF('14'!D22="","",'14'!D22)</f>
        <v>26053</v>
      </c>
      <c r="E22" s="17" t="str">
        <f>IF('14'!E22="","",'14'!E22)</f>
        <v>フォンガンツ</v>
      </c>
      <c r="F22" s="266">
        <f>IF('14'!F22="","",'14'!F22)</f>
        <v>61561</v>
      </c>
      <c r="G22" s="17" t="str">
        <f>IF('14'!G22="","",'14'!G22)</f>
        <v>岡本ライディングクラブJAPAN</v>
      </c>
    </row>
    <row r="23" spans="1:7" s="19" customFormat="1" ht="23.1" customHeight="1">
      <c r="A23" s="16" t="str">
        <f>IF('14'!A23="","",'14'!A23)</f>
        <v/>
      </c>
      <c r="B23" s="16">
        <f>IF('14'!B23="","",'14'!B23)</f>
        <v>10</v>
      </c>
      <c r="C23" s="17" t="str">
        <f>IF('14'!C23="","",'14'!C23)</f>
        <v>武井　史恵</v>
      </c>
      <c r="D23" s="266">
        <f>IF('14'!D23="","",'14'!D23)</f>
        <v>15774</v>
      </c>
      <c r="E23" s="17" t="str">
        <f>IF('14'!E23="","",'14'!E23)</f>
        <v>エンパイア</v>
      </c>
      <c r="F23" s="266">
        <f>IF('14'!F23="","",'14'!F23)</f>
        <v>59762</v>
      </c>
      <c r="G23" s="17" t="str">
        <f>IF('14'!G23="","",'14'!G23)</f>
        <v>成田乗馬クラブ</v>
      </c>
    </row>
    <row r="24" spans="1:7" s="19" customFormat="1" ht="23.1" customHeight="1">
      <c r="A24" s="16" t="str">
        <f>IF('14'!A24="","",'14'!A24)</f>
        <v/>
      </c>
      <c r="B24" s="16">
        <f>IF('14'!B24="","",'14'!B24)</f>
        <v>11</v>
      </c>
      <c r="C24" s="17" t="str">
        <f>IF('14'!C24="","",'14'!C24)</f>
        <v>山下　永聖</v>
      </c>
      <c r="D24" s="266">
        <f>IF('14'!D24="","",'14'!D24)</f>
        <v>34299</v>
      </c>
      <c r="E24" s="17" t="str">
        <f>IF('14'!E24="","",'14'!E24)</f>
        <v>紅愛</v>
      </c>
      <c r="F24" s="266">
        <f>IF('14'!F24="","",'14'!F24)</f>
        <v>59843</v>
      </c>
      <c r="G24" s="17" t="str">
        <f>IF('14'!G24="","",'14'!G24)</f>
        <v>拓殖大学馬術部</v>
      </c>
    </row>
    <row r="25" spans="1:7" s="19" customFormat="1" ht="23.1" customHeight="1">
      <c r="A25" s="16" t="str">
        <f>IF('14'!A25="","",'14'!A25)</f>
        <v/>
      </c>
      <c r="B25" s="16">
        <f>IF('14'!B25="","",'14'!B25)</f>
        <v>12</v>
      </c>
      <c r="C25" s="17" t="str">
        <f>IF('14'!C25="","",'14'!C25)</f>
        <v>陳　最</v>
      </c>
      <c r="D25" s="266">
        <f>IF('14'!D25="","",'14'!D25)</f>
        <v>33843</v>
      </c>
      <c r="E25" s="17" t="str">
        <f>IF('14'!E25="","",'14'!E25)</f>
        <v>コスタブラバ</v>
      </c>
      <c r="F25" s="266">
        <f>IF('14'!F25="","",'14'!F25)</f>
        <v>55915</v>
      </c>
      <c r="G25" s="17" t="str">
        <f>IF('14'!G25="","",'14'!G25)</f>
        <v>八王子乗馬倶楽部</v>
      </c>
    </row>
    <row r="26" spans="1:7" s="19" customFormat="1" ht="23.1" customHeight="1">
      <c r="A26" s="16" t="str">
        <f>IF('14'!A26="","",'14'!A26)</f>
        <v/>
      </c>
      <c r="B26" s="16">
        <f>IF('14'!B26="","",'14'!B26)</f>
        <v>13</v>
      </c>
      <c r="C26" s="17" t="str">
        <f>IF('14'!C26="","",'14'!C26)</f>
        <v>岡本　雅海</v>
      </c>
      <c r="D26" s="266">
        <f>IF('14'!D26="","",'14'!D26)</f>
        <v>19572</v>
      </c>
      <c r="E26" s="17" t="str">
        <f>IF('14'!E26="","",'14'!E26)</f>
        <v>馬夢世</v>
      </c>
      <c r="F26" s="266">
        <f>IF('14'!F26="","",'14'!F26)</f>
        <v>61394</v>
      </c>
      <c r="G26" s="17" t="str">
        <f>IF('14'!G26="","",'14'!G26)</f>
        <v>岡本ライディングクラブJAPAN</v>
      </c>
    </row>
    <row r="27" spans="1:7" s="19" customFormat="1" ht="23.1" customHeight="1">
      <c r="A27" s="16" t="str">
        <f>IF('14'!A27="","",'14'!A27)</f>
        <v/>
      </c>
      <c r="B27" s="16">
        <f>IF('14'!B27="","",'14'!B27)</f>
        <v>14</v>
      </c>
      <c r="C27" s="17" t="str">
        <f>IF('14'!C27="","",'14'!C27)</f>
        <v>三田村　忍</v>
      </c>
      <c r="D27" s="266" t="str">
        <f>IF('14'!D27="","",'14'!D27)</f>
        <v>-</v>
      </c>
      <c r="E27" s="17" t="str">
        <f>IF('14'!E27="","",'14'!E27)</f>
        <v>エヴァンダ</v>
      </c>
      <c r="F27" s="266">
        <f>IF('14'!F27="","",'14'!F27)</f>
        <v>57887</v>
      </c>
      <c r="G27" s="17" t="str">
        <f>IF('14'!G27="","",'14'!G27)</f>
        <v>ペガサス乗馬クラブ</v>
      </c>
    </row>
    <row r="28" spans="1:7" s="19" customFormat="1" ht="23.1" customHeight="1">
      <c r="A28" s="16" t="str">
        <f>IF('14'!A28="","",'14'!A28)</f>
        <v/>
      </c>
      <c r="B28" s="16">
        <f>IF('14'!B28="","",'14'!B28)</f>
        <v>15</v>
      </c>
      <c r="C28" s="17" t="str">
        <f>IF('14'!C28="","",'14'!C28)</f>
        <v>出澤　真理子</v>
      </c>
      <c r="D28" s="266">
        <f>IF('14'!D28="","",'14'!D28)</f>
        <v>32428</v>
      </c>
      <c r="E28" s="17" t="str">
        <f>IF('14'!E28="","",'14'!E28)</f>
        <v>カステッロ</v>
      </c>
      <c r="F28" s="266">
        <f>IF('14'!F28="","",'14'!F28)</f>
        <v>60948</v>
      </c>
      <c r="G28" s="17" t="str">
        <f>IF('14'!G28="","",'14'!G28)</f>
        <v>STAR HORSES</v>
      </c>
    </row>
    <row r="29" spans="1:7" s="19" customFormat="1" ht="23.1" customHeight="1">
      <c r="A29" s="16" t="str">
        <f>IF('14'!A29="","",'14'!A29)</f>
        <v/>
      </c>
      <c r="B29" s="16">
        <f>IF('14'!B29="","",'14'!B29)</f>
        <v>16</v>
      </c>
      <c r="C29" s="17" t="str">
        <f>IF('14'!C29="","",'14'!C29)</f>
        <v>渡邊　菜々美</v>
      </c>
      <c r="D29" s="266" t="str">
        <f>IF('14'!D29="","",'14'!D29)</f>
        <v>-</v>
      </c>
      <c r="E29" s="17" t="str">
        <f>IF('14'!E29="","",'14'!E29)</f>
        <v>紅陵</v>
      </c>
      <c r="F29" s="266">
        <f>IF('14'!F29="","",'14'!F29)</f>
        <v>58208</v>
      </c>
      <c r="G29" s="17" t="str">
        <f>IF('14'!G29="","",'14'!G29)</f>
        <v>拓殖大学馬術部</v>
      </c>
    </row>
    <row r="30" spans="1:7" s="19" customFormat="1" ht="23.1" customHeight="1">
      <c r="A30" s="16" t="str">
        <f>IF('14'!A30="","",'14'!A30)</f>
        <v/>
      </c>
      <c r="B30" s="16">
        <f>IF('14'!B30="","",'14'!B30)</f>
        <v>17</v>
      </c>
      <c r="C30" s="17" t="str">
        <f>IF('14'!C30="","",'14'!C30)</f>
        <v>明渡　則和</v>
      </c>
      <c r="D30" s="266">
        <f>IF('14'!D30="","",'14'!D30)</f>
        <v>32215</v>
      </c>
      <c r="E30" s="17" t="str">
        <f>IF('14'!E30="","",'14'!E30)</f>
        <v>スプレンディッド・アーク</v>
      </c>
      <c r="F30" s="266">
        <f>IF('14'!F30="","",'14'!F30)</f>
        <v>60111</v>
      </c>
      <c r="G30" s="17" t="str">
        <f>IF('14'!G30="","",'14'!G30)</f>
        <v>北駿ホースヴィラ</v>
      </c>
    </row>
    <row r="31" spans="1:7" s="19" customFormat="1" ht="23.1" customHeight="1">
      <c r="A31" s="16" t="str">
        <f>IF('14'!A31="","",'14'!A31)</f>
        <v/>
      </c>
      <c r="B31" s="16">
        <f>IF('14'!B31="","",'14'!B31)</f>
        <v>18</v>
      </c>
      <c r="C31" s="17" t="str">
        <f>IF('14'!C31="","",'14'!C31)</f>
        <v>佐伯　華蓮</v>
      </c>
      <c r="D31" s="266">
        <f>IF('14'!D31="","",'14'!D31)</f>
        <v>33610</v>
      </c>
      <c r="E31" s="17" t="str">
        <f>IF('14'!E31="","",'14'!E31)</f>
        <v>ララクレール</v>
      </c>
      <c r="F31" s="266">
        <f>IF('14'!F31="","",'14'!F31)</f>
        <v>61089</v>
      </c>
      <c r="G31" s="17" t="str">
        <f>IF('14'!G31="","",'14'!G31)</f>
        <v>北総乗馬クラブ</v>
      </c>
    </row>
    <row r="32" spans="1:7" s="19" customFormat="1" ht="23.1" customHeight="1">
      <c r="A32" s="16" t="str">
        <f>IF('14'!A32="","",'14'!A32)</f>
        <v/>
      </c>
      <c r="B32" s="16">
        <f>IF('14'!B32="","",'14'!B32)</f>
        <v>19</v>
      </c>
      <c r="C32" s="17" t="str">
        <f>IF('14'!C32="","",'14'!C32)</f>
        <v>木村　茉里子</v>
      </c>
      <c r="D32" s="266">
        <f>IF('14'!D32="","",'14'!D32)</f>
        <v>12188</v>
      </c>
      <c r="E32" s="17" t="str">
        <f>IF('14'!E32="","",'14'!E32)</f>
        <v>クリッチェ・デ・ロワ</v>
      </c>
      <c r="F32" s="266">
        <f>IF('14'!F32="","",'14'!F32)</f>
        <v>62119</v>
      </c>
      <c r="G32" s="17" t="str">
        <f>IF('14'!G32="","",'14'!G32)</f>
        <v>NGK Horse Paz.</v>
      </c>
    </row>
    <row r="33" spans="1:7" s="19" customFormat="1" ht="23.1" customHeight="1">
      <c r="A33" s="16" t="str">
        <f>IF('14'!A33="","",'14'!A33)</f>
        <v/>
      </c>
      <c r="B33" s="16">
        <f>IF('14'!B33="","",'14'!B33)</f>
        <v>20</v>
      </c>
      <c r="C33" s="17" t="str">
        <f>IF('14'!C33="","",'14'!C33)</f>
        <v>鈴木　正紀</v>
      </c>
      <c r="D33" s="266">
        <f>IF('14'!D33="","",'14'!D33)</f>
        <v>28816</v>
      </c>
      <c r="E33" s="17" t="str">
        <f>IF('14'!E33="","",'14'!E33)</f>
        <v>Sグランツ</v>
      </c>
      <c r="F33" s="266">
        <f>IF('14'!F33="","",'14'!F33)</f>
        <v>58420</v>
      </c>
      <c r="G33" s="17" t="str">
        <f>IF('14'!G33="","",'14'!G33)</f>
        <v>AOステーブル</v>
      </c>
    </row>
    <row r="34" spans="1:7" s="19" customFormat="1" ht="23.1" customHeight="1">
      <c r="A34" s="16" t="str">
        <f>IF('14'!A34="","",'14'!A34)</f>
        <v>OP</v>
      </c>
      <c r="B34" s="16">
        <f>IF('14'!B34="","",'14'!B34)</f>
        <v>21</v>
      </c>
      <c r="C34" s="17" t="str">
        <f>IF('14'!C34="","",'14'!C34)</f>
        <v>川口　大輔</v>
      </c>
      <c r="D34" s="266">
        <f>IF('14'!D34="","",'14'!D34)</f>
        <v>13141</v>
      </c>
      <c r="E34" s="17" t="str">
        <f>IF('14'!E34="","",'14'!E34)</f>
        <v>モキハナ</v>
      </c>
      <c r="F34" s="266" t="str">
        <f>IF('14'!F34="","",'14'!F34)</f>
        <v>-</v>
      </c>
      <c r="G34" s="17" t="str">
        <f>IF('14'!G34="","",'14'!G34)</f>
        <v>ライディングクラブフジファーム</v>
      </c>
    </row>
    <row r="35" spans="1:7" s="19" customFormat="1" ht="23.1" customHeight="1">
      <c r="A35" s="16" t="str">
        <f>IF('14'!A35="","",'14'!A35)</f>
        <v/>
      </c>
      <c r="B35" s="16">
        <f>IF('14'!B35="","",'14'!B35)</f>
        <v>22</v>
      </c>
      <c r="C35" s="17" t="str">
        <f>IF('14'!C35="","",'14'!C35)</f>
        <v>津田　保乃香</v>
      </c>
      <c r="D35" s="266">
        <f>IF('14'!D35="","",'14'!D35)</f>
        <v>25255</v>
      </c>
      <c r="E35" s="17" t="str">
        <f>IF('14'!E35="","",'14'!E35)</f>
        <v>アレイオン</v>
      </c>
      <c r="F35" s="266">
        <f>IF('14'!F35="","",'14'!F35)</f>
        <v>59824</v>
      </c>
      <c r="G35" s="17" t="str">
        <f>IF('14'!G35="","",'14'!G35)</f>
        <v>乗馬クラブニューシーズン御殿場</v>
      </c>
    </row>
    <row r="36" spans="1:7" s="19" customFormat="1" ht="23.1" customHeight="1">
      <c r="A36" s="16" t="str">
        <f>IF('14'!A36="","",'14'!A36)</f>
        <v/>
      </c>
      <c r="B36" s="16">
        <f>IF('14'!B36="","",'14'!B36)</f>
        <v>23</v>
      </c>
      <c r="C36" s="17" t="str">
        <f>IF('14'!C36="","",'14'!C36)</f>
        <v/>
      </c>
      <c r="D36" s="266" t="str">
        <f>IF('14'!D36="","",'14'!D36)</f>
        <v/>
      </c>
      <c r="E36" s="17" t="str">
        <f>IF('14'!E36="","",'14'!E36)</f>
        <v/>
      </c>
      <c r="F36" s="266" t="str">
        <f>IF('14'!F36="","",'14'!F36)</f>
        <v/>
      </c>
      <c r="G36" s="17" t="str">
        <f>IF('14'!G36="","",'14'!G36)</f>
        <v/>
      </c>
    </row>
    <row r="37" spans="1:7" s="19" customFormat="1" ht="23.1" customHeight="1">
      <c r="A37" s="16" t="str">
        <f>IF('14'!A37="","",'14'!A37)</f>
        <v/>
      </c>
      <c r="B37" s="16">
        <f>IF('14'!B37="","",'14'!B37)</f>
        <v>24</v>
      </c>
      <c r="C37" s="17" t="str">
        <f>IF('14'!C37="","",'14'!C37)</f>
        <v/>
      </c>
      <c r="D37" s="266" t="str">
        <f>IF('14'!D37="","",'14'!D37)</f>
        <v/>
      </c>
      <c r="E37" s="17" t="str">
        <f>IF('14'!E37="","",'14'!E37)</f>
        <v/>
      </c>
      <c r="F37" s="266" t="str">
        <f>IF('14'!F37="","",'14'!F37)</f>
        <v/>
      </c>
      <c r="G37" s="17" t="str">
        <f>IF('14'!G37="","",'14'!G37)</f>
        <v/>
      </c>
    </row>
    <row r="38" spans="1:7" s="19" customFormat="1" ht="23.1" customHeight="1">
      <c r="A38" s="16" t="str">
        <f>IF('14'!A38="","",'14'!A38)</f>
        <v/>
      </c>
      <c r="B38" s="16">
        <f>IF('14'!B38="","",'14'!B38)</f>
        <v>25</v>
      </c>
      <c r="C38" s="17" t="str">
        <f>IF('14'!C38="","",'14'!C38)</f>
        <v/>
      </c>
      <c r="D38" s="266" t="str">
        <f>IF('14'!D38="","",'14'!D38)</f>
        <v/>
      </c>
      <c r="E38" s="17" t="str">
        <f>IF('14'!E38="","",'14'!E38)</f>
        <v/>
      </c>
      <c r="F38" s="266" t="str">
        <f>IF('14'!F38="","",'14'!F38)</f>
        <v/>
      </c>
      <c r="G38" s="17" t="str">
        <f>IF('14'!G38="","",'14'!G38)</f>
        <v/>
      </c>
    </row>
    <row r="39" spans="1:7" s="19" customFormat="1" ht="23.1" customHeight="1">
      <c r="A39" s="16" t="str">
        <f>IF('14'!A39="","",'14'!A39)</f>
        <v/>
      </c>
      <c r="B39" s="16">
        <f>IF('14'!B39="","",'14'!B39)</f>
        <v>26</v>
      </c>
      <c r="C39" s="17" t="str">
        <f>IF('14'!C39="","",'14'!C39)</f>
        <v/>
      </c>
      <c r="D39" s="266" t="str">
        <f>IF('14'!D39="","",'14'!D39)</f>
        <v/>
      </c>
      <c r="E39" s="17" t="str">
        <f>IF('14'!E39="","",'14'!E39)</f>
        <v/>
      </c>
      <c r="F39" s="266" t="str">
        <f>IF('14'!F39="","",'14'!F39)</f>
        <v/>
      </c>
      <c r="G39" s="17" t="str">
        <f>IF('14'!G39="","",'14'!G39)</f>
        <v/>
      </c>
    </row>
    <row r="40" spans="1:7" s="19" customFormat="1" ht="23.1" customHeight="1">
      <c r="A40" s="16" t="str">
        <f>IF('14'!A40="","",'14'!A40)</f>
        <v/>
      </c>
      <c r="B40" s="16">
        <f>IF('14'!B40="","",'14'!B40)</f>
        <v>27</v>
      </c>
      <c r="C40" s="17" t="str">
        <f>IF('14'!C40="","",'14'!C40)</f>
        <v/>
      </c>
      <c r="D40" s="266" t="str">
        <f>IF('14'!D40="","",'14'!D40)</f>
        <v/>
      </c>
      <c r="E40" s="17" t="str">
        <f>IF('14'!E40="","",'14'!E40)</f>
        <v/>
      </c>
      <c r="F40" s="266" t="str">
        <f>IF('14'!F40="","",'14'!F40)</f>
        <v/>
      </c>
      <c r="G40" s="17" t="str">
        <f>IF('14'!G40="","",'14'!G40)</f>
        <v/>
      </c>
    </row>
    <row r="41" spans="1:7" s="19" customFormat="1" ht="23.1" customHeight="1">
      <c r="A41" s="16" t="str">
        <f>IF('14'!A41="","",'14'!A41)</f>
        <v/>
      </c>
      <c r="B41" s="16">
        <f>IF('14'!B41="","",'14'!B41)</f>
        <v>28</v>
      </c>
      <c r="C41" s="17" t="str">
        <f>IF('14'!C41="","",'14'!C41)</f>
        <v/>
      </c>
      <c r="D41" s="266" t="str">
        <f>IF('14'!D41="","",'14'!D41)</f>
        <v/>
      </c>
      <c r="E41" s="17" t="str">
        <f>IF('14'!E41="","",'14'!E41)</f>
        <v/>
      </c>
      <c r="F41" s="266" t="str">
        <f>IF('14'!F41="","",'14'!F41)</f>
        <v/>
      </c>
      <c r="G41" s="17" t="str">
        <f>IF('14'!G41="","",'14'!G41)</f>
        <v/>
      </c>
    </row>
    <row r="42" spans="1:7" s="19" customFormat="1" ht="23.1" customHeight="1">
      <c r="A42" s="16" t="str">
        <f>IF('14'!A42="","",'14'!A42)</f>
        <v/>
      </c>
      <c r="B42" s="16">
        <f>IF('14'!B42="","",'14'!B42)</f>
        <v>29</v>
      </c>
      <c r="C42" s="17" t="str">
        <f>IF('14'!C42="","",'14'!C42)</f>
        <v/>
      </c>
      <c r="D42" s="266" t="str">
        <f>IF('14'!D42="","",'14'!D42)</f>
        <v/>
      </c>
      <c r="E42" s="17" t="str">
        <f>IF('14'!E42="","",'14'!E42)</f>
        <v/>
      </c>
      <c r="F42" s="266" t="str">
        <f>IF('14'!F42="","",'14'!F42)</f>
        <v/>
      </c>
      <c r="G42" s="17" t="str">
        <f>IF('14'!G42="","",'14'!G42)</f>
        <v/>
      </c>
    </row>
    <row r="43" spans="1:7" s="19" customFormat="1" ht="23.1" customHeight="1">
      <c r="A43" s="16" t="str">
        <f>IF('14'!A43="","",'14'!A43)</f>
        <v/>
      </c>
      <c r="B43" s="16">
        <f>IF('14'!B43="","",'14'!B43)</f>
        <v>30</v>
      </c>
      <c r="C43" s="17" t="str">
        <f>IF('14'!C43="","",'14'!C43)</f>
        <v/>
      </c>
      <c r="D43" s="266" t="str">
        <f>IF('14'!D43="","",'14'!D43)</f>
        <v/>
      </c>
      <c r="E43" s="17" t="str">
        <f>IF('14'!E43="","",'14'!E43)</f>
        <v/>
      </c>
      <c r="F43" s="266" t="str">
        <f>IF('14'!F43="","",'14'!F43)</f>
        <v/>
      </c>
      <c r="G43" s="17" t="str">
        <f>IF('14'!G43="","",'14'!G43)</f>
        <v/>
      </c>
    </row>
    <row r="44" spans="1:7" ht="23.1" customHeight="1">
      <c r="A44" s="16" t="str">
        <f>IF('14'!A44="","",'14'!A44)</f>
        <v/>
      </c>
      <c r="B44" s="16">
        <f>IF('14'!B44="","",'14'!B44)</f>
        <v>31</v>
      </c>
      <c r="C44" s="17" t="str">
        <f>IF('14'!C44="","",'14'!C44)</f>
        <v/>
      </c>
      <c r="D44" s="266" t="str">
        <f>IF('14'!D44="","",'14'!D44)</f>
        <v/>
      </c>
      <c r="E44" s="17" t="str">
        <f>IF('14'!E44="","",'14'!E44)</f>
        <v/>
      </c>
      <c r="F44" s="266" t="str">
        <f>IF('14'!F44="","",'14'!F44)</f>
        <v/>
      </c>
      <c r="G44" s="17" t="str">
        <f>IF('14'!G44="","",'14'!G44)</f>
        <v/>
      </c>
    </row>
    <row r="45" spans="1:7" ht="23.1" customHeight="1">
      <c r="A45" s="16" t="str">
        <f>IF('14'!A45="","",'14'!A45)</f>
        <v/>
      </c>
      <c r="B45" s="16">
        <f>IF('14'!B45="","",'14'!B45)</f>
        <v>32</v>
      </c>
      <c r="C45" s="17" t="str">
        <f>IF('14'!C45="","",'14'!C45)</f>
        <v/>
      </c>
      <c r="D45" s="266" t="str">
        <f>IF('14'!D45="","",'14'!D45)</f>
        <v/>
      </c>
      <c r="E45" s="17" t="str">
        <f>IF('14'!E45="","",'14'!E45)</f>
        <v/>
      </c>
      <c r="F45" s="266" t="str">
        <f>IF('14'!F45="","",'14'!F45)</f>
        <v/>
      </c>
      <c r="G45" s="17" t="str">
        <f>IF('14'!G45="","",'14'!G45)</f>
        <v/>
      </c>
    </row>
    <row r="46" spans="1:7" ht="23.1" customHeight="1">
      <c r="A46" s="16" t="str">
        <f>IF('14'!A46="","",'14'!A46)</f>
        <v/>
      </c>
      <c r="B46" s="16">
        <f>IF('14'!B46="","",'14'!B46)</f>
        <v>33</v>
      </c>
      <c r="C46" s="17" t="str">
        <f>IF('14'!C46="","",'14'!C46)</f>
        <v/>
      </c>
      <c r="D46" s="266" t="str">
        <f>IF('14'!D46="","",'14'!D46)</f>
        <v/>
      </c>
      <c r="E46" s="17" t="str">
        <f>IF('14'!E46="","",'14'!E46)</f>
        <v/>
      </c>
      <c r="F46" s="266" t="str">
        <f>IF('14'!F46="","",'14'!F46)</f>
        <v/>
      </c>
      <c r="G46" s="17" t="str">
        <f>IF('14'!G46="","",'14'!G46)</f>
        <v/>
      </c>
    </row>
    <row r="47" spans="1:7" ht="23.1" customHeight="1">
      <c r="A47" s="16" t="str">
        <f>IF('14'!A47="","",'14'!A47)</f>
        <v/>
      </c>
      <c r="B47" s="16">
        <f>IF('14'!B47="","",'14'!B47)</f>
        <v>34</v>
      </c>
      <c r="C47" s="17" t="str">
        <f>IF('14'!C47="","",'14'!C47)</f>
        <v/>
      </c>
      <c r="D47" s="266" t="str">
        <f>IF('14'!D47="","",'14'!D47)</f>
        <v/>
      </c>
      <c r="E47" s="17" t="str">
        <f>IF('14'!E47="","",'14'!E47)</f>
        <v/>
      </c>
      <c r="F47" s="266" t="str">
        <f>IF('14'!F47="","",'14'!F47)</f>
        <v/>
      </c>
      <c r="G47" s="17" t="str">
        <f>IF('14'!G47="","",'14'!G47)</f>
        <v/>
      </c>
    </row>
    <row r="48" spans="1:7" ht="23.1" customHeight="1">
      <c r="A48" s="16" t="str">
        <f>IF('14'!A48="","",'14'!A48)</f>
        <v/>
      </c>
      <c r="B48" s="16">
        <f>IF('14'!B48="","",'14'!B48)</f>
        <v>35</v>
      </c>
      <c r="C48" s="17" t="str">
        <f>IF('14'!C48="","",'14'!C48)</f>
        <v/>
      </c>
      <c r="D48" s="266" t="str">
        <f>IF('14'!D48="","",'14'!D48)</f>
        <v/>
      </c>
      <c r="E48" s="17" t="str">
        <f>IF('14'!E48="","",'14'!E48)</f>
        <v/>
      </c>
      <c r="F48" s="266" t="str">
        <f>IF('14'!F48="","",'14'!F48)</f>
        <v/>
      </c>
      <c r="G48" s="17" t="str">
        <f>IF('14'!G48="","",'14'!G48)</f>
        <v/>
      </c>
    </row>
    <row r="49" spans="1:7" ht="23.1" customHeight="1">
      <c r="A49" s="16" t="str">
        <f>IF('14'!A49="","",'14'!A49)</f>
        <v/>
      </c>
      <c r="B49" s="16">
        <f>IF('14'!B49="","",'14'!B49)</f>
        <v>36</v>
      </c>
      <c r="C49" s="17" t="str">
        <f>IF('14'!C49="","",'14'!C49)</f>
        <v/>
      </c>
      <c r="D49" s="266" t="str">
        <f>IF('14'!D49="","",'14'!D49)</f>
        <v/>
      </c>
      <c r="E49" s="17" t="str">
        <f>IF('14'!E49="","",'14'!E49)</f>
        <v/>
      </c>
      <c r="F49" s="266" t="str">
        <f>IF('14'!F49="","",'14'!F49)</f>
        <v/>
      </c>
      <c r="G49" s="17" t="str">
        <f>IF('14'!G49="","",'14'!G49)</f>
        <v/>
      </c>
    </row>
    <row r="50" spans="1:7" ht="23.1" customHeight="1">
      <c r="A50" s="16" t="str">
        <f>IF('14'!A50="","",'14'!A50)</f>
        <v/>
      </c>
      <c r="B50" s="16">
        <f>IF('14'!B50="","",'14'!B50)</f>
        <v>37</v>
      </c>
      <c r="C50" s="17" t="str">
        <f>IF('14'!C50="","",'14'!C50)</f>
        <v/>
      </c>
      <c r="D50" s="266" t="str">
        <f>IF('14'!D50="","",'14'!D50)</f>
        <v/>
      </c>
      <c r="E50" s="17" t="str">
        <f>IF('14'!E50="","",'14'!E50)</f>
        <v/>
      </c>
      <c r="F50" s="266" t="str">
        <f>IF('14'!F50="","",'14'!F50)</f>
        <v/>
      </c>
      <c r="G50" s="17" t="str">
        <f>IF('14'!G50="","",'14'!G50)</f>
        <v/>
      </c>
    </row>
    <row r="51" spans="1:7" ht="23.1" customHeight="1">
      <c r="A51" s="16" t="str">
        <f>IF('14'!A51="","",'14'!A51)</f>
        <v/>
      </c>
      <c r="B51" s="16">
        <f>IF('14'!B51="","",'14'!B51)</f>
        <v>38</v>
      </c>
      <c r="C51" s="17" t="str">
        <f>IF('14'!C51="","",'14'!C51)</f>
        <v/>
      </c>
      <c r="D51" s="266" t="str">
        <f>IF('14'!D51="","",'14'!D51)</f>
        <v/>
      </c>
      <c r="E51" s="17" t="str">
        <f>IF('14'!E51="","",'14'!E51)</f>
        <v/>
      </c>
      <c r="F51" s="266" t="str">
        <f>IF('14'!F51="","",'14'!F51)</f>
        <v/>
      </c>
      <c r="G51" s="17" t="str">
        <f>IF('14'!G51="","",'14'!G51)</f>
        <v/>
      </c>
    </row>
    <row r="52" spans="1:7" ht="23.1" customHeight="1">
      <c r="A52" s="16" t="str">
        <f>IF('14'!A52="","",'14'!A52)</f>
        <v/>
      </c>
      <c r="B52" s="16">
        <f>IF('14'!B52="","",'14'!B52)</f>
        <v>39</v>
      </c>
      <c r="C52" s="17" t="str">
        <f>IF('14'!C52="","",'14'!C52)</f>
        <v/>
      </c>
      <c r="D52" s="266" t="str">
        <f>IF('14'!D52="","",'14'!D52)</f>
        <v/>
      </c>
      <c r="E52" s="17" t="str">
        <f>IF('14'!E52="","",'14'!E52)</f>
        <v/>
      </c>
      <c r="F52" s="266" t="str">
        <f>IF('14'!F52="","",'14'!F52)</f>
        <v/>
      </c>
      <c r="G52" s="17" t="str">
        <f>IF('14'!G52="","",'14'!G52)</f>
        <v/>
      </c>
    </row>
    <row r="53" spans="1:7" ht="23.1" customHeight="1">
      <c r="A53" s="16" t="str">
        <f>IF('14'!A53="","",'14'!A53)</f>
        <v/>
      </c>
      <c r="B53" s="16">
        <f>IF('14'!B53="","",'14'!B53)</f>
        <v>40</v>
      </c>
      <c r="C53" s="17" t="str">
        <f>IF('14'!C53="","",'14'!C53)</f>
        <v/>
      </c>
      <c r="D53" s="266" t="str">
        <f>IF('14'!D53="","",'14'!D53)</f>
        <v/>
      </c>
      <c r="E53" s="17" t="str">
        <f>IF('14'!E53="","",'14'!E53)</f>
        <v/>
      </c>
      <c r="F53" s="266" t="str">
        <f>IF('14'!F53="","",'14'!F53)</f>
        <v/>
      </c>
      <c r="G53" s="17" t="str">
        <f>IF('14'!G53="","",'14'!G53)</f>
        <v/>
      </c>
    </row>
    <row r="54" spans="1:7" ht="23.1" customHeight="1">
      <c r="A54" s="16" t="str">
        <f>IF('14'!A54="","",'14'!A54)</f>
        <v/>
      </c>
      <c r="B54" s="16">
        <f>IF('14'!B54="","",'14'!B54)</f>
        <v>41</v>
      </c>
      <c r="C54" s="17" t="str">
        <f>IF('14'!C54="","",'14'!C54)</f>
        <v/>
      </c>
      <c r="D54" s="266" t="str">
        <f>IF('14'!D54="","",'14'!D54)</f>
        <v/>
      </c>
      <c r="E54" s="17" t="str">
        <f>IF('14'!E54="","",'14'!E54)</f>
        <v/>
      </c>
      <c r="F54" s="266" t="str">
        <f>IF('14'!F54="","",'14'!F54)</f>
        <v/>
      </c>
      <c r="G54" s="17" t="str">
        <f>IF('14'!G54="","",'14'!G54)</f>
        <v/>
      </c>
    </row>
    <row r="55" spans="1:7" ht="23.1" customHeight="1">
      <c r="A55" s="16" t="str">
        <f>IF('14'!A55="","",'14'!A55)</f>
        <v/>
      </c>
      <c r="B55" s="16">
        <f>IF('14'!B55="","",'14'!B55)</f>
        <v>42</v>
      </c>
      <c r="C55" s="17" t="str">
        <f>IF('14'!C55="","",'14'!C55)</f>
        <v/>
      </c>
      <c r="D55" s="266" t="str">
        <f>IF('14'!D55="","",'14'!D55)</f>
        <v/>
      </c>
      <c r="E55" s="17" t="str">
        <f>IF('14'!E55="","",'14'!E55)</f>
        <v/>
      </c>
      <c r="F55" s="266" t="str">
        <f>IF('14'!F55="","",'14'!F55)</f>
        <v/>
      </c>
      <c r="G55" s="17" t="str">
        <f>IF('14'!G55="","",'14'!G55)</f>
        <v/>
      </c>
    </row>
    <row r="56" spans="1:7" ht="23.1" customHeight="1">
      <c r="A56" s="16" t="str">
        <f>IF('14'!A56="","",'14'!A56)</f>
        <v/>
      </c>
      <c r="B56" s="16">
        <f>IF('14'!B56="","",'14'!B56)</f>
        <v>43</v>
      </c>
      <c r="C56" s="17" t="str">
        <f>IF('14'!C56="","",'14'!C56)</f>
        <v/>
      </c>
      <c r="D56" s="266" t="str">
        <f>IF('14'!D56="","",'14'!D56)</f>
        <v/>
      </c>
      <c r="E56" s="17" t="str">
        <f>IF('14'!E56="","",'14'!E56)</f>
        <v/>
      </c>
      <c r="F56" s="266" t="str">
        <f>IF('14'!F56="","",'14'!F56)</f>
        <v/>
      </c>
      <c r="G56" s="17" t="str">
        <f>IF('14'!G56="","",'14'!G56)</f>
        <v/>
      </c>
    </row>
    <row r="57" spans="1:7" ht="23.1" customHeight="1">
      <c r="A57" s="16" t="str">
        <f>IF('14'!A57="","",'14'!A57)</f>
        <v/>
      </c>
      <c r="B57" s="16">
        <f>IF('14'!B57="","",'14'!B57)</f>
        <v>44</v>
      </c>
      <c r="C57" s="17" t="str">
        <f>IF('14'!C57="","",'14'!C57)</f>
        <v/>
      </c>
      <c r="D57" s="266" t="str">
        <f>IF('14'!D57="","",'14'!D57)</f>
        <v/>
      </c>
      <c r="E57" s="17" t="str">
        <f>IF('14'!E57="","",'14'!E57)</f>
        <v/>
      </c>
      <c r="F57" s="266" t="str">
        <f>IF('14'!F57="","",'14'!F57)</f>
        <v/>
      </c>
      <c r="G57" s="17" t="str">
        <f>IF('14'!G57="","",'14'!G57)</f>
        <v/>
      </c>
    </row>
    <row r="58" spans="1:7" ht="23.1" customHeight="1">
      <c r="A58" s="16" t="str">
        <f>IF('14'!A58="","",'14'!A58)</f>
        <v/>
      </c>
      <c r="B58" s="16">
        <f>IF('14'!B58="","",'14'!B58)</f>
        <v>45</v>
      </c>
      <c r="C58" s="17" t="str">
        <f>IF('14'!C58="","",'14'!C58)</f>
        <v/>
      </c>
      <c r="D58" s="266" t="str">
        <f>IF('14'!D58="","",'14'!D58)</f>
        <v/>
      </c>
      <c r="E58" s="17" t="str">
        <f>IF('14'!E58="","",'14'!E58)</f>
        <v/>
      </c>
      <c r="F58" s="266" t="str">
        <f>IF('14'!F58="","",'14'!F58)</f>
        <v/>
      </c>
      <c r="G58" s="17" t="str">
        <f>IF('14'!G58="","",'14'!G58)</f>
        <v/>
      </c>
    </row>
    <row r="59" spans="1:7" ht="23.1" customHeight="1">
      <c r="A59" s="16" t="str">
        <f>IF('14'!A59="","",'14'!A59)</f>
        <v/>
      </c>
      <c r="B59" s="16">
        <f>IF('14'!B59="","",'14'!B59)</f>
        <v>46</v>
      </c>
      <c r="C59" s="17" t="str">
        <f>IF('14'!C59="","",'14'!C59)</f>
        <v/>
      </c>
      <c r="D59" s="266" t="str">
        <f>IF('14'!D59="","",'14'!D59)</f>
        <v/>
      </c>
      <c r="E59" s="17" t="str">
        <f>IF('14'!E59="","",'14'!E59)</f>
        <v/>
      </c>
      <c r="F59" s="266" t="str">
        <f>IF('14'!F59="","",'14'!F59)</f>
        <v/>
      </c>
      <c r="G59" s="17" t="str">
        <f>IF('14'!G59="","",'14'!G59)</f>
        <v/>
      </c>
    </row>
    <row r="60" spans="1:7" ht="23.1" customHeight="1">
      <c r="A60" s="16" t="str">
        <f>IF('14'!A60="","",'14'!A60)</f>
        <v/>
      </c>
      <c r="B60" s="16">
        <f>IF('14'!B60="","",'14'!B60)</f>
        <v>47</v>
      </c>
      <c r="C60" s="17" t="str">
        <f>IF('14'!C60="","",'14'!C60)</f>
        <v/>
      </c>
      <c r="D60" s="266" t="str">
        <f>IF('14'!D60="","",'14'!D60)</f>
        <v/>
      </c>
      <c r="E60" s="17" t="str">
        <f>IF('14'!E60="","",'14'!E60)</f>
        <v/>
      </c>
      <c r="F60" s="266" t="str">
        <f>IF('14'!F60="","",'14'!F60)</f>
        <v/>
      </c>
      <c r="G60" s="17" t="str">
        <f>IF('14'!G60="","",'14'!G60)</f>
        <v/>
      </c>
    </row>
    <row r="61" spans="1:7" ht="23.1" customHeight="1">
      <c r="A61" s="16" t="str">
        <f>IF('14'!A61="","",'14'!A61)</f>
        <v/>
      </c>
      <c r="B61" s="16">
        <f>IF('14'!B61="","",'14'!B61)</f>
        <v>48</v>
      </c>
      <c r="C61" s="17" t="str">
        <f>IF('14'!C61="","",'14'!C61)</f>
        <v/>
      </c>
      <c r="D61" s="266" t="str">
        <f>IF('14'!D61="","",'14'!D61)</f>
        <v/>
      </c>
      <c r="E61" s="17" t="str">
        <f>IF('14'!E61="","",'14'!E61)</f>
        <v/>
      </c>
      <c r="F61" s="266" t="str">
        <f>IF('14'!F61="","",'14'!F61)</f>
        <v/>
      </c>
      <c r="G61" s="17" t="str">
        <f>IF('14'!G61="","",'14'!G61)</f>
        <v/>
      </c>
    </row>
    <row r="62" spans="1:7" ht="23.1" customHeight="1">
      <c r="A62" s="16" t="str">
        <f>IF('14'!A62="","",'14'!A62)</f>
        <v/>
      </c>
      <c r="B62" s="16">
        <f>IF('14'!B62="","",'14'!B62)</f>
        <v>49</v>
      </c>
      <c r="C62" s="17" t="str">
        <f>IF('14'!C62="","",'14'!C62)</f>
        <v/>
      </c>
      <c r="D62" s="266" t="str">
        <f>IF('14'!D62="","",'14'!D62)</f>
        <v/>
      </c>
      <c r="E62" s="17" t="str">
        <f>IF('14'!E62="","",'14'!E62)</f>
        <v/>
      </c>
      <c r="F62" s="266" t="str">
        <f>IF('14'!F62="","",'14'!F62)</f>
        <v/>
      </c>
      <c r="G62" s="17" t="str">
        <f>IF('14'!G62="","",'14'!G62)</f>
        <v/>
      </c>
    </row>
    <row r="63" spans="1:7" ht="23.1" customHeight="1">
      <c r="A63" s="16" t="str">
        <f>IF('14'!A63="","",'14'!A63)</f>
        <v/>
      </c>
      <c r="B63" s="16">
        <f>IF('14'!B63="","",'14'!B63)</f>
        <v>50</v>
      </c>
      <c r="C63" s="17" t="str">
        <f>IF('14'!C63="","",'14'!C63)</f>
        <v/>
      </c>
      <c r="D63" s="266" t="str">
        <f>IF('14'!D63="","",'14'!D63)</f>
        <v/>
      </c>
      <c r="E63" s="17" t="str">
        <f>IF('14'!E63="","",'14'!E63)</f>
        <v/>
      </c>
      <c r="F63" s="266" t="str">
        <f>IF('14'!F63="","",'14'!F63)</f>
        <v/>
      </c>
      <c r="G63" s="17" t="str">
        <f>IF('14'!G63="","",'14'!G63)</f>
        <v/>
      </c>
    </row>
    <row r="64" spans="1:7" ht="23.1" customHeight="1">
      <c r="A64" s="16" t="str">
        <f>IF('14'!A64="","",'14'!A64)</f>
        <v/>
      </c>
      <c r="B64" s="16">
        <f>IF('14'!B64="","",'14'!B64)</f>
        <v>51</v>
      </c>
      <c r="C64" s="17" t="str">
        <f>IF('14'!C64="","",'14'!C64)</f>
        <v/>
      </c>
      <c r="D64" s="266" t="str">
        <f>IF('14'!D64="","",'14'!D64)</f>
        <v/>
      </c>
      <c r="E64" s="17" t="str">
        <f>IF('14'!E64="","",'14'!E64)</f>
        <v/>
      </c>
      <c r="F64" s="266" t="str">
        <f>IF('14'!F64="","",'14'!F64)</f>
        <v/>
      </c>
      <c r="G64" s="17" t="str">
        <f>IF('14'!G64="","",'14'!G64)</f>
        <v/>
      </c>
    </row>
    <row r="65" spans="1:7" ht="23.1" customHeight="1">
      <c r="A65" s="16" t="str">
        <f>IF('14'!A65="","",'14'!A65)</f>
        <v/>
      </c>
      <c r="B65" s="16">
        <f>IF('14'!B65="","",'14'!B65)</f>
        <v>52</v>
      </c>
      <c r="C65" s="17" t="str">
        <f>IF('14'!C65="","",'14'!C65)</f>
        <v/>
      </c>
      <c r="D65" s="266" t="str">
        <f>IF('14'!D65="","",'14'!D65)</f>
        <v/>
      </c>
      <c r="E65" s="17" t="str">
        <f>IF('14'!E65="","",'14'!E65)</f>
        <v/>
      </c>
      <c r="F65" s="266" t="str">
        <f>IF('14'!F65="","",'14'!F65)</f>
        <v/>
      </c>
      <c r="G65" s="17" t="str">
        <f>IF('14'!G65="","",'14'!G65)</f>
        <v/>
      </c>
    </row>
    <row r="66" spans="1:7" ht="23.1" customHeight="1">
      <c r="A66" s="16" t="str">
        <f>IF('14'!A66="","",'14'!A66)</f>
        <v/>
      </c>
      <c r="B66" s="16">
        <f>IF('14'!B66="","",'14'!B66)</f>
        <v>53</v>
      </c>
      <c r="C66" s="17" t="str">
        <f>IF('14'!C66="","",'14'!C66)</f>
        <v/>
      </c>
      <c r="D66" s="266" t="str">
        <f>IF('14'!D66="","",'14'!D66)</f>
        <v/>
      </c>
      <c r="E66" s="17" t="str">
        <f>IF('14'!E66="","",'14'!E66)</f>
        <v/>
      </c>
      <c r="F66" s="266" t="str">
        <f>IF('14'!F66="","",'14'!F66)</f>
        <v/>
      </c>
      <c r="G66" s="17" t="str">
        <f>IF('14'!G66="","",'14'!G66)</f>
        <v/>
      </c>
    </row>
    <row r="67" spans="1:7" ht="23.1" customHeight="1">
      <c r="A67" s="16" t="str">
        <f>IF('14'!A67="","",'14'!A67)</f>
        <v/>
      </c>
      <c r="B67" s="16">
        <f>IF('14'!B67="","",'14'!B67)</f>
        <v>54</v>
      </c>
      <c r="C67" s="17" t="str">
        <f>IF('14'!C67="","",'14'!C67)</f>
        <v/>
      </c>
      <c r="D67" s="266" t="str">
        <f>IF('14'!D67="","",'14'!D67)</f>
        <v/>
      </c>
      <c r="E67" s="17" t="str">
        <f>IF('14'!E67="","",'14'!E67)</f>
        <v/>
      </c>
      <c r="F67" s="266" t="str">
        <f>IF('14'!F67="","",'14'!F67)</f>
        <v/>
      </c>
      <c r="G67" s="17" t="str">
        <f>IF('14'!G67="","",'14'!G67)</f>
        <v/>
      </c>
    </row>
    <row r="68" spans="1:7" ht="23.1" customHeight="1">
      <c r="A68" s="16" t="str">
        <f>IF('14'!A68="","",'14'!A68)</f>
        <v/>
      </c>
      <c r="B68" s="16">
        <f>IF('14'!B68="","",'14'!B68)</f>
        <v>55</v>
      </c>
      <c r="C68" s="17" t="str">
        <f>IF('14'!C68="","",'14'!C68)</f>
        <v/>
      </c>
      <c r="D68" s="266" t="str">
        <f>IF('14'!D68="","",'14'!D68)</f>
        <v/>
      </c>
      <c r="E68" s="17" t="str">
        <f>IF('14'!E68="","",'14'!E68)</f>
        <v/>
      </c>
      <c r="F68" s="266" t="str">
        <f>IF('14'!F68="","",'14'!F68)</f>
        <v/>
      </c>
      <c r="G68" s="17" t="str">
        <f>IF('14'!G68="","",'14'!G68)</f>
        <v/>
      </c>
    </row>
    <row r="69" spans="1:7" ht="23.1" customHeight="1">
      <c r="A69" s="16" t="str">
        <f>IF('14'!A69="","",'14'!A69)</f>
        <v/>
      </c>
      <c r="B69" s="16">
        <f>IF('14'!B69="","",'14'!B69)</f>
        <v>56</v>
      </c>
      <c r="C69" s="17" t="str">
        <f>IF('14'!C69="","",'14'!C69)</f>
        <v/>
      </c>
      <c r="D69" s="266" t="str">
        <f>IF('14'!D69="","",'14'!D69)</f>
        <v/>
      </c>
      <c r="E69" s="17" t="str">
        <f>IF('14'!E69="","",'14'!E69)</f>
        <v/>
      </c>
      <c r="F69" s="266" t="str">
        <f>IF('14'!F69="","",'14'!F69)</f>
        <v/>
      </c>
      <c r="G69" s="17" t="str">
        <f>IF('14'!G69="","",'14'!G69)</f>
        <v/>
      </c>
    </row>
    <row r="70" spans="1:7" ht="23.1" customHeight="1">
      <c r="A70" s="16" t="str">
        <f>IF('14'!A70="","",'14'!A70)</f>
        <v/>
      </c>
      <c r="B70" s="16">
        <f>IF('14'!B70="","",'14'!B70)</f>
        <v>57</v>
      </c>
      <c r="C70" s="17" t="str">
        <f>IF('14'!C70="","",'14'!C70)</f>
        <v/>
      </c>
      <c r="D70" s="266" t="str">
        <f>IF('14'!D70="","",'14'!D70)</f>
        <v/>
      </c>
      <c r="E70" s="17" t="str">
        <f>IF('14'!E70="","",'14'!E70)</f>
        <v/>
      </c>
      <c r="F70" s="266" t="str">
        <f>IF('14'!F70="","",'14'!F70)</f>
        <v/>
      </c>
      <c r="G70" s="17" t="str">
        <f>IF('14'!G70="","",'14'!G70)</f>
        <v/>
      </c>
    </row>
    <row r="71" spans="1:7" ht="23.1" customHeight="1">
      <c r="A71" s="16" t="str">
        <f>IF('14'!A71="","",'14'!A71)</f>
        <v/>
      </c>
      <c r="B71" s="16">
        <f>IF('14'!B71="","",'14'!B71)</f>
        <v>58</v>
      </c>
      <c r="C71" s="17" t="str">
        <f>IF('14'!C71="","",'14'!C71)</f>
        <v/>
      </c>
      <c r="D71" s="266" t="str">
        <f>IF('14'!D71="","",'14'!D71)</f>
        <v/>
      </c>
      <c r="E71" s="17" t="str">
        <f>IF('14'!E71="","",'14'!E71)</f>
        <v/>
      </c>
      <c r="F71" s="266" t="str">
        <f>IF('14'!F71="","",'14'!F71)</f>
        <v/>
      </c>
      <c r="G71" s="17" t="str">
        <f>IF('14'!G71="","",'14'!G71)</f>
        <v/>
      </c>
    </row>
    <row r="72" spans="1:7" ht="23.1" customHeight="1">
      <c r="A72" s="16" t="str">
        <f>IF('14'!A72="","",'14'!A72)</f>
        <v/>
      </c>
      <c r="B72" s="16">
        <f>IF('14'!B72="","",'14'!B72)</f>
        <v>59</v>
      </c>
      <c r="C72" s="17" t="str">
        <f>IF('14'!C72="","",'14'!C72)</f>
        <v/>
      </c>
      <c r="D72" s="266" t="str">
        <f>IF('14'!D72="","",'14'!D72)</f>
        <v/>
      </c>
      <c r="E72" s="17" t="str">
        <f>IF('14'!E72="","",'14'!E72)</f>
        <v/>
      </c>
      <c r="F72" s="266" t="str">
        <f>IF('14'!F72="","",'14'!F72)</f>
        <v/>
      </c>
      <c r="G72" s="17" t="str">
        <f>IF('14'!G72="","",'14'!G72)</f>
        <v/>
      </c>
    </row>
    <row r="73" spans="1:7" ht="23.1" customHeight="1">
      <c r="A73" s="16" t="str">
        <f>IF('14'!A73="","",'14'!A73)</f>
        <v/>
      </c>
      <c r="B73" s="16">
        <f>IF('14'!B73="","",'14'!B73)</f>
        <v>60</v>
      </c>
      <c r="C73" s="17" t="str">
        <f>IF('14'!C73="","",'14'!C73)</f>
        <v/>
      </c>
      <c r="D73" s="266" t="str">
        <f>IF('14'!D73="","",'14'!D73)</f>
        <v/>
      </c>
      <c r="E73" s="17" t="str">
        <f>IF('14'!E73="","",'14'!E73)</f>
        <v/>
      </c>
      <c r="F73" s="266" t="str">
        <f>IF('14'!F73="","",'14'!F73)</f>
        <v/>
      </c>
      <c r="G73" s="17" t="str">
        <f>IF('14'!G73="","",'14'!G73)</f>
        <v/>
      </c>
    </row>
  </sheetData>
  <dataConsolidate link="1"/>
  <mergeCells count="6">
    <mergeCell ref="G12:G13"/>
    <mergeCell ref="D8:F8"/>
    <mergeCell ref="A12:A13"/>
    <mergeCell ref="B12:B13"/>
    <mergeCell ref="C12:D12"/>
    <mergeCell ref="E12:F12"/>
  </mergeCells>
  <phoneticPr fontId="10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horizontalDpi="4294967293" verticalDpi="4294967292" r:id="rId1"/>
  <headerFooter alignWithMargins="0">
    <oddHeader>&amp;R&amp;P/&amp;N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30DC2-C291-4971-81FF-DE0EFFC07B5A}">
  <sheetPr codeName="Sheet7">
    <tabColor rgb="FF0070C0"/>
  </sheetPr>
  <dimension ref="A4:J16"/>
  <sheetViews>
    <sheetView view="pageBreakPreview" topLeftCell="A4" zoomScale="60" zoomScaleNormal="100" workbookViewId="0">
      <selection activeCell="D14" sqref="D14:E14"/>
    </sheetView>
  </sheetViews>
  <sheetFormatPr defaultColWidth="8.88671875" defaultRowHeight="30" customHeight="1"/>
  <cols>
    <col min="1" max="1" width="8.88671875" style="96"/>
    <col min="2" max="2" width="9.88671875" style="95" bestFit="1" customWidth="1"/>
    <col min="3" max="3" width="8.88671875" style="95"/>
    <col min="4" max="4" width="18.33203125" style="99" customWidth="1"/>
    <col min="5" max="5" width="13.33203125" style="95" bestFit="1" customWidth="1"/>
    <col min="6" max="16384" width="8.88671875" style="95"/>
  </cols>
  <sheetData>
    <row r="4" spans="1:10" ht="30" customHeight="1">
      <c r="A4" s="356" t="str">
        <f>'11_V70'!C7</f>
        <v>2026 Fuji Horse Show Autumn Grand Prix</v>
      </c>
      <c r="B4" s="356"/>
      <c r="C4" s="356"/>
      <c r="D4" s="356"/>
      <c r="E4" s="356"/>
      <c r="F4" s="356"/>
      <c r="G4" s="356"/>
      <c r="H4" s="356"/>
      <c r="I4" s="356"/>
      <c r="J4" s="356"/>
    </row>
    <row r="6" spans="1:10" ht="30" customHeight="1">
      <c r="A6" s="96" t="s">
        <v>42</v>
      </c>
      <c r="B6" s="101">
        <f>'15_中D'!B8</f>
        <v>15</v>
      </c>
      <c r="C6" s="95" t="s">
        <v>43</v>
      </c>
      <c r="D6" s="98" t="str">
        <f>'15_中D'!D8:F8</f>
        <v>オータム杯</v>
      </c>
    </row>
    <row r="8" spans="1:10" ht="30" customHeight="1">
      <c r="C8" s="95" t="s">
        <v>85</v>
      </c>
      <c r="E8" s="100">
        <v>0.46180555555555558</v>
      </c>
    </row>
    <row r="9" spans="1:10" ht="30" customHeight="1">
      <c r="C9" s="95" t="s">
        <v>86</v>
      </c>
      <c r="E9" s="100">
        <v>0.47222222222222221</v>
      </c>
      <c r="F9" s="95" t="s">
        <v>87</v>
      </c>
    </row>
    <row r="11" spans="1:10" ht="30" customHeight="1">
      <c r="C11" s="357" t="s">
        <v>88</v>
      </c>
      <c r="D11" s="357"/>
      <c r="E11" s="357"/>
      <c r="F11" s="357"/>
      <c r="G11" s="357"/>
    </row>
    <row r="12" spans="1:10" ht="30" customHeight="1">
      <c r="C12" s="95" t="s">
        <v>89</v>
      </c>
      <c r="D12" s="155">
        <v>300000</v>
      </c>
      <c r="F12" s="99"/>
      <c r="G12" s="99"/>
    </row>
    <row r="13" spans="1:10" ht="30" customHeight="1">
      <c r="C13" s="95" t="s">
        <v>90</v>
      </c>
      <c r="D13" s="155">
        <v>160000</v>
      </c>
      <c r="F13" s="99"/>
      <c r="G13" s="99"/>
    </row>
    <row r="14" spans="1:10" ht="30" customHeight="1">
      <c r="C14" s="95" t="s">
        <v>91</v>
      </c>
      <c r="D14" s="155">
        <v>80000</v>
      </c>
      <c r="G14" s="99"/>
    </row>
    <row r="15" spans="1:10" ht="30" customHeight="1">
      <c r="C15" s="95" t="s">
        <v>92</v>
      </c>
      <c r="D15" s="155">
        <v>50000</v>
      </c>
      <c r="G15" s="99"/>
    </row>
    <row r="16" spans="1:10" ht="30" customHeight="1">
      <c r="C16" s="95" t="s">
        <v>93</v>
      </c>
      <c r="D16" s="156">
        <v>30000</v>
      </c>
      <c r="E16" s="98"/>
      <c r="F16" s="98"/>
      <c r="G16" s="98"/>
    </row>
  </sheetData>
  <mergeCells count="2">
    <mergeCell ref="A4:J4"/>
    <mergeCell ref="C11:G11"/>
  </mergeCells>
  <phoneticPr fontId="10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>
    <tabColor rgb="FF0070C0"/>
  </sheetPr>
  <dimension ref="A1:G88"/>
  <sheetViews>
    <sheetView view="pageBreakPreview" topLeftCell="A6" zoomScaleNormal="100" zoomScaleSheetLayoutView="100" workbookViewId="0">
      <selection activeCell="G17" sqref="G17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41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'15'!C2</f>
        <v>0</v>
      </c>
      <c r="D6" s="3"/>
      <c r="F6" s="4" t="s">
        <v>2</v>
      </c>
      <c r="G6" s="6">
        <v>46277</v>
      </c>
    </row>
    <row r="7" spans="1:7" ht="24" customHeight="1">
      <c r="A7" s="7"/>
      <c r="B7" s="4" t="s">
        <v>4</v>
      </c>
      <c r="C7" s="8" t="str">
        <f>'15'!C3</f>
        <v>2026 Fuji Horse Show Autumn Grand Prix</v>
      </c>
      <c r="D7" s="9"/>
      <c r="E7" s="9"/>
      <c r="F7" s="9"/>
      <c r="G7" s="346" t="s">
        <v>732</v>
      </c>
    </row>
    <row r="8" spans="1:7" ht="21" customHeight="1">
      <c r="A8" s="10" t="s">
        <v>42</v>
      </c>
      <c r="B8" s="68">
        <f>'15'!C4</f>
        <v>15</v>
      </c>
      <c r="C8" s="4" t="s">
        <v>43</v>
      </c>
      <c r="D8" s="349" t="str">
        <f>'15'!F4</f>
        <v>オータム杯</v>
      </c>
      <c r="E8" s="349"/>
      <c r="F8" s="349"/>
    </row>
    <row r="9" spans="1:7" ht="18.75" customHeight="1">
      <c r="C9" s="11" t="s">
        <v>11</v>
      </c>
      <c r="D9" s="264">
        <f>'15'!D5</f>
        <v>5</v>
      </c>
      <c r="E9" s="4" t="s">
        <v>9</v>
      </c>
      <c r="F9" s="267" t="str">
        <f>'15'!K4</f>
        <v>中障害D</v>
      </c>
    </row>
    <row r="10" spans="1:7" ht="21" customHeight="1">
      <c r="A10" s="12" t="s">
        <v>44</v>
      </c>
      <c r="B10" s="12"/>
      <c r="C10" s="12"/>
      <c r="D10" s="265" t="str">
        <f>'15'!D6</f>
        <v>-</v>
      </c>
      <c r="E10" s="4" t="s">
        <v>12</v>
      </c>
      <c r="F10" s="268" t="str">
        <f>'15'!F5</f>
        <v>★★★</v>
      </c>
      <c r="G10" s="13" t="s">
        <v>45</v>
      </c>
    </row>
    <row r="11" spans="1:7" ht="5.0999999999999996" customHeight="1"/>
    <row r="12" spans="1:7" ht="15" customHeight="1">
      <c r="A12" s="350" t="s">
        <v>46</v>
      </c>
      <c r="B12" s="352" t="s">
        <v>47</v>
      </c>
      <c r="C12" s="354" t="s">
        <v>48</v>
      </c>
      <c r="D12" s="355"/>
      <c r="E12" s="347" t="s">
        <v>49</v>
      </c>
      <c r="F12" s="347"/>
      <c r="G12" s="347" t="s">
        <v>50</v>
      </c>
    </row>
    <row r="13" spans="1:7" ht="24" customHeight="1">
      <c r="A13" s="351"/>
      <c r="B13" s="353"/>
      <c r="C13" s="14" t="s">
        <v>53</v>
      </c>
      <c r="D13" s="15" t="s">
        <v>54</v>
      </c>
      <c r="E13" s="15" t="s">
        <v>55</v>
      </c>
      <c r="F13" s="15" t="s">
        <v>56</v>
      </c>
      <c r="G13" s="348"/>
    </row>
    <row r="14" spans="1:7" s="19" customFormat="1" ht="23.1" customHeight="1">
      <c r="A14" s="16" t="str">
        <f>IF('15'!A14="","",'15'!A14)</f>
        <v/>
      </c>
      <c r="B14" s="16">
        <f>IF('15'!B14="","",'15'!B14)</f>
        <v>1</v>
      </c>
      <c r="C14" s="17" t="str">
        <f>IF('15'!C14="","",'15'!C14)</f>
        <v>川口　飛鳥</v>
      </c>
      <c r="D14" s="266">
        <f>IF('15'!D14="","",'15'!D14)</f>
        <v>27498</v>
      </c>
      <c r="E14" s="17" t="str">
        <f>IF('15'!E14="","",'15'!E14)</f>
        <v>ハリーポッター・D</v>
      </c>
      <c r="F14" s="266">
        <f>IF('15'!F14="","",'15'!F14)</f>
        <v>57474</v>
      </c>
      <c r="G14" s="17" t="str">
        <f>IF('15'!G14="","",'15'!G14)</f>
        <v>ライディングクラブフジファーム</v>
      </c>
    </row>
    <row r="15" spans="1:7" s="19" customFormat="1" ht="23.1" customHeight="1">
      <c r="A15" s="16" t="str">
        <f>IF('15'!A15="","",'15'!A15)</f>
        <v/>
      </c>
      <c r="B15" s="16">
        <f>IF('15'!B15="","",'15'!B15)</f>
        <v>2</v>
      </c>
      <c r="C15" s="17" t="str">
        <f>IF('15'!C15="","",'15'!C15)</f>
        <v>林　義昌</v>
      </c>
      <c r="D15" s="266">
        <f>IF('15'!D15="","",'15'!D15)</f>
        <v>18717</v>
      </c>
      <c r="E15" s="17" t="str">
        <f>IF('15'!E15="","",'15'!E15)</f>
        <v>ラストドラフト</v>
      </c>
      <c r="F15" s="266">
        <f>IF('15'!F15="","",'15'!F15)</f>
        <v>61372</v>
      </c>
      <c r="G15" s="17" t="str">
        <f>IF('15'!G15="","",'15'!G15)</f>
        <v>北総乗馬クラブ</v>
      </c>
    </row>
    <row r="16" spans="1:7" s="19" customFormat="1" ht="23.1" customHeight="1">
      <c r="A16" s="16" t="str">
        <f>IF('15'!A16="","",'15'!A16)</f>
        <v/>
      </c>
      <c r="B16" s="16">
        <f>IF('15'!B16="","",'15'!B16)</f>
        <v>3</v>
      </c>
      <c r="C16" s="17" t="str">
        <f>IF('15'!C16="","",'15'!C16)</f>
        <v>島貫　咲雅</v>
      </c>
      <c r="D16" s="266">
        <f>IF('15'!D16="","",'15'!D16)</f>
        <v>26053</v>
      </c>
      <c r="E16" s="17" t="str">
        <f>IF('15'!E16="","",'15'!E16)</f>
        <v>フォンガンツ</v>
      </c>
      <c r="F16" s="266">
        <f>IF('15'!F16="","",'15'!F16)</f>
        <v>61561</v>
      </c>
      <c r="G16" s="17" t="str">
        <f>IF('15'!G16="","",'15'!G16)</f>
        <v>岡本ライディングクラブJAPAN</v>
      </c>
    </row>
    <row r="17" spans="1:7" s="19" customFormat="1" ht="23.1" customHeight="1">
      <c r="A17" s="16" t="str">
        <f>IF('15'!A17="","",'15'!A17)</f>
        <v/>
      </c>
      <c r="B17" s="16">
        <f>IF('15'!B17="","",'15'!B17)</f>
        <v>4</v>
      </c>
      <c r="C17" s="17" t="str">
        <f>IF('15'!C17="","",'15'!C17)</f>
        <v>溝口　莉沙</v>
      </c>
      <c r="D17" s="266">
        <f>IF('15'!D17="","",'15'!D17)</f>
        <v>31991</v>
      </c>
      <c r="E17" s="17" t="str">
        <f>IF('15'!E17="","",'15'!E17)</f>
        <v>ハーベスト</v>
      </c>
      <c r="F17" s="266">
        <f>IF('15'!F17="","",'15'!F17)</f>
        <v>57212</v>
      </c>
      <c r="G17" s="17" t="str">
        <f>IF('15'!G17="","",'15'!G17)</f>
        <v>ライディングクラブフジファーム</v>
      </c>
    </row>
    <row r="18" spans="1:7" s="19" customFormat="1" ht="23.1" customHeight="1">
      <c r="A18" s="16" t="str">
        <f>IF('15'!A18="","",'15'!A18)</f>
        <v/>
      </c>
      <c r="B18" s="16">
        <f>IF('15'!B18="","",'15'!B18)</f>
        <v>5</v>
      </c>
      <c r="C18" s="17" t="str">
        <f>IF('15'!C18="","",'15'!C18)</f>
        <v>堀田　駿</v>
      </c>
      <c r="D18" s="266">
        <f>IF('15'!D18="","",'15'!D18)</f>
        <v>28566</v>
      </c>
      <c r="E18" s="17" t="str">
        <f>IF('15'!E18="","",'15'!E18)</f>
        <v>ファンボーイHFP</v>
      </c>
      <c r="F18" s="266">
        <f>IF('15'!F18="","",'15'!F18)</f>
        <v>61794</v>
      </c>
      <c r="G18" s="17" t="str">
        <f>IF('15'!G18="","",'15'!G18)</f>
        <v>Horsequad</v>
      </c>
    </row>
    <row r="19" spans="1:7" s="19" customFormat="1" ht="23.1" customHeight="1">
      <c r="A19" s="16" t="str">
        <f>IF('15'!A19="","",'15'!A19)</f>
        <v/>
      </c>
      <c r="B19" s="16">
        <f>IF('15'!B19="","",'15'!B19)</f>
        <v>6</v>
      </c>
      <c r="C19" s="17" t="str">
        <f>IF('15'!C19="","",'15'!C19)</f>
        <v>増山　誠倫</v>
      </c>
      <c r="D19" s="266">
        <f>IF('15'!D19="","",'15'!D19)</f>
        <v>8082</v>
      </c>
      <c r="E19" s="17" t="str">
        <f>IF('15'!E19="","",'15'!E19)</f>
        <v>シャトレ</v>
      </c>
      <c r="F19" s="266">
        <f>IF('15'!F19="","",'15'!F19)</f>
        <v>61681</v>
      </c>
      <c r="G19" s="17" t="str">
        <f>IF('15'!G19="","",'15'!G19)</f>
        <v>小山乗馬クラブ</v>
      </c>
    </row>
    <row r="20" spans="1:7" s="19" customFormat="1" ht="23.1" customHeight="1">
      <c r="A20" s="16" t="str">
        <f>IF('15'!A20="","",'15'!A20)</f>
        <v/>
      </c>
      <c r="B20" s="16">
        <f>IF('15'!B20="","",'15'!B20)</f>
        <v>7</v>
      </c>
      <c r="C20" s="17" t="str">
        <f>IF('15'!C20="","",'15'!C20)</f>
        <v>海和　功樹</v>
      </c>
      <c r="D20" s="266">
        <f>IF('15'!D20="","",'15'!D20)</f>
        <v>32525</v>
      </c>
      <c r="E20" s="17" t="str">
        <f>IF('15'!E20="","",'15'!E20)</f>
        <v>デイリー4</v>
      </c>
      <c r="F20" s="266">
        <f>IF('15'!F20="","",'15'!F20)</f>
        <v>61841</v>
      </c>
      <c r="G20" s="17" t="str">
        <f>IF('15'!G20="","",'15'!G20)</f>
        <v>やまがた乗馬クラブ</v>
      </c>
    </row>
    <row r="21" spans="1:7" s="19" customFormat="1" ht="23.1" customHeight="1">
      <c r="A21" s="16" t="str">
        <f>IF('15'!A21="","",'15'!A21)</f>
        <v/>
      </c>
      <c r="B21" s="16">
        <f>IF('15'!B21="","",'15'!B21)</f>
        <v>8</v>
      </c>
      <c r="C21" s="17" t="str">
        <f>IF('15'!C21="","",'15'!C21)</f>
        <v>岡本　雅海</v>
      </c>
      <c r="D21" s="266">
        <f>IF('15'!D21="","",'15'!D21)</f>
        <v>19572</v>
      </c>
      <c r="E21" s="17" t="str">
        <f>IF('15'!E21="","",'15'!E21)</f>
        <v>ココ</v>
      </c>
      <c r="F21" s="266">
        <f>IF('15'!F21="","",'15'!F21)</f>
        <v>59233</v>
      </c>
      <c r="G21" s="17" t="str">
        <f>IF('15'!G21="","",'15'!G21)</f>
        <v>岡本ライディングクラブJAPAN</v>
      </c>
    </row>
    <row r="22" spans="1:7" s="19" customFormat="1" ht="23.1" customHeight="1">
      <c r="A22" s="16" t="str">
        <f>IF('15'!A22="","",'15'!A22)</f>
        <v/>
      </c>
      <c r="B22" s="16">
        <f>IF('15'!B22="","",'15'!B22)</f>
        <v>9</v>
      </c>
      <c r="C22" s="17" t="str">
        <f>IF('15'!C22="","",'15'!C22)</f>
        <v>木下　仁</v>
      </c>
      <c r="D22" s="266">
        <f>IF('15'!D22="","",'15'!D22)</f>
        <v>13449</v>
      </c>
      <c r="E22" s="17" t="str">
        <f>IF('15'!E22="","",'15'!E22)</f>
        <v>マデスカ</v>
      </c>
      <c r="F22" s="266">
        <f>IF('15'!F22="","",'15'!F22)</f>
        <v>60944</v>
      </c>
      <c r="G22" s="17" t="str">
        <f>IF('15'!G22="","",'15'!G22)</f>
        <v>北駿ホースヴィラ</v>
      </c>
    </row>
    <row r="23" spans="1:7" s="19" customFormat="1" ht="23.1" customHeight="1">
      <c r="A23" s="16" t="str">
        <f>IF('15'!A23="","",'15'!A23)</f>
        <v/>
      </c>
      <c r="B23" s="16">
        <f>IF('15'!B23="","",'15'!B23)</f>
        <v>10</v>
      </c>
      <c r="C23" s="17" t="str">
        <f>IF('15'!C23="","",'15'!C23)</f>
        <v>貝原　大地</v>
      </c>
      <c r="D23" s="266">
        <f>IF('15'!D23="","",'15'!D23)</f>
        <v>25662</v>
      </c>
      <c r="E23" s="17" t="str">
        <f>IF('15'!E23="","",'15'!E23)</f>
        <v>ジェフティDGK</v>
      </c>
      <c r="F23" s="266">
        <f>IF('15'!F23="","",'15'!F23)</f>
        <v>60576</v>
      </c>
      <c r="G23" s="17" t="str">
        <f>IF('15'!G23="","",'15'!G23)</f>
        <v>八王子乗馬倶楽部</v>
      </c>
    </row>
    <row r="24" spans="1:7" s="19" customFormat="1" ht="23.1" customHeight="1">
      <c r="A24" s="16" t="str">
        <f>IF('15'!A24="","",'15'!A24)</f>
        <v/>
      </c>
      <c r="B24" s="16">
        <f>IF('15'!B24="","",'15'!B24)</f>
        <v>11</v>
      </c>
      <c r="C24" s="17" t="str">
        <f>IF('15'!C24="","",'15'!C24)</f>
        <v>増田　惺太</v>
      </c>
      <c r="D24" s="266">
        <f>IF('15'!D24="","",'15'!D24)</f>
        <v>33558</v>
      </c>
      <c r="E24" s="17" t="str">
        <f>IF('15'!E24="","",'15'!E24)</f>
        <v>ユイマヴェーラ</v>
      </c>
      <c r="F24" s="266">
        <f>IF('15'!F24="","",'15'!F24)</f>
        <v>58736</v>
      </c>
      <c r="G24" s="17" t="str">
        <f>IF('15'!G24="","",'15'!G24)</f>
        <v>静岡乗馬クラブ</v>
      </c>
    </row>
    <row r="25" spans="1:7" s="19" customFormat="1" ht="23.1" customHeight="1">
      <c r="A25" s="16" t="str">
        <f>IF('15'!A25="","",'15'!A25)</f>
        <v/>
      </c>
      <c r="B25" s="16">
        <f>IF('15'!B25="","",'15'!B25)</f>
        <v>12</v>
      </c>
      <c r="C25" s="17" t="str">
        <f>IF('15'!C25="","",'15'!C25)</f>
        <v>増山　久佳</v>
      </c>
      <c r="D25" s="266">
        <f>IF('15'!D25="","",'15'!D25)</f>
        <v>10571</v>
      </c>
      <c r="E25" s="17" t="str">
        <f>IF('15'!E25="","",'15'!E25)</f>
        <v>エルピス</v>
      </c>
      <c r="F25" s="266">
        <f>IF('15'!F25="","",'15'!F25)</f>
        <v>61781</v>
      </c>
      <c r="G25" s="17" t="str">
        <f>IF('15'!G25="","",'15'!G25)</f>
        <v>小山乗馬クラブ</v>
      </c>
    </row>
    <row r="26" spans="1:7" s="19" customFormat="1" ht="23.1" customHeight="1">
      <c r="A26" s="16" t="str">
        <f>IF('15'!A26="","",'15'!A26)</f>
        <v/>
      </c>
      <c r="B26" s="16">
        <f>IF('15'!B26="","",'15'!B26)</f>
        <v>13</v>
      </c>
      <c r="C26" s="17" t="str">
        <f>IF('15'!C26="","",'15'!C26)</f>
        <v>藤田　充</v>
      </c>
      <c r="D26" s="266">
        <f>IF('15'!D26="","",'15'!D26)</f>
        <v>21313</v>
      </c>
      <c r="E26" s="17" t="str">
        <f>IF('15'!E26="","",'15'!E26)</f>
        <v>AJ・ナイト</v>
      </c>
      <c r="F26" s="266">
        <f>IF('15'!F26="","",'15'!F26)</f>
        <v>53892</v>
      </c>
      <c r="G26" s="17" t="str">
        <f>IF('15'!G26="","",'15'!G26)</f>
        <v>フジホースライディングクラブ</v>
      </c>
    </row>
    <row r="27" spans="1:7" s="19" customFormat="1" ht="23.1" customHeight="1">
      <c r="A27" s="16" t="str">
        <f>IF('15'!A27="","",'15'!A27)</f>
        <v/>
      </c>
      <c r="B27" s="16">
        <f>IF('15'!B27="","",'15'!B27)</f>
        <v>14</v>
      </c>
      <c r="C27" s="17" t="str">
        <f>IF('15'!C27="","",'15'!C27)</f>
        <v>千葉　奈鶴</v>
      </c>
      <c r="D27" s="266">
        <f>IF('15'!D27="","",'15'!D27)</f>
        <v>20359</v>
      </c>
      <c r="E27" s="17" t="str">
        <f>IF('15'!E27="","",'15'!E27)</f>
        <v>イクスプロージョン</v>
      </c>
      <c r="F27" s="266">
        <f>IF('15'!F27="","",'15'!F27)</f>
        <v>61773</v>
      </c>
      <c r="G27" s="17" t="str">
        <f>IF('15'!G27="","",'15'!G27)</f>
        <v>ライディングクラブモーヴァン</v>
      </c>
    </row>
    <row r="28" spans="1:7" s="19" customFormat="1" ht="23.1" customHeight="1">
      <c r="A28" s="16" t="str">
        <f>IF('15'!A28="","",'15'!A28)</f>
        <v/>
      </c>
      <c r="B28" s="16">
        <f>IF('15'!B28="","",'15'!B28)</f>
        <v>15</v>
      </c>
      <c r="C28" s="17" t="str">
        <f>IF('15'!C28="","",'15'!C28)</f>
        <v>中垣　真歩</v>
      </c>
      <c r="D28" s="266">
        <f>IF('15'!D28="","",'15'!D28)</f>
        <v>33872</v>
      </c>
      <c r="E28" s="17" t="str">
        <f>IF('15'!E28="","",'15'!E28)</f>
        <v>スーパーカブHQD</v>
      </c>
      <c r="F28" s="266">
        <f>IF('15'!F28="","",'15'!F28)</f>
        <v>60703</v>
      </c>
      <c r="G28" s="17" t="str">
        <f>IF('15'!G28="","",'15'!G28)</f>
        <v>Horsequad</v>
      </c>
    </row>
    <row r="29" spans="1:7" s="19" customFormat="1" ht="23.1" customHeight="1">
      <c r="A29" s="16" t="str">
        <f>IF('15'!A29="","",'15'!A29)</f>
        <v/>
      </c>
      <c r="B29" s="16">
        <f>IF('15'!B29="","",'15'!B29)</f>
        <v>16</v>
      </c>
      <c r="C29" s="17" t="str">
        <f>IF('15'!C29="","",'15'!C29)</f>
        <v>鈴木　良明</v>
      </c>
      <c r="D29" s="266">
        <f>IF('15'!D29="","",'15'!D29)</f>
        <v>26433</v>
      </c>
      <c r="E29" s="17" t="str">
        <f>IF('15'!E29="","",'15'!E29)</f>
        <v>フォルティス</v>
      </c>
      <c r="F29" s="266">
        <f>IF('15'!F29="","",'15'!F29)</f>
        <v>61240</v>
      </c>
      <c r="G29" s="17" t="str">
        <f>IF('15'!G29="","",'15'!G29)</f>
        <v>乗馬クラブクレイン神奈川</v>
      </c>
    </row>
    <row r="30" spans="1:7" s="19" customFormat="1" ht="23.1" customHeight="1">
      <c r="A30" s="16" t="str">
        <f>IF('15'!A30="","",'15'!A30)</f>
        <v/>
      </c>
      <c r="B30" s="16">
        <f>IF('15'!B30="","",'15'!B30)</f>
        <v>17</v>
      </c>
      <c r="C30" s="17" t="str">
        <f>IF('15'!C30="","",'15'!C30)</f>
        <v>渡部　遼大</v>
      </c>
      <c r="D30" s="266">
        <f>IF('15'!D30="","",'15'!D30)</f>
        <v>33929</v>
      </c>
      <c r="E30" s="17" t="str">
        <f>IF('15'!E30="","",'15'!E30)</f>
        <v>キャリーズセブン</v>
      </c>
      <c r="F30" s="266">
        <f>IF('15'!F30="","",'15'!F30)</f>
        <v>58085</v>
      </c>
      <c r="G30" s="17" t="str">
        <f>IF('15'!G30="","",'15'!G30)</f>
        <v>北総乗馬クラブ</v>
      </c>
    </row>
    <row r="31" spans="1:7" s="19" customFormat="1" ht="23.1" customHeight="1">
      <c r="A31" s="16" t="str">
        <f>IF('15'!A31="","",'15'!A31)</f>
        <v/>
      </c>
      <c r="B31" s="16">
        <f>IF('15'!B31="","",'15'!B31)</f>
        <v>18</v>
      </c>
      <c r="C31" s="17" t="str">
        <f>IF('15'!C31="","",'15'!C31)</f>
        <v>溝口　莉沙</v>
      </c>
      <c r="D31" s="266">
        <f>IF('15'!D31="","",'15'!D31)</f>
        <v>31991</v>
      </c>
      <c r="E31" s="17" t="str">
        <f>IF('15'!E31="","",'15'!E31)</f>
        <v>グレイスドリーム</v>
      </c>
      <c r="F31" s="266">
        <f>IF('15'!F31="","",'15'!F31)</f>
        <v>60825</v>
      </c>
      <c r="G31" s="17" t="str">
        <f>IF('15'!G31="","",'15'!G31)</f>
        <v>オリエント馬事センター</v>
      </c>
    </row>
    <row r="32" spans="1:7" s="19" customFormat="1" ht="23.1" customHeight="1">
      <c r="A32" s="16" t="str">
        <f>IF('15'!A32="","",'15'!A32)</f>
        <v/>
      </c>
      <c r="B32" s="16">
        <f>IF('15'!B32="","",'15'!B32)</f>
        <v>19</v>
      </c>
      <c r="C32" s="17" t="str">
        <f>IF('15'!C32="","",'15'!C32)</f>
        <v>横田　真吾</v>
      </c>
      <c r="D32" s="266">
        <f>IF('15'!D32="","",'15'!D32)</f>
        <v>11693</v>
      </c>
      <c r="E32" s="17" t="str">
        <f>IF('15'!E32="","",'15'!E32)</f>
        <v>カスカヴェル</v>
      </c>
      <c r="F32" s="266">
        <f>IF('15'!F32="","",'15'!F32)</f>
        <v>57969</v>
      </c>
      <c r="G32" s="17" t="str">
        <f>IF('15'!G32="","",'15'!G32)</f>
        <v>ペガサス乗馬クラブ</v>
      </c>
    </row>
    <row r="33" spans="1:7" s="19" customFormat="1" ht="23.1" customHeight="1">
      <c r="A33" s="16" t="str">
        <f>IF('15'!A33="","",'15'!A33)</f>
        <v/>
      </c>
      <c r="B33" s="16">
        <f>IF('15'!B33="","",'15'!B33)</f>
        <v>20</v>
      </c>
      <c r="C33" s="17" t="str">
        <f>IF('15'!C33="","",'15'!C33)</f>
        <v>藤田　魁馬</v>
      </c>
      <c r="D33" s="266">
        <f>IF('15'!D33="","",'15'!D33)</f>
        <v>31537</v>
      </c>
      <c r="E33" s="17" t="str">
        <f>IF('15'!E33="","",'15'!E33)</f>
        <v>フリージア</v>
      </c>
      <c r="F33" s="266">
        <f>IF('15'!F33="","",'15'!F33)</f>
        <v>61051</v>
      </c>
      <c r="G33" s="17" t="str">
        <f>IF('15'!G33="","",'15'!G33)</f>
        <v>フジホースライディングクラブ</v>
      </c>
    </row>
    <row r="34" spans="1:7" s="19" customFormat="1" ht="23.1" customHeight="1">
      <c r="A34" s="16" t="str">
        <f>IF('15'!A34="","",'15'!A34)</f>
        <v/>
      </c>
      <c r="B34" s="16">
        <f>IF('15'!B34="","",'15'!B34)</f>
        <v>21</v>
      </c>
      <c r="C34" s="17" t="str">
        <f>IF('15'!C34="","",'15'!C34)</f>
        <v>本間　唯純</v>
      </c>
      <c r="D34" s="266">
        <f>IF('15'!D34="","",'15'!D34)</f>
        <v>14546</v>
      </c>
      <c r="E34" s="17" t="str">
        <f>IF('15'!E34="","",'15'!E34)</f>
        <v>アーチー</v>
      </c>
      <c r="F34" s="266">
        <f>IF('15'!F34="","",'15'!F34)</f>
        <v>60834</v>
      </c>
      <c r="G34" s="17" t="str">
        <f>IF('15'!G34="","",'15'!G34)</f>
        <v>乗馬クラブクレイン神奈川</v>
      </c>
    </row>
    <row r="35" spans="1:7" s="19" customFormat="1" ht="23.1" customHeight="1">
      <c r="A35" s="16" t="str">
        <f>IF('15'!A35="","",'15'!A35)</f>
        <v/>
      </c>
      <c r="B35" s="16">
        <f>IF('15'!B35="","",'15'!B35)</f>
        <v>22</v>
      </c>
      <c r="C35" s="17" t="str">
        <f>IF('15'!C35="","",'15'!C35)</f>
        <v>宮井　絢佳</v>
      </c>
      <c r="D35" s="266">
        <f>IF('15'!D35="","",'15'!D35)</f>
        <v>28295</v>
      </c>
      <c r="E35" s="17" t="str">
        <f>IF('15'!E35="","",'15'!E35)</f>
        <v>ドムヘァ</v>
      </c>
      <c r="F35" s="266">
        <f>IF('15'!F35="","",'15'!F35)</f>
        <v>59349</v>
      </c>
      <c r="G35" s="17" t="str">
        <f>IF('15'!G35="","",'15'!G35)</f>
        <v>riding team Regroup</v>
      </c>
    </row>
    <row r="36" spans="1:7" s="19" customFormat="1" ht="23.1" customHeight="1">
      <c r="A36" s="16" t="str">
        <f>IF('15'!A36="","",'15'!A36)</f>
        <v/>
      </c>
      <c r="B36" s="16">
        <f>IF('15'!B36="","",'15'!B36)</f>
        <v>23</v>
      </c>
      <c r="C36" s="17" t="str">
        <f>IF('15'!C36="","",'15'!C36)</f>
        <v>二位関　奏人</v>
      </c>
      <c r="D36" s="266">
        <f>IF('15'!D36="","",'15'!D36)</f>
        <v>32526</v>
      </c>
      <c r="E36" s="17" t="str">
        <f>IF('15'!E36="","",'15'!E36)</f>
        <v>ビリーカート</v>
      </c>
      <c r="F36" s="266">
        <f>IF('15'!F36="","",'15'!F36)</f>
        <v>57857</v>
      </c>
      <c r="G36" s="17" t="str">
        <f>IF('15'!G36="","",'15'!G36)</f>
        <v>やまがた乗馬クラブ</v>
      </c>
    </row>
    <row r="37" spans="1:7" s="19" customFormat="1" ht="23.1" customHeight="1">
      <c r="A37" s="16" t="str">
        <f>IF('15'!A37="","",'15'!A37)</f>
        <v/>
      </c>
      <c r="B37" s="16">
        <f>IF('15'!B37="","",'15'!B37)</f>
        <v>24</v>
      </c>
      <c r="C37" s="17" t="str">
        <f>IF('15'!C37="","",'15'!C37)</f>
        <v>渡邊　麻夏</v>
      </c>
      <c r="D37" s="266">
        <f>IF('15'!D37="","",'15'!D37)</f>
        <v>29985</v>
      </c>
      <c r="E37" s="17" t="str">
        <f>IF('15'!E37="","",'15'!E37)</f>
        <v>アリス</v>
      </c>
      <c r="F37" s="266">
        <f>IF('15'!F37="","",'15'!F37)</f>
        <v>57710</v>
      </c>
      <c r="G37" s="17" t="str">
        <f>IF('15'!G37="","",'15'!G37)</f>
        <v>筑波スカイラインスティーブル</v>
      </c>
    </row>
    <row r="38" spans="1:7" s="19" customFormat="1" ht="23.1" customHeight="1">
      <c r="A38" s="16" t="str">
        <f>IF('15'!A38="","",'15'!A38)</f>
        <v/>
      </c>
      <c r="B38" s="16">
        <f>IF('15'!B38="","",'15'!B38)</f>
        <v>25</v>
      </c>
      <c r="C38" s="17" t="str">
        <f>IF('15'!C38="","",'15'!C38)</f>
        <v>藤田　麻夢</v>
      </c>
      <c r="D38" s="266">
        <f>IF('15'!D38="","",'15'!D38)</f>
        <v>33372</v>
      </c>
      <c r="E38" s="17" t="str">
        <f>IF('15'!E38="","",'15'!E38)</f>
        <v>カルチェラタン</v>
      </c>
      <c r="F38" s="266">
        <f>IF('15'!F38="","",'15'!F38)</f>
        <v>56840</v>
      </c>
      <c r="G38" s="17" t="str">
        <f>IF('15'!G38="","",'15'!G38)</f>
        <v>フジホースライディングクラブ</v>
      </c>
    </row>
    <row r="39" spans="1:7" s="19" customFormat="1" ht="23.1" customHeight="1">
      <c r="A39" s="16" t="str">
        <f>IF('15'!A39="","",'15'!A39)</f>
        <v/>
      </c>
      <c r="B39" s="16">
        <f>IF('15'!B39="","",'15'!B39)</f>
        <v>26</v>
      </c>
      <c r="C39" s="17" t="str">
        <f>IF('15'!C39="","",'15'!C39)</f>
        <v>須藤　すみれ</v>
      </c>
      <c r="D39" s="266">
        <f>IF('15'!D39="","",'15'!D39)</f>
        <v>34060</v>
      </c>
      <c r="E39" s="17" t="str">
        <f>IF('15'!E39="","",'15'!E39)</f>
        <v>ハッピースマイル</v>
      </c>
      <c r="F39" s="266">
        <f>IF('15'!F39="","",'15'!F39)</f>
        <v>59772</v>
      </c>
      <c r="G39" s="17" t="str">
        <f>IF('15'!G39="","",'15'!G39)</f>
        <v>STAR HORSES</v>
      </c>
    </row>
    <row r="40" spans="1:7" s="19" customFormat="1" ht="23.1" customHeight="1">
      <c r="A40" s="16" t="str">
        <f>IF('15'!A40="","",'15'!A40)</f>
        <v/>
      </c>
      <c r="B40" s="16">
        <f>IF('15'!B40="","",'15'!B40)</f>
        <v>27</v>
      </c>
      <c r="C40" s="17" t="str">
        <f>IF('15'!C40="","",'15'!C40)</f>
        <v>林　義昌</v>
      </c>
      <c r="D40" s="266">
        <f>IF('15'!D40="","",'15'!D40)</f>
        <v>18717</v>
      </c>
      <c r="E40" s="17" t="str">
        <f>IF('15'!E40="","",'15'!E40)</f>
        <v>ルーニー21</v>
      </c>
      <c r="F40" s="266">
        <f>IF('15'!F40="","",'15'!F40)</f>
        <v>62148</v>
      </c>
      <c r="G40" s="17" t="str">
        <f>IF('15'!G40="","",'15'!G40)</f>
        <v>北総乗馬クラブ</v>
      </c>
    </row>
    <row r="41" spans="1:7" s="19" customFormat="1" ht="23.1" customHeight="1">
      <c r="A41" s="16" t="str">
        <f>IF('15'!A41="","",'15'!A41)</f>
        <v/>
      </c>
      <c r="B41" s="16">
        <f>IF('15'!B41="","",'15'!B41)</f>
        <v>28</v>
      </c>
      <c r="C41" s="17" t="str">
        <f>IF('15'!C41="","",'15'!C41)</f>
        <v>岡本　雅海</v>
      </c>
      <c r="D41" s="266">
        <f>IF('15'!D41="","",'15'!D41)</f>
        <v>19572</v>
      </c>
      <c r="E41" s="17" t="str">
        <f>IF('15'!E41="","",'15'!E41)</f>
        <v>馬夢世</v>
      </c>
      <c r="F41" s="266">
        <f>IF('15'!F41="","",'15'!F41)</f>
        <v>61394</v>
      </c>
      <c r="G41" s="17" t="str">
        <f>IF('15'!G41="","",'15'!G41)</f>
        <v>岡本ライディングクラブJAPAN</v>
      </c>
    </row>
    <row r="42" spans="1:7" s="19" customFormat="1" ht="23.1" customHeight="1">
      <c r="A42" s="16" t="str">
        <f>IF('15'!A42="","",'15'!A42)</f>
        <v/>
      </c>
      <c r="B42" s="16">
        <f>IF('15'!B42="","",'15'!B42)</f>
        <v>29</v>
      </c>
      <c r="C42" s="17" t="str">
        <f>IF('15'!C42="","",'15'!C42)</f>
        <v>出澤　真理子</v>
      </c>
      <c r="D42" s="266">
        <f>IF('15'!D42="","",'15'!D42)</f>
        <v>32428</v>
      </c>
      <c r="E42" s="17" t="str">
        <f>IF('15'!E42="","",'15'!E42)</f>
        <v>カステッロ</v>
      </c>
      <c r="F42" s="266">
        <f>IF('15'!F42="","",'15'!F42)</f>
        <v>60948</v>
      </c>
      <c r="G42" s="17" t="str">
        <f>IF('15'!G42="","",'15'!G42)</f>
        <v>STAR HORSES</v>
      </c>
    </row>
    <row r="43" spans="1:7" s="19" customFormat="1" ht="23.1" customHeight="1">
      <c r="A43" s="16" t="str">
        <f>IF('15'!A43="","",'15'!A43)</f>
        <v/>
      </c>
      <c r="B43" s="16">
        <f>IF('15'!B43="","",'15'!B43)</f>
        <v>30</v>
      </c>
      <c r="C43" s="17" t="str">
        <f>IF('15'!C43="","",'15'!C43)</f>
        <v>増山　誠倫</v>
      </c>
      <c r="D43" s="266">
        <f>IF('15'!D43="","",'15'!D43)</f>
        <v>8082</v>
      </c>
      <c r="E43" s="17" t="str">
        <f>IF('15'!E43="","",'15'!E43)</f>
        <v>ウィングマン</v>
      </c>
      <c r="F43" s="266">
        <f>IF('15'!F43="","",'15'!F43)</f>
        <v>60439</v>
      </c>
      <c r="G43" s="17" t="str">
        <f>IF('15'!G43="","",'15'!G43)</f>
        <v>小山乗馬クラブ</v>
      </c>
    </row>
    <row r="44" spans="1:7" ht="23.1" customHeight="1">
      <c r="A44" s="16" t="str">
        <f>IF('15'!A44="","",'15'!A44)</f>
        <v/>
      </c>
      <c r="B44" s="16">
        <f>IF('15'!B44="","",'15'!B44)</f>
        <v>31</v>
      </c>
      <c r="C44" s="17" t="str">
        <f>IF('15'!C44="","",'15'!C44)</f>
        <v>溝口　莉沙</v>
      </c>
      <c r="D44" s="266">
        <f>IF('15'!D44="","",'15'!D44)</f>
        <v>31991</v>
      </c>
      <c r="E44" s="17" t="str">
        <f>IF('15'!E44="","",'15'!E44)</f>
        <v>ローゼスドリーム</v>
      </c>
      <c r="F44" s="266">
        <f>IF('15'!F44="","",'15'!F44)</f>
        <v>57652</v>
      </c>
      <c r="G44" s="17" t="str">
        <f>IF('15'!G44="","",'15'!G44)</f>
        <v>オリエント馬事センター</v>
      </c>
    </row>
    <row r="45" spans="1:7" ht="23.1" customHeight="1">
      <c r="A45" s="16" t="str">
        <f>IF('15'!A45="","",'15'!A45)</f>
        <v>WD</v>
      </c>
      <c r="B45" s="16">
        <f>IF('15'!B45="","",'15'!B45)</f>
        <v>32</v>
      </c>
      <c r="C45" s="17" t="str">
        <f>IF('15'!C45="","",'15'!C45)</f>
        <v>鈴木　正紀</v>
      </c>
      <c r="D45" s="266">
        <f>IF('15'!D45="","",'15'!D45)</f>
        <v>28816</v>
      </c>
      <c r="E45" s="17" t="str">
        <f>IF('15'!E45="","",'15'!E45)</f>
        <v>Sグランツ</v>
      </c>
      <c r="F45" s="266">
        <f>IF('15'!F45="","",'15'!F45)</f>
        <v>58420</v>
      </c>
      <c r="G45" s="17" t="str">
        <f>IF('15'!G45="","",'15'!G45)</f>
        <v>AOステーブル</v>
      </c>
    </row>
    <row r="46" spans="1:7" ht="23.1" customHeight="1">
      <c r="A46" s="16" t="str">
        <f>IF('15'!A46="","",'15'!A46)</f>
        <v/>
      </c>
      <c r="B46" s="16">
        <f>IF('15'!B46="","",'15'!B46)</f>
        <v>33</v>
      </c>
      <c r="C46" s="17" t="str">
        <f>IF('15'!C46="","",'15'!C46)</f>
        <v/>
      </c>
      <c r="D46" s="266" t="str">
        <f>IF('15'!D46="","",'15'!D46)</f>
        <v/>
      </c>
      <c r="E46" s="17" t="str">
        <f>IF('15'!E46="","",'15'!E46)</f>
        <v/>
      </c>
      <c r="F46" s="266" t="str">
        <f>IF('15'!F46="","",'15'!F46)</f>
        <v/>
      </c>
      <c r="G46" s="17" t="str">
        <f>IF('15'!G46="","",'15'!G46)</f>
        <v/>
      </c>
    </row>
    <row r="47" spans="1:7" ht="23.1" customHeight="1">
      <c r="A47" s="16" t="str">
        <f>IF('15'!A47="","",'15'!A47)</f>
        <v/>
      </c>
      <c r="B47" s="16">
        <f>IF('15'!B47="","",'15'!B47)</f>
        <v>34</v>
      </c>
      <c r="C47" s="17" t="str">
        <f>IF('15'!C47="","",'15'!C47)</f>
        <v/>
      </c>
      <c r="D47" s="266" t="str">
        <f>IF('15'!D47="","",'15'!D47)</f>
        <v/>
      </c>
      <c r="E47" s="17" t="str">
        <f>IF('15'!E47="","",'15'!E47)</f>
        <v/>
      </c>
      <c r="F47" s="266" t="str">
        <f>IF('15'!F47="","",'15'!F47)</f>
        <v/>
      </c>
      <c r="G47" s="17" t="str">
        <f>IF('15'!G47="","",'15'!G47)</f>
        <v/>
      </c>
    </row>
    <row r="48" spans="1:7" ht="23.1" customHeight="1">
      <c r="A48" s="16" t="str">
        <f>IF('15'!A48="","",'15'!A48)</f>
        <v/>
      </c>
      <c r="B48" s="16">
        <f>IF('15'!B48="","",'15'!B48)</f>
        <v>35</v>
      </c>
      <c r="C48" s="17" t="str">
        <f>IF('15'!C48="","",'15'!C48)</f>
        <v/>
      </c>
      <c r="D48" s="266" t="str">
        <f>IF('15'!D48="","",'15'!D48)</f>
        <v/>
      </c>
      <c r="E48" s="17" t="str">
        <f>IF('15'!E48="","",'15'!E48)</f>
        <v/>
      </c>
      <c r="F48" s="266" t="str">
        <f>IF('15'!F48="","",'15'!F48)</f>
        <v/>
      </c>
      <c r="G48" s="17" t="str">
        <f>IF('15'!G48="","",'15'!G48)</f>
        <v/>
      </c>
    </row>
    <row r="49" spans="1:7" ht="23.1" customHeight="1">
      <c r="A49" s="16" t="str">
        <f>IF('15'!A49="","",'15'!A49)</f>
        <v/>
      </c>
      <c r="B49" s="16">
        <f>IF('15'!B49="","",'15'!B49)</f>
        <v>36</v>
      </c>
      <c r="C49" s="17" t="str">
        <f>IF('15'!C49="","",'15'!C49)</f>
        <v/>
      </c>
      <c r="D49" s="266" t="str">
        <f>IF('15'!D49="","",'15'!D49)</f>
        <v/>
      </c>
      <c r="E49" s="17" t="str">
        <f>IF('15'!E49="","",'15'!E49)</f>
        <v/>
      </c>
      <c r="F49" s="266" t="str">
        <f>IF('15'!F49="","",'15'!F49)</f>
        <v/>
      </c>
      <c r="G49" s="17" t="str">
        <f>IF('15'!G49="","",'15'!G49)</f>
        <v/>
      </c>
    </row>
    <row r="50" spans="1:7" ht="23.1" customHeight="1">
      <c r="A50" s="16" t="str">
        <f>IF('15'!A50="","",'15'!A50)</f>
        <v/>
      </c>
      <c r="B50" s="16">
        <f>IF('15'!B50="","",'15'!B50)</f>
        <v>37</v>
      </c>
      <c r="C50" s="17" t="str">
        <f>IF('15'!C50="","",'15'!C50)</f>
        <v/>
      </c>
      <c r="D50" s="266" t="str">
        <f>IF('15'!D50="","",'15'!D50)</f>
        <v/>
      </c>
      <c r="E50" s="17" t="str">
        <f>IF('15'!E50="","",'15'!E50)</f>
        <v/>
      </c>
      <c r="F50" s="266" t="str">
        <f>IF('15'!F50="","",'15'!F50)</f>
        <v/>
      </c>
      <c r="G50" s="17" t="str">
        <f>IF('15'!G50="","",'15'!G50)</f>
        <v/>
      </c>
    </row>
    <row r="51" spans="1:7" ht="23.1" customHeight="1">
      <c r="A51" s="16" t="str">
        <f>IF('15'!A51="","",'15'!A51)</f>
        <v/>
      </c>
      <c r="B51" s="16">
        <f>IF('15'!B51="","",'15'!B51)</f>
        <v>38</v>
      </c>
      <c r="C51" s="17" t="str">
        <f>IF('15'!C51="","",'15'!C51)</f>
        <v/>
      </c>
      <c r="D51" s="266" t="str">
        <f>IF('15'!D51="","",'15'!D51)</f>
        <v/>
      </c>
      <c r="E51" s="17" t="str">
        <f>IF('15'!E51="","",'15'!E51)</f>
        <v/>
      </c>
      <c r="F51" s="266" t="str">
        <f>IF('15'!F51="","",'15'!F51)</f>
        <v/>
      </c>
      <c r="G51" s="17" t="str">
        <f>IF('15'!G51="","",'15'!G51)</f>
        <v/>
      </c>
    </row>
    <row r="52" spans="1:7" ht="23.1" customHeight="1">
      <c r="A52" s="16" t="str">
        <f>IF('15'!A52="","",'15'!A52)</f>
        <v/>
      </c>
      <c r="B52" s="16">
        <f>IF('15'!B52="","",'15'!B52)</f>
        <v>39</v>
      </c>
      <c r="C52" s="17" t="str">
        <f>IF('15'!C52="","",'15'!C52)</f>
        <v/>
      </c>
      <c r="D52" s="266" t="str">
        <f>IF('15'!D52="","",'15'!D52)</f>
        <v/>
      </c>
      <c r="E52" s="17" t="str">
        <f>IF('15'!E52="","",'15'!E52)</f>
        <v/>
      </c>
      <c r="F52" s="266" t="str">
        <f>IF('15'!F52="","",'15'!F52)</f>
        <v/>
      </c>
      <c r="G52" s="17" t="str">
        <f>IF('15'!G52="","",'15'!G52)</f>
        <v/>
      </c>
    </row>
    <row r="53" spans="1:7" ht="23.1" customHeight="1">
      <c r="A53" s="16" t="str">
        <f>IF('15'!A53="","",'15'!A53)</f>
        <v/>
      </c>
      <c r="B53" s="16">
        <f>IF('15'!B53="","",'15'!B53)</f>
        <v>40</v>
      </c>
      <c r="C53" s="17" t="str">
        <f>IF('15'!C53="","",'15'!C53)</f>
        <v/>
      </c>
      <c r="D53" s="266" t="str">
        <f>IF('15'!D53="","",'15'!D53)</f>
        <v/>
      </c>
      <c r="E53" s="17" t="str">
        <f>IF('15'!E53="","",'15'!E53)</f>
        <v/>
      </c>
      <c r="F53" s="266" t="str">
        <f>IF('15'!F53="","",'15'!F53)</f>
        <v/>
      </c>
      <c r="G53" s="17" t="str">
        <f>IF('15'!G53="","",'15'!G53)</f>
        <v/>
      </c>
    </row>
    <row r="54" spans="1:7" ht="23.1" customHeight="1">
      <c r="A54" s="16" t="str">
        <f>IF('15'!A54="","",'15'!A54)</f>
        <v/>
      </c>
      <c r="B54" s="16">
        <f>IF('15'!B54="","",'15'!B54)</f>
        <v>41</v>
      </c>
      <c r="C54" s="17" t="str">
        <f>IF('15'!C54="","",'15'!C54)</f>
        <v/>
      </c>
      <c r="D54" s="266" t="str">
        <f>IF('15'!D54="","",'15'!D54)</f>
        <v/>
      </c>
      <c r="E54" s="17" t="str">
        <f>IF('15'!E54="","",'15'!E54)</f>
        <v/>
      </c>
      <c r="F54" s="266" t="str">
        <f>IF('15'!F54="","",'15'!F54)</f>
        <v/>
      </c>
      <c r="G54" s="17" t="str">
        <f>IF('15'!G54="","",'15'!G54)</f>
        <v/>
      </c>
    </row>
    <row r="55" spans="1:7" ht="23.1" customHeight="1">
      <c r="A55" s="16" t="str">
        <f>IF('15'!A55="","",'15'!A55)</f>
        <v/>
      </c>
      <c r="B55" s="16">
        <f>IF('15'!B55="","",'15'!B55)</f>
        <v>42</v>
      </c>
      <c r="C55" s="17" t="str">
        <f>IF('15'!C55="","",'15'!C55)</f>
        <v/>
      </c>
      <c r="D55" s="266" t="str">
        <f>IF('15'!D55="","",'15'!D55)</f>
        <v/>
      </c>
      <c r="E55" s="17" t="str">
        <f>IF('15'!E55="","",'15'!E55)</f>
        <v/>
      </c>
      <c r="F55" s="266" t="str">
        <f>IF('15'!F55="","",'15'!F55)</f>
        <v/>
      </c>
      <c r="G55" s="17" t="str">
        <f>IF('15'!G55="","",'15'!G55)</f>
        <v/>
      </c>
    </row>
    <row r="56" spans="1:7" ht="23.1" customHeight="1">
      <c r="A56" s="16" t="str">
        <f>IF('15'!A56="","",'15'!A56)</f>
        <v/>
      </c>
      <c r="B56" s="16">
        <f>IF('15'!B56="","",'15'!B56)</f>
        <v>43</v>
      </c>
      <c r="C56" s="17" t="str">
        <f>IF('15'!C56="","",'15'!C56)</f>
        <v/>
      </c>
      <c r="D56" s="266" t="str">
        <f>IF('15'!D56="","",'15'!D56)</f>
        <v/>
      </c>
      <c r="E56" s="17" t="str">
        <f>IF('15'!E56="","",'15'!E56)</f>
        <v/>
      </c>
      <c r="F56" s="266" t="str">
        <f>IF('15'!F56="","",'15'!F56)</f>
        <v/>
      </c>
      <c r="G56" s="17" t="str">
        <f>IF('15'!G56="","",'15'!G56)</f>
        <v/>
      </c>
    </row>
    <row r="57" spans="1:7" ht="23.1" customHeight="1">
      <c r="A57" s="16" t="str">
        <f>IF('15'!A57="","",'15'!A57)</f>
        <v/>
      </c>
      <c r="B57" s="16">
        <f>IF('15'!B57="","",'15'!B57)</f>
        <v>44</v>
      </c>
      <c r="C57" s="17" t="str">
        <f>IF('15'!C57="","",'15'!C57)</f>
        <v/>
      </c>
      <c r="D57" s="266" t="str">
        <f>IF('15'!D57="","",'15'!D57)</f>
        <v/>
      </c>
      <c r="E57" s="17" t="str">
        <f>IF('15'!E57="","",'15'!E57)</f>
        <v/>
      </c>
      <c r="F57" s="266" t="str">
        <f>IF('15'!F57="","",'15'!F57)</f>
        <v/>
      </c>
      <c r="G57" s="17" t="str">
        <f>IF('15'!G57="","",'15'!G57)</f>
        <v/>
      </c>
    </row>
    <row r="58" spans="1:7" ht="23.1" customHeight="1">
      <c r="A58" s="16" t="str">
        <f>IF('15'!A58="","",'15'!A58)</f>
        <v/>
      </c>
      <c r="B58" s="16">
        <f>IF('15'!B58="","",'15'!B58)</f>
        <v>45</v>
      </c>
      <c r="C58" s="17" t="str">
        <f>IF('15'!C58="","",'15'!C58)</f>
        <v/>
      </c>
      <c r="D58" s="266" t="str">
        <f>IF('15'!D58="","",'15'!D58)</f>
        <v/>
      </c>
      <c r="E58" s="17" t="str">
        <f>IF('15'!E58="","",'15'!E58)</f>
        <v/>
      </c>
      <c r="F58" s="266" t="str">
        <f>IF('15'!F58="","",'15'!F58)</f>
        <v/>
      </c>
      <c r="G58" s="17" t="str">
        <f>IF('15'!G58="","",'15'!G58)</f>
        <v/>
      </c>
    </row>
    <row r="59" spans="1:7" ht="23.1" customHeight="1">
      <c r="A59" s="16" t="str">
        <f>IF('15'!A59="","",'15'!A59)</f>
        <v/>
      </c>
      <c r="B59" s="16">
        <f>IF('15'!B59="","",'15'!B59)</f>
        <v>46</v>
      </c>
      <c r="C59" s="17" t="str">
        <f>IF('15'!C59="","",'15'!C59)</f>
        <v/>
      </c>
      <c r="D59" s="266" t="str">
        <f>IF('15'!D59="","",'15'!D59)</f>
        <v/>
      </c>
      <c r="E59" s="17" t="str">
        <f>IF('15'!E59="","",'15'!E59)</f>
        <v/>
      </c>
      <c r="F59" s="266" t="str">
        <f>IF('15'!F59="","",'15'!F59)</f>
        <v/>
      </c>
      <c r="G59" s="17" t="str">
        <f>IF('15'!G59="","",'15'!G59)</f>
        <v/>
      </c>
    </row>
    <row r="60" spans="1:7" ht="23.1" customHeight="1">
      <c r="A60" s="16" t="str">
        <f>IF('15'!A60="","",'15'!A60)</f>
        <v/>
      </c>
      <c r="B60" s="16">
        <f>IF('15'!B60="","",'15'!B60)</f>
        <v>47</v>
      </c>
      <c r="C60" s="17" t="str">
        <f>IF('15'!C60="","",'15'!C60)</f>
        <v/>
      </c>
      <c r="D60" s="266" t="str">
        <f>IF('15'!D60="","",'15'!D60)</f>
        <v/>
      </c>
      <c r="E60" s="17" t="str">
        <f>IF('15'!E60="","",'15'!E60)</f>
        <v/>
      </c>
      <c r="F60" s="266" t="str">
        <f>IF('15'!F60="","",'15'!F60)</f>
        <v/>
      </c>
      <c r="G60" s="17" t="str">
        <f>IF('15'!G60="","",'15'!G60)</f>
        <v/>
      </c>
    </row>
    <row r="61" spans="1:7" ht="23.1" customHeight="1">
      <c r="A61" s="16" t="str">
        <f>IF('15'!A61="","",'15'!A61)</f>
        <v/>
      </c>
      <c r="B61" s="16">
        <f>IF('15'!B61="","",'15'!B61)</f>
        <v>48</v>
      </c>
      <c r="C61" s="17" t="str">
        <f>IF('15'!C61="","",'15'!C61)</f>
        <v/>
      </c>
      <c r="D61" s="266" t="str">
        <f>IF('15'!D61="","",'15'!D61)</f>
        <v/>
      </c>
      <c r="E61" s="17" t="str">
        <f>IF('15'!E61="","",'15'!E61)</f>
        <v/>
      </c>
      <c r="F61" s="266" t="str">
        <f>IF('15'!F61="","",'15'!F61)</f>
        <v/>
      </c>
      <c r="G61" s="17" t="str">
        <f>IF('15'!G61="","",'15'!G61)</f>
        <v/>
      </c>
    </row>
    <row r="62" spans="1:7" ht="23.1" customHeight="1">
      <c r="A62" s="16" t="str">
        <f>IF('15'!A62="","",'15'!A62)</f>
        <v/>
      </c>
      <c r="B62" s="16">
        <f>IF('15'!B62="","",'15'!B62)</f>
        <v>49</v>
      </c>
      <c r="C62" s="17" t="str">
        <f>IF('15'!C62="","",'15'!C62)</f>
        <v/>
      </c>
      <c r="D62" s="266" t="str">
        <f>IF('15'!D62="","",'15'!D62)</f>
        <v/>
      </c>
      <c r="E62" s="17" t="str">
        <f>IF('15'!E62="","",'15'!E62)</f>
        <v/>
      </c>
      <c r="F62" s="266" t="str">
        <f>IF('15'!F62="","",'15'!F62)</f>
        <v/>
      </c>
      <c r="G62" s="17" t="str">
        <f>IF('15'!G62="","",'15'!G62)</f>
        <v/>
      </c>
    </row>
    <row r="63" spans="1:7" ht="23.1" customHeight="1">
      <c r="A63" s="16" t="str">
        <f>IF('15'!A63="","",'15'!A63)</f>
        <v/>
      </c>
      <c r="B63" s="16">
        <f>IF('15'!B63="","",'15'!B63)</f>
        <v>50</v>
      </c>
      <c r="C63" s="17" t="str">
        <f>IF('15'!C63="","",'15'!C63)</f>
        <v/>
      </c>
      <c r="D63" s="266" t="str">
        <f>IF('15'!D63="","",'15'!D63)</f>
        <v/>
      </c>
      <c r="E63" s="17" t="str">
        <f>IF('15'!E63="","",'15'!E63)</f>
        <v/>
      </c>
      <c r="F63" s="266" t="str">
        <f>IF('15'!F63="","",'15'!F63)</f>
        <v/>
      </c>
      <c r="G63" s="17" t="str">
        <f>IF('15'!G63="","",'15'!G63)</f>
        <v/>
      </c>
    </row>
    <row r="64" spans="1:7" ht="23.1" customHeight="1">
      <c r="A64" s="16" t="str">
        <f>IF('15'!A64="","",'15'!A64)</f>
        <v/>
      </c>
      <c r="B64" s="16">
        <f>IF('15'!B64="","",'15'!B64)</f>
        <v>51</v>
      </c>
      <c r="C64" s="17" t="str">
        <f>IF('15'!C64="","",'15'!C64)</f>
        <v/>
      </c>
      <c r="D64" s="266" t="str">
        <f>IF('15'!D64="","",'15'!D64)</f>
        <v/>
      </c>
      <c r="E64" s="17" t="str">
        <f>IF('15'!E64="","",'15'!E64)</f>
        <v/>
      </c>
      <c r="F64" s="266" t="str">
        <f>IF('15'!F64="","",'15'!F64)</f>
        <v/>
      </c>
      <c r="G64" s="17" t="str">
        <f>IF('15'!G64="","",'15'!G64)</f>
        <v/>
      </c>
    </row>
    <row r="65" spans="1:7" ht="23.1" customHeight="1">
      <c r="A65" s="16" t="str">
        <f>IF('15'!A65="","",'15'!A65)</f>
        <v/>
      </c>
      <c r="B65" s="16">
        <f>IF('15'!B65="","",'15'!B65)</f>
        <v>52</v>
      </c>
      <c r="C65" s="17" t="str">
        <f>IF('15'!C65="","",'15'!C65)</f>
        <v/>
      </c>
      <c r="D65" s="266" t="str">
        <f>IF('15'!D65="","",'15'!D65)</f>
        <v/>
      </c>
      <c r="E65" s="17" t="str">
        <f>IF('15'!E65="","",'15'!E65)</f>
        <v/>
      </c>
      <c r="F65" s="266" t="str">
        <f>IF('15'!F65="","",'15'!F65)</f>
        <v/>
      </c>
      <c r="G65" s="17" t="str">
        <f>IF('15'!G65="","",'15'!G65)</f>
        <v/>
      </c>
    </row>
    <row r="66" spans="1:7" ht="23.1" customHeight="1">
      <c r="A66" s="16" t="str">
        <f>IF('15'!A66="","",'15'!A66)</f>
        <v/>
      </c>
      <c r="B66" s="16">
        <f>IF('15'!B66="","",'15'!B66)</f>
        <v>53</v>
      </c>
      <c r="C66" s="17" t="str">
        <f>IF('15'!C66="","",'15'!C66)</f>
        <v/>
      </c>
      <c r="D66" s="266" t="str">
        <f>IF('15'!D66="","",'15'!D66)</f>
        <v/>
      </c>
      <c r="E66" s="17" t="str">
        <f>IF('15'!E66="","",'15'!E66)</f>
        <v/>
      </c>
      <c r="F66" s="266" t="str">
        <f>IF('15'!F66="","",'15'!F66)</f>
        <v/>
      </c>
      <c r="G66" s="17" t="str">
        <f>IF('15'!G66="","",'15'!G66)</f>
        <v/>
      </c>
    </row>
    <row r="67" spans="1:7" ht="23.1" customHeight="1">
      <c r="A67" s="16" t="str">
        <f>IF('15'!A67="","",'15'!A67)</f>
        <v/>
      </c>
      <c r="B67" s="16">
        <f>IF('15'!B67="","",'15'!B67)</f>
        <v>54</v>
      </c>
      <c r="C67" s="17" t="str">
        <f>IF('15'!C67="","",'15'!C67)</f>
        <v/>
      </c>
      <c r="D67" s="266" t="str">
        <f>IF('15'!D67="","",'15'!D67)</f>
        <v/>
      </c>
      <c r="E67" s="17" t="str">
        <f>IF('15'!E67="","",'15'!E67)</f>
        <v/>
      </c>
      <c r="F67" s="266" t="str">
        <f>IF('15'!F67="","",'15'!F67)</f>
        <v/>
      </c>
      <c r="G67" s="17" t="str">
        <f>IF('15'!G67="","",'15'!G67)</f>
        <v/>
      </c>
    </row>
    <row r="68" spans="1:7" ht="23.1" customHeight="1">
      <c r="A68" s="16" t="str">
        <f>IF('15'!A68="","",'15'!A68)</f>
        <v/>
      </c>
      <c r="B68" s="16" t="str">
        <f>IF('15'!B68="","",'15'!B68)</f>
        <v/>
      </c>
      <c r="C68" s="17" t="str">
        <f>IF('15'!C68="","",'15'!C68)</f>
        <v/>
      </c>
      <c r="D68" s="266" t="str">
        <f>IF('15'!D68="","",'15'!D68)</f>
        <v/>
      </c>
      <c r="E68" s="17" t="str">
        <f>IF('15'!E68="","",'15'!E68)</f>
        <v/>
      </c>
      <c r="F68" s="266" t="str">
        <f>IF('15'!F68="","",'15'!F68)</f>
        <v/>
      </c>
      <c r="G68" s="17" t="str">
        <f>IF('15'!G68="","",'15'!G68)</f>
        <v/>
      </c>
    </row>
    <row r="69" spans="1:7" ht="23.1" customHeight="1">
      <c r="A69" s="16" t="str">
        <f>IF('15'!A69="","",'15'!A69)</f>
        <v/>
      </c>
      <c r="B69" s="16" t="str">
        <f>IF('15'!B69="","",'15'!B69)</f>
        <v/>
      </c>
      <c r="C69" s="17" t="str">
        <f>IF('15'!C69="","",'15'!C69)</f>
        <v/>
      </c>
      <c r="D69" s="266" t="str">
        <f>IF('15'!D69="","",'15'!D69)</f>
        <v/>
      </c>
      <c r="E69" s="17" t="str">
        <f>IF('15'!E69="","",'15'!E69)</f>
        <v/>
      </c>
      <c r="F69" s="266" t="str">
        <f>IF('15'!F69="","",'15'!F69)</f>
        <v/>
      </c>
      <c r="G69" s="17" t="str">
        <f>IF('15'!G69="","",'15'!G69)</f>
        <v/>
      </c>
    </row>
    <row r="70" spans="1:7" ht="23.1" customHeight="1">
      <c r="A70" s="16" t="str">
        <f>IF('15'!A70="","",'15'!A70)</f>
        <v/>
      </c>
      <c r="B70" s="16" t="str">
        <f>IF('15'!B70="","",'15'!B70)</f>
        <v/>
      </c>
      <c r="C70" s="17" t="str">
        <f>IF('15'!C70="","",'15'!C70)</f>
        <v/>
      </c>
      <c r="D70" s="266" t="str">
        <f>IF('15'!D70="","",'15'!D70)</f>
        <v/>
      </c>
      <c r="E70" s="17" t="str">
        <f>IF('15'!E70="","",'15'!E70)</f>
        <v/>
      </c>
      <c r="F70" s="266" t="str">
        <f>IF('15'!F70="","",'15'!F70)</f>
        <v/>
      </c>
      <c r="G70" s="17" t="str">
        <f>IF('15'!G70="","",'15'!G70)</f>
        <v/>
      </c>
    </row>
    <row r="71" spans="1:7" ht="23.1" customHeight="1">
      <c r="A71" s="16" t="str">
        <f>IF('15'!A71="","",'15'!A71)</f>
        <v/>
      </c>
      <c r="B71" s="16" t="str">
        <f>IF('15'!B71="","",'15'!B71)</f>
        <v/>
      </c>
      <c r="C71" s="17" t="str">
        <f>IF('15'!C71="","",'15'!C71)</f>
        <v/>
      </c>
      <c r="D71" s="266" t="str">
        <f>IF('15'!D71="","",'15'!D71)</f>
        <v/>
      </c>
      <c r="E71" s="17" t="str">
        <f>IF('15'!E71="","",'15'!E71)</f>
        <v/>
      </c>
      <c r="F71" s="266" t="str">
        <f>IF('15'!F71="","",'15'!F71)</f>
        <v/>
      </c>
      <c r="G71" s="17" t="str">
        <f>IF('15'!G71="","",'15'!G71)</f>
        <v/>
      </c>
    </row>
    <row r="72" spans="1:7" ht="23.1" customHeight="1">
      <c r="A72" s="16" t="str">
        <f>IF('15'!A72="","",'15'!A72)</f>
        <v/>
      </c>
      <c r="B72" s="16" t="str">
        <f>IF('15'!B72="","",'15'!B72)</f>
        <v/>
      </c>
      <c r="C72" s="17" t="str">
        <f>IF('15'!C72="","",'15'!C72)</f>
        <v/>
      </c>
      <c r="D72" s="266" t="str">
        <f>IF('15'!D72="","",'15'!D72)</f>
        <v/>
      </c>
      <c r="E72" s="17" t="str">
        <f>IF('15'!E72="","",'15'!E72)</f>
        <v/>
      </c>
      <c r="F72" s="266" t="str">
        <f>IF('15'!F72="","",'15'!F72)</f>
        <v/>
      </c>
      <c r="G72" s="17" t="str">
        <f>IF('15'!G72="","",'15'!G72)</f>
        <v/>
      </c>
    </row>
    <row r="73" spans="1:7" ht="23.1" customHeight="1">
      <c r="A73" s="16" t="str">
        <f>IF('15'!A73="","",'15'!A73)</f>
        <v/>
      </c>
      <c r="B73" s="16" t="str">
        <f>IF('15'!B73="","",'15'!B73)</f>
        <v/>
      </c>
      <c r="C73" s="17" t="str">
        <f>IF('15'!C73="","",'15'!C73)</f>
        <v/>
      </c>
      <c r="D73" s="266" t="str">
        <f>IF('15'!D73="","",'15'!D73)</f>
        <v/>
      </c>
      <c r="E73" s="17" t="str">
        <f>IF('15'!E73="","",'15'!E73)</f>
        <v/>
      </c>
      <c r="F73" s="266" t="str">
        <f>IF('15'!F73="","",'15'!F73)</f>
        <v/>
      </c>
      <c r="G73" s="17" t="str">
        <f>IF('15'!G73="","",'15'!G73)</f>
        <v/>
      </c>
    </row>
    <row r="74" spans="1:7" ht="23.1" customHeight="1">
      <c r="A74" s="16" t="str">
        <f>IF('15'!A74="","",'15'!A74)</f>
        <v/>
      </c>
      <c r="B74" s="16" t="str">
        <f>IF('15'!B74="","",'15'!B74)</f>
        <v/>
      </c>
      <c r="C74" s="17" t="str">
        <f>IF('15'!C74="","",'15'!C74)</f>
        <v/>
      </c>
      <c r="D74" s="266" t="str">
        <f>IF('15'!D74="","",'15'!D74)</f>
        <v/>
      </c>
      <c r="E74" s="17" t="str">
        <f>IF('15'!E74="","",'15'!E74)</f>
        <v/>
      </c>
      <c r="F74" s="266" t="str">
        <f>IF('15'!F74="","",'15'!F74)</f>
        <v/>
      </c>
      <c r="G74" s="17" t="str">
        <f>IF('15'!G74="","",'15'!G74)</f>
        <v/>
      </c>
    </row>
    <row r="75" spans="1:7" ht="23.1" customHeight="1">
      <c r="A75" s="16" t="str">
        <f>IF('15'!A75="","",'15'!A75)</f>
        <v/>
      </c>
      <c r="B75" s="16" t="str">
        <f>IF('15'!B75="","",'15'!B75)</f>
        <v/>
      </c>
      <c r="C75" s="17" t="str">
        <f>IF('15'!C75="","",'15'!C75)</f>
        <v/>
      </c>
      <c r="D75" s="266" t="str">
        <f>IF('15'!D75="","",'15'!D75)</f>
        <v/>
      </c>
      <c r="E75" s="17" t="str">
        <f>IF('15'!E75="","",'15'!E75)</f>
        <v/>
      </c>
      <c r="F75" s="266" t="str">
        <f>IF('15'!F75="","",'15'!F75)</f>
        <v/>
      </c>
      <c r="G75" s="17" t="str">
        <f>IF('15'!G75="","",'15'!G75)</f>
        <v/>
      </c>
    </row>
    <row r="76" spans="1:7" ht="23.1" customHeight="1">
      <c r="A76" s="16" t="str">
        <f>IF('15'!A76="","",'15'!A76)</f>
        <v/>
      </c>
      <c r="B76" s="16" t="str">
        <f>IF('15'!B76="","",'15'!B76)</f>
        <v/>
      </c>
      <c r="C76" s="17" t="str">
        <f>IF('15'!C76="","",'15'!C76)</f>
        <v/>
      </c>
      <c r="D76" s="266" t="str">
        <f>IF('15'!D76="","",'15'!D76)</f>
        <v/>
      </c>
      <c r="E76" s="17" t="str">
        <f>IF('15'!E76="","",'15'!E76)</f>
        <v/>
      </c>
      <c r="F76" s="266" t="str">
        <f>IF('15'!F76="","",'15'!F76)</f>
        <v/>
      </c>
      <c r="G76" s="17" t="str">
        <f>IF('15'!G76="","",'15'!G76)</f>
        <v/>
      </c>
    </row>
    <row r="77" spans="1:7" ht="23.1" customHeight="1">
      <c r="A77" s="16" t="str">
        <f>IF('15'!A77="","",'15'!A77)</f>
        <v/>
      </c>
      <c r="B77" s="16" t="str">
        <f>IF('15'!B77="","",'15'!B77)</f>
        <v/>
      </c>
      <c r="C77" s="17" t="str">
        <f>IF('15'!C77="","",'15'!C77)</f>
        <v/>
      </c>
      <c r="D77" s="266" t="str">
        <f>IF('15'!D77="","",'15'!D77)</f>
        <v/>
      </c>
      <c r="E77" s="17" t="str">
        <f>IF('15'!E77="","",'15'!E77)</f>
        <v/>
      </c>
      <c r="F77" s="266" t="str">
        <f>IF('15'!F77="","",'15'!F77)</f>
        <v/>
      </c>
      <c r="G77" s="17" t="str">
        <f>IF('15'!G77="","",'15'!G77)</f>
        <v/>
      </c>
    </row>
    <row r="78" spans="1:7" ht="23.1" customHeight="1">
      <c r="A78" s="16" t="str">
        <f>IF('15'!A78="","",'15'!A78)</f>
        <v/>
      </c>
      <c r="B78" s="16" t="str">
        <f>IF('15'!B78="","",'15'!B78)</f>
        <v/>
      </c>
      <c r="C78" s="17" t="str">
        <f>IF('15'!C78="","",'15'!C78)</f>
        <v/>
      </c>
      <c r="D78" s="266" t="str">
        <f>IF('15'!D78="","",'15'!D78)</f>
        <v/>
      </c>
      <c r="E78" s="17" t="str">
        <f>IF('15'!E78="","",'15'!E78)</f>
        <v/>
      </c>
      <c r="F78" s="266" t="str">
        <f>IF('15'!F78="","",'15'!F78)</f>
        <v/>
      </c>
      <c r="G78" s="17" t="str">
        <f>IF('15'!G78="","",'15'!G78)</f>
        <v/>
      </c>
    </row>
    <row r="79" spans="1:7" ht="23.1" customHeight="1">
      <c r="A79" s="16" t="str">
        <f>IF('15'!A79="","",'15'!A79)</f>
        <v/>
      </c>
      <c r="B79" s="16" t="str">
        <f>IF('15'!B79="","",'15'!B79)</f>
        <v/>
      </c>
      <c r="C79" s="17" t="str">
        <f>IF('15'!C79="","",'15'!C79)</f>
        <v/>
      </c>
      <c r="D79" s="266" t="str">
        <f>IF('15'!D79="","",'15'!D79)</f>
        <v/>
      </c>
      <c r="E79" s="17" t="str">
        <f>IF('15'!E79="","",'15'!E79)</f>
        <v/>
      </c>
      <c r="F79" s="266" t="str">
        <f>IF('15'!F79="","",'15'!F79)</f>
        <v/>
      </c>
      <c r="G79" s="17" t="str">
        <f>IF('15'!G79="","",'15'!G79)</f>
        <v/>
      </c>
    </row>
    <row r="80" spans="1:7" ht="23.1" customHeight="1">
      <c r="A80" s="16" t="str">
        <f>IF('15'!A80="","",'15'!A80)</f>
        <v/>
      </c>
      <c r="B80" s="16" t="str">
        <f>IF('15'!B80="","",'15'!B80)</f>
        <v/>
      </c>
      <c r="C80" s="17" t="str">
        <f>IF('15'!C80="","",'15'!C80)</f>
        <v/>
      </c>
      <c r="D80" s="266" t="str">
        <f>IF('15'!D80="","",'15'!D80)</f>
        <v/>
      </c>
      <c r="E80" s="17" t="str">
        <f>IF('15'!E80="","",'15'!E80)</f>
        <v/>
      </c>
      <c r="F80" s="266" t="str">
        <f>IF('15'!F80="","",'15'!F80)</f>
        <v/>
      </c>
      <c r="G80" s="17" t="str">
        <f>IF('15'!G80="","",'15'!G80)</f>
        <v/>
      </c>
    </row>
    <row r="81" spans="1:7" ht="23.1" customHeight="1">
      <c r="A81" s="16" t="str">
        <f>IF('15'!A81="","",'15'!A81)</f>
        <v/>
      </c>
      <c r="B81" s="16" t="str">
        <f>IF('15'!B81="","",'15'!B81)</f>
        <v/>
      </c>
      <c r="C81" s="17" t="str">
        <f>IF('15'!C81="","",'15'!C81)</f>
        <v/>
      </c>
      <c r="D81" s="266" t="str">
        <f>IF('15'!D81="","",'15'!D81)</f>
        <v/>
      </c>
      <c r="E81" s="17" t="str">
        <f>IF('15'!E81="","",'15'!E81)</f>
        <v/>
      </c>
      <c r="F81" s="266" t="str">
        <f>IF('15'!F81="","",'15'!F81)</f>
        <v/>
      </c>
      <c r="G81" s="17" t="str">
        <f>IF('15'!G81="","",'15'!G81)</f>
        <v/>
      </c>
    </row>
    <row r="82" spans="1:7" ht="22.95" customHeight="1">
      <c r="A82" s="16" t="str">
        <f>IF('15'!A82="","",'15'!A82)</f>
        <v/>
      </c>
      <c r="B82" s="16" t="str">
        <f>IF('15'!B82="","",'15'!B82)</f>
        <v/>
      </c>
      <c r="C82" s="17" t="str">
        <f>IF('15'!C82="","",'15'!C82)</f>
        <v/>
      </c>
      <c r="D82" s="266" t="str">
        <f>IF('15'!D82="","",'15'!D82)</f>
        <v/>
      </c>
      <c r="E82" s="17" t="str">
        <f>IF('15'!E82="","",'15'!E82)</f>
        <v/>
      </c>
      <c r="F82" s="266" t="str">
        <f>IF('15'!F82="","",'15'!F82)</f>
        <v/>
      </c>
      <c r="G82" s="17" t="str">
        <f>IF('15'!G82="","",'15'!G82)</f>
        <v/>
      </c>
    </row>
    <row r="83" spans="1:7" ht="22.95" customHeight="1">
      <c r="A83" s="16" t="str">
        <f>IF('15'!A83="","",'15'!A83)</f>
        <v/>
      </c>
      <c r="B83" s="16" t="str">
        <f>IF('15'!B83="","",'15'!B83)</f>
        <v/>
      </c>
      <c r="C83" s="17" t="str">
        <f>IF('15'!C83="","",'15'!C83)</f>
        <v/>
      </c>
      <c r="D83" s="266" t="str">
        <f>IF('15'!D83="","",'15'!D83)</f>
        <v/>
      </c>
      <c r="E83" s="17" t="str">
        <f>IF('15'!E83="","",'15'!E83)</f>
        <v/>
      </c>
      <c r="F83" s="266" t="str">
        <f>IF('15'!F83="","",'15'!F83)</f>
        <v/>
      </c>
      <c r="G83" s="17" t="str">
        <f>IF('15'!G83="","",'15'!G83)</f>
        <v/>
      </c>
    </row>
    <row r="84" spans="1:7" ht="22.95" customHeight="1">
      <c r="A84" s="16" t="str">
        <f>IF('15'!A84="","",'15'!A84)</f>
        <v/>
      </c>
      <c r="B84" s="16" t="str">
        <f>IF('15'!B84="","",'15'!B84)</f>
        <v/>
      </c>
      <c r="C84" s="17" t="str">
        <f>IF('15'!C84="","",'15'!C84)</f>
        <v/>
      </c>
      <c r="D84" s="266" t="str">
        <f>IF('15'!D84="","",'15'!D84)</f>
        <v/>
      </c>
      <c r="E84" s="17" t="str">
        <f>IF('15'!E84="","",'15'!E84)</f>
        <v/>
      </c>
      <c r="F84" s="266" t="str">
        <f>IF('15'!F84="","",'15'!F84)</f>
        <v/>
      </c>
      <c r="G84" s="17" t="str">
        <f>IF('15'!G84="","",'15'!G84)</f>
        <v/>
      </c>
    </row>
    <row r="85" spans="1:7" ht="22.95" customHeight="1">
      <c r="A85" s="16" t="str">
        <f>IF('15'!A85="","",'15'!A85)</f>
        <v/>
      </c>
      <c r="B85" s="16" t="str">
        <f>IF('15'!B85="","",'15'!B85)</f>
        <v/>
      </c>
      <c r="C85" s="17" t="str">
        <f>IF('15'!C85="","",'15'!C85)</f>
        <v/>
      </c>
      <c r="D85" s="266" t="str">
        <f>IF('15'!D85="","",'15'!D85)</f>
        <v/>
      </c>
      <c r="E85" s="17" t="str">
        <f>IF('15'!E85="","",'15'!E85)</f>
        <v/>
      </c>
      <c r="F85" s="266" t="str">
        <f>IF('15'!F85="","",'15'!F85)</f>
        <v/>
      </c>
      <c r="G85" s="17" t="str">
        <f>IF('15'!G85="","",'15'!G85)</f>
        <v/>
      </c>
    </row>
    <row r="86" spans="1:7" ht="22.95" customHeight="1">
      <c r="A86" s="16" t="str">
        <f>IF('15'!A86="","",'15'!A86)</f>
        <v/>
      </c>
      <c r="B86" s="16" t="str">
        <f>IF('15'!B86="","",'15'!B86)</f>
        <v/>
      </c>
      <c r="C86" s="17" t="str">
        <f>IF('15'!C86="","",'15'!C86)</f>
        <v/>
      </c>
      <c r="D86" s="266" t="str">
        <f>IF('15'!D86="","",'15'!D86)</f>
        <v/>
      </c>
      <c r="E86" s="17" t="str">
        <f>IF('15'!E86="","",'15'!E86)</f>
        <v/>
      </c>
      <c r="F86" s="266" t="str">
        <f>IF('15'!F86="","",'15'!F86)</f>
        <v/>
      </c>
      <c r="G86" s="17" t="str">
        <f>IF('15'!G86="","",'15'!G86)</f>
        <v/>
      </c>
    </row>
    <row r="87" spans="1:7" ht="22.95" customHeight="1">
      <c r="A87" s="16" t="str">
        <f>IF('15'!A87="","",'15'!A87)</f>
        <v/>
      </c>
      <c r="B87" s="16" t="str">
        <f>IF('15'!B87="","",'15'!B87)</f>
        <v/>
      </c>
      <c r="C87" s="17" t="str">
        <f>IF('15'!C87="","",'15'!C87)</f>
        <v/>
      </c>
      <c r="D87" s="266" t="str">
        <f>IF('15'!D87="","",'15'!D87)</f>
        <v/>
      </c>
      <c r="E87" s="17" t="str">
        <f>IF('15'!E87="","",'15'!E87)</f>
        <v/>
      </c>
      <c r="F87" s="266" t="str">
        <f>IF('15'!F87="","",'15'!F87)</f>
        <v/>
      </c>
      <c r="G87" s="17" t="str">
        <f>IF('15'!G87="","",'15'!G87)</f>
        <v/>
      </c>
    </row>
    <row r="88" spans="1:7" ht="22.95" customHeight="1">
      <c r="A88" s="16" t="str">
        <f>IF('15'!A88="","",'15'!A88)</f>
        <v/>
      </c>
      <c r="B88" s="16" t="str">
        <f>IF('15'!B88="","",'15'!B88)</f>
        <v/>
      </c>
      <c r="C88" s="17" t="str">
        <f>IF('15'!C88="","",'15'!C88)</f>
        <v/>
      </c>
      <c r="D88" s="266" t="str">
        <f>IF('15'!D88="","",'15'!D88)</f>
        <v/>
      </c>
      <c r="E88" s="17" t="str">
        <f>IF('15'!E88="","",'15'!E88)</f>
        <v/>
      </c>
      <c r="F88" s="266" t="str">
        <f>IF('15'!F88="","",'15'!F88)</f>
        <v/>
      </c>
      <c r="G88" s="17" t="str">
        <f>IF('15'!G88="","",'15'!G88)</f>
        <v/>
      </c>
    </row>
  </sheetData>
  <dataConsolidate link="1"/>
  <mergeCells count="6">
    <mergeCell ref="G12:G13"/>
    <mergeCell ref="D8:F8"/>
    <mergeCell ref="A12:A13"/>
    <mergeCell ref="B12:B13"/>
    <mergeCell ref="C12:D12"/>
    <mergeCell ref="E12:F12"/>
  </mergeCells>
  <phoneticPr fontId="10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horizontalDpi="4294967293" verticalDpi="4294967292" r:id="rId1"/>
  <headerFooter alignWithMargins="0">
    <oddHeader>&amp;R&amp;P/&amp;N</oddHeader>
  </headerFooter>
  <rowBreaks count="2" manualBreakCount="2">
    <brk id="43" max="6" man="1"/>
    <brk id="73" max="6" man="1"/>
  </rowBreak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19203-6370-489B-BF5A-E5D367A6C5BA}">
  <sheetPr codeName="Sheet9">
    <tabColor rgb="FF0070C0"/>
  </sheetPr>
  <dimension ref="A4:J16"/>
  <sheetViews>
    <sheetView view="pageBreakPreview" topLeftCell="A4" zoomScale="60" zoomScaleNormal="100" workbookViewId="0">
      <selection activeCell="D14" sqref="D14:E14"/>
    </sheetView>
  </sheetViews>
  <sheetFormatPr defaultColWidth="8.88671875" defaultRowHeight="30" customHeight="1"/>
  <cols>
    <col min="1" max="1" width="8.88671875" style="96"/>
    <col min="2" max="3" width="8.88671875" style="95"/>
    <col min="4" max="4" width="18.33203125" style="99" customWidth="1"/>
    <col min="5" max="5" width="13.33203125" style="95" bestFit="1" customWidth="1"/>
    <col min="6" max="16384" width="8.88671875" style="95"/>
  </cols>
  <sheetData>
    <row r="4" spans="1:10" ht="30" customHeight="1">
      <c r="A4" s="356" t="str">
        <f>'16_MD'!C7</f>
        <v>2026 Fuji Horse Show Autumn Grand Prix</v>
      </c>
      <c r="B4" s="356"/>
      <c r="C4" s="356"/>
      <c r="D4" s="356"/>
      <c r="E4" s="356"/>
      <c r="F4" s="356"/>
      <c r="G4" s="356"/>
      <c r="H4" s="356"/>
      <c r="I4" s="356"/>
      <c r="J4" s="356"/>
    </row>
    <row r="6" spans="1:10" ht="30" customHeight="1">
      <c r="A6" s="96" t="s">
        <v>42</v>
      </c>
      <c r="B6" s="97">
        <f>'16_MD'!B8</f>
        <v>16</v>
      </c>
      <c r="C6" s="95" t="s">
        <v>43</v>
      </c>
      <c r="D6" s="98" t="str">
        <f>'16_MD'!D8:F8</f>
        <v>Ｍ－Ｄ級障害飛越競技</v>
      </c>
    </row>
    <row r="8" spans="1:10" ht="30" customHeight="1">
      <c r="C8" s="95" t="s">
        <v>85</v>
      </c>
      <c r="E8" s="100">
        <v>0.50347222222222199</v>
      </c>
    </row>
    <row r="9" spans="1:10" ht="30" customHeight="1">
      <c r="C9" s="95" t="s">
        <v>86</v>
      </c>
      <c r="E9" s="157">
        <v>0.51388888888888884</v>
      </c>
      <c r="F9" s="95" t="s">
        <v>87</v>
      </c>
    </row>
    <row r="11" spans="1:10" ht="30" customHeight="1">
      <c r="C11" s="357" t="s">
        <v>88</v>
      </c>
      <c r="D11" s="357"/>
      <c r="E11" s="357"/>
      <c r="F11" s="357"/>
      <c r="G11" s="357"/>
    </row>
    <row r="12" spans="1:10" ht="30" customHeight="1">
      <c r="C12" s="95" t="s">
        <v>89</v>
      </c>
      <c r="D12" s="155">
        <v>60000</v>
      </c>
      <c r="E12" s="95" t="s">
        <v>96</v>
      </c>
      <c r="F12" s="99"/>
      <c r="G12" s="99"/>
    </row>
    <row r="13" spans="1:10" ht="30" customHeight="1">
      <c r="C13" s="95" t="s">
        <v>90</v>
      </c>
      <c r="D13" s="155">
        <v>35000</v>
      </c>
      <c r="E13" s="95" t="s">
        <v>139</v>
      </c>
      <c r="F13" s="99"/>
      <c r="G13" s="99"/>
    </row>
    <row r="14" spans="1:10" ht="30" customHeight="1">
      <c r="C14" s="95" t="s">
        <v>91</v>
      </c>
      <c r="D14" s="155">
        <v>27000</v>
      </c>
      <c r="E14" s="95" t="s">
        <v>136</v>
      </c>
      <c r="G14" s="99"/>
    </row>
    <row r="15" spans="1:10" ht="30" customHeight="1">
      <c r="C15" s="95" t="s">
        <v>92</v>
      </c>
      <c r="D15" s="155">
        <v>24000</v>
      </c>
      <c r="E15" s="95" t="s">
        <v>138</v>
      </c>
      <c r="G15" s="99"/>
    </row>
    <row r="16" spans="1:10" ht="30" customHeight="1">
      <c r="C16" s="95" t="s">
        <v>93</v>
      </c>
      <c r="D16" s="156">
        <v>22000</v>
      </c>
      <c r="E16" s="98" t="s">
        <v>137</v>
      </c>
      <c r="F16" s="98"/>
      <c r="G16" s="98"/>
    </row>
  </sheetData>
  <mergeCells count="2">
    <mergeCell ref="A4:J4"/>
    <mergeCell ref="C11:G11"/>
  </mergeCells>
  <phoneticPr fontId="10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tabColor rgb="FF0070C0"/>
  </sheetPr>
  <dimension ref="A1:G73"/>
  <sheetViews>
    <sheetView view="pageBreakPreview" topLeftCell="A6" zoomScaleNormal="100" zoomScaleSheetLayoutView="100" workbookViewId="0">
      <selection activeCell="G17" sqref="G17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41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'16'!C2</f>
        <v>0</v>
      </c>
      <c r="D6" s="3"/>
      <c r="F6" s="4" t="s">
        <v>2</v>
      </c>
      <c r="G6" s="6">
        <v>46277</v>
      </c>
    </row>
    <row r="7" spans="1:7" ht="24" customHeight="1">
      <c r="A7" s="7"/>
      <c r="B7" s="4" t="s">
        <v>4</v>
      </c>
      <c r="C7" s="8" t="str">
        <f>'16'!C3</f>
        <v>2026 Fuji Horse Show Autumn Grand Prix</v>
      </c>
      <c r="D7" s="9"/>
      <c r="E7" s="9"/>
      <c r="F7" s="9"/>
      <c r="G7" s="346" t="s">
        <v>732</v>
      </c>
    </row>
    <row r="8" spans="1:7" ht="21" customHeight="1">
      <c r="A8" s="10" t="s">
        <v>42</v>
      </c>
      <c r="B8" s="68">
        <f>'16'!C4</f>
        <v>16</v>
      </c>
      <c r="C8" s="4" t="s">
        <v>43</v>
      </c>
      <c r="D8" s="349" t="str">
        <f>'16'!F4</f>
        <v>Ｍ－Ｄ級障害飛越競技</v>
      </c>
      <c r="E8" s="349"/>
      <c r="F8" s="349"/>
    </row>
    <row r="9" spans="1:7" ht="18.75" customHeight="1">
      <c r="C9" s="11" t="s">
        <v>11</v>
      </c>
      <c r="D9" s="264" t="str">
        <f>'16'!D5</f>
        <v>-</v>
      </c>
      <c r="E9" s="4" t="s">
        <v>9</v>
      </c>
      <c r="F9" s="267" t="s">
        <v>614</v>
      </c>
    </row>
    <row r="10" spans="1:7" ht="21" customHeight="1">
      <c r="A10" s="12" t="s">
        <v>44</v>
      </c>
      <c r="B10" s="12"/>
      <c r="C10" s="12"/>
      <c r="D10" s="265" t="str">
        <f>'16'!D6</f>
        <v>-</v>
      </c>
      <c r="E10" s="4" t="s">
        <v>12</v>
      </c>
      <c r="F10" s="268" t="str">
        <f>'16'!F5</f>
        <v>-</v>
      </c>
      <c r="G10" s="13" t="s">
        <v>45</v>
      </c>
    </row>
    <row r="11" spans="1:7" ht="5.0999999999999996" customHeight="1"/>
    <row r="12" spans="1:7" ht="15" customHeight="1">
      <c r="A12" s="350" t="s">
        <v>46</v>
      </c>
      <c r="B12" s="352" t="s">
        <v>47</v>
      </c>
      <c r="C12" s="354" t="s">
        <v>48</v>
      </c>
      <c r="D12" s="355"/>
      <c r="E12" s="347" t="s">
        <v>49</v>
      </c>
      <c r="F12" s="347"/>
      <c r="G12" s="347" t="s">
        <v>50</v>
      </c>
    </row>
    <row r="13" spans="1:7" ht="24" customHeight="1">
      <c r="A13" s="351"/>
      <c r="B13" s="353"/>
      <c r="C13" s="14" t="s">
        <v>53</v>
      </c>
      <c r="D13" s="15" t="s">
        <v>54</v>
      </c>
      <c r="E13" s="15" t="s">
        <v>55</v>
      </c>
      <c r="F13" s="15" t="s">
        <v>56</v>
      </c>
      <c r="G13" s="348"/>
    </row>
    <row r="14" spans="1:7" s="19" customFormat="1" ht="23.1" customHeight="1">
      <c r="A14" s="16" t="str">
        <f>IF('16'!A14="","",'16'!A14)</f>
        <v/>
      </c>
      <c r="B14" s="16">
        <f>IF('16'!B14="","",'16'!B14)</f>
        <v>1</v>
      </c>
      <c r="C14" s="17" t="str">
        <f>IF('16'!C14="","",'16'!C14)</f>
        <v>當間　桃子</v>
      </c>
      <c r="D14" s="266">
        <f>IF('16'!D14="","",'16'!D14)</f>
        <v>30276</v>
      </c>
      <c r="E14" s="17" t="str">
        <f>IF('16'!E14="","",'16'!E14)</f>
        <v>エドグリーヴァ</v>
      </c>
      <c r="F14" s="266">
        <f>IF('16'!F14="","",'16'!F14)</f>
        <v>61183</v>
      </c>
      <c r="G14" s="17" t="str">
        <f>IF('16'!G14="","",'16'!G14)</f>
        <v>STAR HORSES</v>
      </c>
    </row>
    <row r="15" spans="1:7" s="19" customFormat="1" ht="23.1" customHeight="1">
      <c r="A15" s="16" t="str">
        <f>IF('16'!A15="","",'16'!A15)</f>
        <v/>
      </c>
      <c r="B15" s="16">
        <f>IF('16'!B15="","",'16'!B15)</f>
        <v>2</v>
      </c>
      <c r="C15" s="17" t="str">
        <f>IF('16'!C15="","",'16'!C15)</f>
        <v>増山　大治郎</v>
      </c>
      <c r="D15" s="266">
        <f>IF('16'!D15="","",'16'!D15)</f>
        <v>12159</v>
      </c>
      <c r="E15" s="17" t="str">
        <f>IF('16'!E15="","",'16'!E15)</f>
        <v>ジャバ</v>
      </c>
      <c r="F15" s="266">
        <f>IF('16'!F15="","",'16'!F15)</f>
        <v>61134</v>
      </c>
      <c r="G15" s="17" t="str">
        <f>IF('16'!G15="","",'16'!G15)</f>
        <v>筑波スカイラインスティーブル</v>
      </c>
    </row>
    <row r="16" spans="1:7" s="19" customFormat="1" ht="23.1" customHeight="1">
      <c r="A16" s="16" t="str">
        <f>IF('16'!A16="","",'16'!A16)</f>
        <v/>
      </c>
      <c r="B16" s="16">
        <f>IF('16'!B16="","",'16'!B16)</f>
        <v>3</v>
      </c>
      <c r="C16" s="17" t="str">
        <f>IF('16'!C16="","",'16'!C16)</f>
        <v>増山　煌侑</v>
      </c>
      <c r="D16" s="266">
        <f>IF('16'!D16="","",'16'!D16)</f>
        <v>33538</v>
      </c>
      <c r="E16" s="17" t="str">
        <f>IF('16'!E16="","",'16'!E16)</f>
        <v>エルピス</v>
      </c>
      <c r="F16" s="266">
        <f>IF('16'!F16="","",'16'!F16)</f>
        <v>61781</v>
      </c>
      <c r="G16" s="17" t="str">
        <f>IF('16'!G16="","",'16'!G16)</f>
        <v>小山乗馬クラブ</v>
      </c>
    </row>
    <row r="17" spans="1:7" s="19" customFormat="1" ht="23.1" customHeight="1">
      <c r="A17" s="16" t="str">
        <f>IF('16'!A17="","",'16'!A17)</f>
        <v/>
      </c>
      <c r="B17" s="16">
        <f>IF('16'!B17="","",'16'!B17)</f>
        <v>4</v>
      </c>
      <c r="C17" s="17" t="str">
        <f>IF('16'!C17="","",'16'!C17)</f>
        <v>藤本　光国</v>
      </c>
      <c r="D17" s="266">
        <f>IF('16'!D17="","",'16'!D17)</f>
        <v>18834</v>
      </c>
      <c r="E17" s="17" t="str">
        <f>IF('16'!E17="","",'16'!E17)</f>
        <v>ドラゴネラ</v>
      </c>
      <c r="F17" s="266">
        <f>IF('16'!F17="","",'16'!F17)</f>
        <v>61895</v>
      </c>
      <c r="G17" s="17" t="str">
        <f>IF('16'!G17="","",'16'!G17)</f>
        <v>Horses' New Stage</v>
      </c>
    </row>
    <row r="18" spans="1:7" s="19" customFormat="1" ht="23.1" customHeight="1">
      <c r="A18" s="16" t="str">
        <f>IF('16'!A18="","",'16'!A18)</f>
        <v>WD</v>
      </c>
      <c r="B18" s="16">
        <f>IF('16'!B18="","",'16'!B18)</f>
        <v>5</v>
      </c>
      <c r="C18" s="17" t="str">
        <f>IF('16'!C18="","",'16'!C18)</f>
        <v>渡邊　菜々美</v>
      </c>
      <c r="D18" s="266" t="str">
        <f>IF('16'!D18="","",'16'!D18)</f>
        <v>-</v>
      </c>
      <c r="E18" s="17" t="str">
        <f>IF('16'!E18="","",'16'!E18)</f>
        <v>紅陵</v>
      </c>
      <c r="F18" s="266">
        <f>IF('16'!F18="","",'16'!F18)</f>
        <v>58208</v>
      </c>
      <c r="G18" s="17" t="str">
        <f>IF('16'!G18="","",'16'!G18)</f>
        <v>拓殖大学馬術部</v>
      </c>
    </row>
    <row r="19" spans="1:7" s="19" customFormat="1" ht="23.1" customHeight="1">
      <c r="A19" s="16" t="str">
        <f>IF('16'!A19="","",'16'!A19)</f>
        <v/>
      </c>
      <c r="B19" s="16">
        <f>IF('16'!B19="","",'16'!B19)</f>
        <v>6</v>
      </c>
      <c r="C19" s="17" t="str">
        <f>IF('16'!C19="","",'16'!C19)</f>
        <v/>
      </c>
      <c r="D19" s="266" t="str">
        <f>IF('16'!D19="","",'16'!D19)</f>
        <v/>
      </c>
      <c r="E19" s="17" t="str">
        <f>IF('16'!E19="","",'16'!E19)</f>
        <v/>
      </c>
      <c r="F19" s="266" t="str">
        <f>IF('16'!F19="","",'16'!F19)</f>
        <v/>
      </c>
      <c r="G19" s="17" t="str">
        <f>IF('16'!G19="","",'16'!G19)</f>
        <v/>
      </c>
    </row>
    <row r="20" spans="1:7" s="19" customFormat="1" ht="23.1" customHeight="1">
      <c r="A20" s="16" t="str">
        <f>IF('16'!A20="","",'16'!A20)</f>
        <v/>
      </c>
      <c r="B20" s="16">
        <f>IF('16'!B20="","",'16'!B20)</f>
        <v>7</v>
      </c>
      <c r="C20" s="17" t="str">
        <f>IF('16'!C20="","",'16'!C20)</f>
        <v/>
      </c>
      <c r="D20" s="266" t="str">
        <f>IF('16'!D20="","",'16'!D20)</f>
        <v/>
      </c>
      <c r="E20" s="17" t="str">
        <f>IF('16'!E20="","",'16'!E20)</f>
        <v/>
      </c>
      <c r="F20" s="266" t="str">
        <f>IF('16'!F20="","",'16'!F20)</f>
        <v/>
      </c>
      <c r="G20" s="17" t="str">
        <f>IF('16'!G20="","",'16'!G20)</f>
        <v/>
      </c>
    </row>
    <row r="21" spans="1:7" s="19" customFormat="1" ht="23.1" customHeight="1">
      <c r="A21" s="16" t="str">
        <f>IF('16'!A21="","",'16'!A21)</f>
        <v/>
      </c>
      <c r="B21" s="16">
        <f>IF('16'!B21="","",'16'!B21)</f>
        <v>8</v>
      </c>
      <c r="C21" s="17" t="str">
        <f>IF('16'!C21="","",'16'!C21)</f>
        <v/>
      </c>
      <c r="D21" s="266" t="str">
        <f>IF('16'!D21="","",'16'!D21)</f>
        <v/>
      </c>
      <c r="E21" s="17" t="str">
        <f>IF('16'!E21="","",'16'!E21)</f>
        <v/>
      </c>
      <c r="F21" s="266" t="str">
        <f>IF('16'!F21="","",'16'!F21)</f>
        <v/>
      </c>
      <c r="G21" s="17" t="str">
        <f>IF('16'!G21="","",'16'!G21)</f>
        <v/>
      </c>
    </row>
    <row r="22" spans="1:7" s="19" customFormat="1" ht="23.1" customHeight="1">
      <c r="A22" s="16" t="str">
        <f>IF('16'!A22="","",'16'!A22)</f>
        <v/>
      </c>
      <c r="B22" s="16">
        <f>IF('16'!B22="","",'16'!B22)</f>
        <v>9</v>
      </c>
      <c r="C22" s="17" t="str">
        <f>IF('16'!C22="","",'16'!C22)</f>
        <v/>
      </c>
      <c r="D22" s="266" t="str">
        <f>IF('16'!D22="","",'16'!D22)</f>
        <v/>
      </c>
      <c r="E22" s="17" t="str">
        <f>IF('16'!E22="","",'16'!E22)</f>
        <v/>
      </c>
      <c r="F22" s="266" t="str">
        <f>IF('16'!F22="","",'16'!F22)</f>
        <v/>
      </c>
      <c r="G22" s="17" t="str">
        <f>IF('16'!G22="","",'16'!G22)</f>
        <v/>
      </c>
    </row>
    <row r="23" spans="1:7" s="19" customFormat="1" ht="23.1" customHeight="1">
      <c r="A23" s="16" t="str">
        <f>IF('16'!A23="","",'16'!A23)</f>
        <v/>
      </c>
      <c r="B23" s="16">
        <f>IF('16'!B23="","",'16'!B23)</f>
        <v>10</v>
      </c>
      <c r="C23" s="17" t="str">
        <f>IF('16'!C23="","",'16'!C23)</f>
        <v/>
      </c>
      <c r="D23" s="266" t="str">
        <f>IF('16'!D23="","",'16'!D23)</f>
        <v/>
      </c>
      <c r="E23" s="17" t="str">
        <f>IF('16'!E23="","",'16'!E23)</f>
        <v/>
      </c>
      <c r="F23" s="266" t="str">
        <f>IF('16'!F23="","",'16'!F23)</f>
        <v/>
      </c>
      <c r="G23" s="17" t="str">
        <f>IF('16'!G23="","",'16'!G23)</f>
        <v/>
      </c>
    </row>
    <row r="24" spans="1:7" s="19" customFormat="1" ht="23.1" customHeight="1">
      <c r="A24" s="16" t="str">
        <f>IF('16'!A24="","",'16'!A24)</f>
        <v/>
      </c>
      <c r="B24" s="16">
        <f>IF('16'!B24="","",'16'!B24)</f>
        <v>11</v>
      </c>
      <c r="C24" s="17" t="str">
        <f>IF('16'!C24="","",'16'!C24)</f>
        <v/>
      </c>
      <c r="D24" s="266" t="str">
        <f>IF('16'!D24="","",'16'!D24)</f>
        <v/>
      </c>
      <c r="E24" s="17" t="str">
        <f>IF('16'!E24="","",'16'!E24)</f>
        <v/>
      </c>
      <c r="F24" s="266" t="str">
        <f>IF('16'!F24="","",'16'!F24)</f>
        <v/>
      </c>
      <c r="G24" s="17" t="str">
        <f>IF('16'!G24="","",'16'!G24)</f>
        <v/>
      </c>
    </row>
    <row r="25" spans="1:7" s="19" customFormat="1" ht="23.1" customHeight="1">
      <c r="A25" s="16" t="str">
        <f>IF('16'!A25="","",'16'!A25)</f>
        <v/>
      </c>
      <c r="B25" s="16">
        <f>IF('16'!B25="","",'16'!B25)</f>
        <v>12</v>
      </c>
      <c r="C25" s="17" t="str">
        <f>IF('16'!C25="","",'16'!C25)</f>
        <v/>
      </c>
      <c r="D25" s="266" t="str">
        <f>IF('16'!D25="","",'16'!D25)</f>
        <v/>
      </c>
      <c r="E25" s="17" t="str">
        <f>IF('16'!E25="","",'16'!E25)</f>
        <v/>
      </c>
      <c r="F25" s="266" t="str">
        <f>IF('16'!F25="","",'16'!F25)</f>
        <v/>
      </c>
      <c r="G25" s="17" t="str">
        <f>IF('16'!G25="","",'16'!G25)</f>
        <v/>
      </c>
    </row>
    <row r="26" spans="1:7" s="19" customFormat="1" ht="23.1" customHeight="1">
      <c r="A26" s="16" t="str">
        <f>IF('16'!A26="","",'16'!A26)</f>
        <v/>
      </c>
      <c r="B26" s="16">
        <f>IF('16'!B26="","",'16'!B26)</f>
        <v>13</v>
      </c>
      <c r="C26" s="17" t="str">
        <f>IF('16'!C26="","",'16'!C26)</f>
        <v/>
      </c>
      <c r="D26" s="266" t="str">
        <f>IF('16'!D26="","",'16'!D26)</f>
        <v/>
      </c>
      <c r="E26" s="17" t="str">
        <f>IF('16'!E26="","",'16'!E26)</f>
        <v/>
      </c>
      <c r="F26" s="266" t="str">
        <f>IF('16'!F26="","",'16'!F26)</f>
        <v/>
      </c>
      <c r="G26" s="17" t="str">
        <f>IF('16'!G26="","",'16'!G26)</f>
        <v/>
      </c>
    </row>
    <row r="27" spans="1:7" s="19" customFormat="1" ht="23.1" customHeight="1">
      <c r="A27" s="16" t="str">
        <f>IF('16'!A27="","",'16'!A27)</f>
        <v/>
      </c>
      <c r="B27" s="16">
        <f>IF('16'!B27="","",'16'!B27)</f>
        <v>14</v>
      </c>
      <c r="C27" s="17" t="str">
        <f>IF('16'!C27="","",'16'!C27)</f>
        <v/>
      </c>
      <c r="D27" s="266" t="str">
        <f>IF('16'!D27="","",'16'!D27)</f>
        <v/>
      </c>
      <c r="E27" s="17" t="str">
        <f>IF('16'!E27="","",'16'!E27)</f>
        <v/>
      </c>
      <c r="F27" s="266" t="str">
        <f>IF('16'!F27="","",'16'!F27)</f>
        <v/>
      </c>
      <c r="G27" s="17" t="str">
        <f>IF('16'!G27="","",'16'!G27)</f>
        <v/>
      </c>
    </row>
    <row r="28" spans="1:7" s="19" customFormat="1" ht="23.1" customHeight="1">
      <c r="A28" s="16" t="str">
        <f>IF('16'!A28="","",'16'!A28)</f>
        <v/>
      </c>
      <c r="B28" s="16">
        <f>IF('16'!B28="","",'16'!B28)</f>
        <v>15</v>
      </c>
      <c r="C28" s="17" t="str">
        <f>IF('16'!C28="","",'16'!C28)</f>
        <v/>
      </c>
      <c r="D28" s="266" t="str">
        <f>IF('16'!D28="","",'16'!D28)</f>
        <v/>
      </c>
      <c r="E28" s="17" t="str">
        <f>IF('16'!E28="","",'16'!E28)</f>
        <v/>
      </c>
      <c r="F28" s="266" t="str">
        <f>IF('16'!F28="","",'16'!F28)</f>
        <v/>
      </c>
      <c r="G28" s="17" t="str">
        <f>IF('16'!G28="","",'16'!G28)</f>
        <v/>
      </c>
    </row>
    <row r="29" spans="1:7" s="19" customFormat="1" ht="23.1" customHeight="1">
      <c r="A29" s="16" t="str">
        <f>IF('16'!A29="","",'16'!A29)</f>
        <v/>
      </c>
      <c r="B29" s="16">
        <f>IF('16'!B29="","",'16'!B29)</f>
        <v>16</v>
      </c>
      <c r="C29" s="17" t="str">
        <f>IF('16'!C29="","",'16'!C29)</f>
        <v/>
      </c>
      <c r="D29" s="266" t="str">
        <f>IF('16'!D29="","",'16'!D29)</f>
        <v/>
      </c>
      <c r="E29" s="17" t="str">
        <f>IF('16'!E29="","",'16'!E29)</f>
        <v/>
      </c>
      <c r="F29" s="266" t="str">
        <f>IF('16'!F29="","",'16'!F29)</f>
        <v/>
      </c>
      <c r="G29" s="17" t="str">
        <f>IF('16'!G29="","",'16'!G29)</f>
        <v/>
      </c>
    </row>
    <row r="30" spans="1:7" s="19" customFormat="1" ht="23.1" customHeight="1">
      <c r="A30" s="16" t="str">
        <f>IF('16'!A30="","",'16'!A30)</f>
        <v/>
      </c>
      <c r="B30" s="16">
        <f>IF('16'!B30="","",'16'!B30)</f>
        <v>17</v>
      </c>
      <c r="C30" s="17" t="str">
        <f>IF('16'!C30="","",'16'!C30)</f>
        <v/>
      </c>
      <c r="D30" s="266" t="str">
        <f>IF('16'!D30="","",'16'!D30)</f>
        <v/>
      </c>
      <c r="E30" s="17" t="str">
        <f>IF('16'!E30="","",'16'!E30)</f>
        <v/>
      </c>
      <c r="F30" s="266" t="str">
        <f>IF('16'!F30="","",'16'!F30)</f>
        <v/>
      </c>
      <c r="G30" s="17" t="str">
        <f>IF('16'!G30="","",'16'!G30)</f>
        <v/>
      </c>
    </row>
    <row r="31" spans="1:7" s="19" customFormat="1" ht="23.1" customHeight="1">
      <c r="A31" s="16" t="str">
        <f>IF('16'!A31="","",'16'!A31)</f>
        <v/>
      </c>
      <c r="B31" s="16">
        <f>IF('16'!B31="","",'16'!B31)</f>
        <v>18</v>
      </c>
      <c r="C31" s="17" t="str">
        <f>IF('16'!C31="","",'16'!C31)</f>
        <v/>
      </c>
      <c r="D31" s="266" t="str">
        <f>IF('16'!D31="","",'16'!D31)</f>
        <v/>
      </c>
      <c r="E31" s="17" t="str">
        <f>IF('16'!E31="","",'16'!E31)</f>
        <v/>
      </c>
      <c r="F31" s="266" t="str">
        <f>IF('16'!F31="","",'16'!F31)</f>
        <v/>
      </c>
      <c r="G31" s="17" t="str">
        <f>IF('16'!G31="","",'16'!G31)</f>
        <v/>
      </c>
    </row>
    <row r="32" spans="1:7" s="19" customFormat="1" ht="23.1" customHeight="1">
      <c r="A32" s="16" t="str">
        <f>IF('16'!A32="","",'16'!A32)</f>
        <v/>
      </c>
      <c r="B32" s="16">
        <f>IF('16'!B32="","",'16'!B32)</f>
        <v>19</v>
      </c>
      <c r="C32" s="17" t="str">
        <f>IF('16'!C32="","",'16'!C32)</f>
        <v/>
      </c>
      <c r="D32" s="266" t="str">
        <f>IF('16'!D32="","",'16'!D32)</f>
        <v/>
      </c>
      <c r="E32" s="17" t="str">
        <f>IF('16'!E32="","",'16'!E32)</f>
        <v/>
      </c>
      <c r="F32" s="266" t="str">
        <f>IF('16'!F32="","",'16'!F32)</f>
        <v/>
      </c>
      <c r="G32" s="17" t="str">
        <f>IF('16'!G32="","",'16'!G32)</f>
        <v/>
      </c>
    </row>
    <row r="33" spans="1:7" s="19" customFormat="1" ht="23.1" customHeight="1">
      <c r="A33" s="16" t="str">
        <f>IF('16'!A33="","",'16'!A33)</f>
        <v/>
      </c>
      <c r="B33" s="16">
        <f>IF('16'!B33="","",'16'!B33)</f>
        <v>20</v>
      </c>
      <c r="C33" s="17" t="str">
        <f>IF('16'!C33="","",'16'!C33)</f>
        <v/>
      </c>
      <c r="D33" s="266" t="str">
        <f>IF('16'!D33="","",'16'!D33)</f>
        <v/>
      </c>
      <c r="E33" s="17" t="str">
        <f>IF('16'!E33="","",'16'!E33)</f>
        <v/>
      </c>
      <c r="F33" s="266" t="str">
        <f>IF('16'!F33="","",'16'!F33)</f>
        <v/>
      </c>
      <c r="G33" s="17" t="str">
        <f>IF('16'!G33="","",'16'!G33)</f>
        <v/>
      </c>
    </row>
    <row r="34" spans="1:7" s="19" customFormat="1" ht="23.1" customHeight="1">
      <c r="A34" s="16" t="str">
        <f>IF('16'!A34="","",'16'!A34)</f>
        <v/>
      </c>
      <c r="B34" s="16">
        <f>IF('16'!B34="","",'16'!B34)</f>
        <v>21</v>
      </c>
      <c r="C34" s="17" t="str">
        <f>IF('16'!C34="","",'16'!C34)</f>
        <v/>
      </c>
      <c r="D34" s="266" t="str">
        <f>IF('16'!D34="","",'16'!D34)</f>
        <v/>
      </c>
      <c r="E34" s="17" t="str">
        <f>IF('16'!E34="","",'16'!E34)</f>
        <v/>
      </c>
      <c r="F34" s="266" t="str">
        <f>IF('16'!F34="","",'16'!F34)</f>
        <v/>
      </c>
      <c r="G34" s="17" t="str">
        <f>IF('16'!G34="","",'16'!G34)</f>
        <v/>
      </c>
    </row>
    <row r="35" spans="1:7" s="19" customFormat="1" ht="23.1" customHeight="1">
      <c r="A35" s="16" t="str">
        <f>IF('16'!A35="","",'16'!A35)</f>
        <v/>
      </c>
      <c r="B35" s="16">
        <f>IF('16'!B35="","",'16'!B35)</f>
        <v>22</v>
      </c>
      <c r="C35" s="17" t="str">
        <f>IF('16'!C35="","",'16'!C35)</f>
        <v/>
      </c>
      <c r="D35" s="266" t="str">
        <f>IF('16'!D35="","",'16'!D35)</f>
        <v/>
      </c>
      <c r="E35" s="17" t="str">
        <f>IF('16'!E35="","",'16'!E35)</f>
        <v/>
      </c>
      <c r="F35" s="266" t="str">
        <f>IF('16'!F35="","",'16'!F35)</f>
        <v/>
      </c>
      <c r="G35" s="17" t="str">
        <f>IF('16'!G35="","",'16'!G35)</f>
        <v/>
      </c>
    </row>
    <row r="36" spans="1:7" s="19" customFormat="1" ht="23.1" customHeight="1">
      <c r="A36" s="16" t="str">
        <f>IF('16'!A36="","",'16'!A36)</f>
        <v/>
      </c>
      <c r="B36" s="16">
        <f>IF('16'!B36="","",'16'!B36)</f>
        <v>23</v>
      </c>
      <c r="C36" s="17" t="str">
        <f>IF('16'!C36="","",'16'!C36)</f>
        <v/>
      </c>
      <c r="D36" s="266" t="str">
        <f>IF('16'!D36="","",'16'!D36)</f>
        <v/>
      </c>
      <c r="E36" s="17" t="str">
        <f>IF('16'!E36="","",'16'!E36)</f>
        <v/>
      </c>
      <c r="F36" s="266" t="str">
        <f>IF('16'!F36="","",'16'!F36)</f>
        <v/>
      </c>
      <c r="G36" s="17" t="str">
        <f>IF('16'!G36="","",'16'!G36)</f>
        <v/>
      </c>
    </row>
    <row r="37" spans="1:7" s="19" customFormat="1" ht="23.1" customHeight="1">
      <c r="A37" s="16" t="str">
        <f>IF('16'!A37="","",'16'!A37)</f>
        <v/>
      </c>
      <c r="B37" s="16">
        <f>IF('16'!B37="","",'16'!B37)</f>
        <v>24</v>
      </c>
      <c r="C37" s="17" t="str">
        <f>IF('16'!C37="","",'16'!C37)</f>
        <v/>
      </c>
      <c r="D37" s="266" t="str">
        <f>IF('16'!D37="","",'16'!D37)</f>
        <v/>
      </c>
      <c r="E37" s="17" t="str">
        <f>IF('16'!E37="","",'16'!E37)</f>
        <v/>
      </c>
      <c r="F37" s="266" t="str">
        <f>IF('16'!F37="","",'16'!F37)</f>
        <v/>
      </c>
      <c r="G37" s="17" t="str">
        <f>IF('16'!G37="","",'16'!G37)</f>
        <v/>
      </c>
    </row>
    <row r="38" spans="1:7" s="19" customFormat="1" ht="23.1" customHeight="1">
      <c r="A38" s="16" t="str">
        <f>IF('16'!A38="","",'16'!A38)</f>
        <v/>
      </c>
      <c r="B38" s="16">
        <f>IF('16'!B38="","",'16'!B38)</f>
        <v>25</v>
      </c>
      <c r="C38" s="17" t="str">
        <f>IF('16'!C38="","",'16'!C38)</f>
        <v/>
      </c>
      <c r="D38" s="266" t="str">
        <f>IF('16'!D38="","",'16'!D38)</f>
        <v/>
      </c>
      <c r="E38" s="17" t="str">
        <f>IF('16'!E38="","",'16'!E38)</f>
        <v/>
      </c>
      <c r="F38" s="266" t="str">
        <f>IF('16'!F38="","",'16'!F38)</f>
        <v/>
      </c>
      <c r="G38" s="17" t="str">
        <f>IF('16'!G38="","",'16'!G38)</f>
        <v/>
      </c>
    </row>
    <row r="39" spans="1:7" s="19" customFormat="1" ht="23.1" customHeight="1">
      <c r="A39" s="16" t="str">
        <f>IF('16'!A39="","",'16'!A39)</f>
        <v/>
      </c>
      <c r="B39" s="16">
        <f>IF('16'!B39="","",'16'!B39)</f>
        <v>26</v>
      </c>
      <c r="C39" s="17" t="str">
        <f>IF('16'!C39="","",'16'!C39)</f>
        <v/>
      </c>
      <c r="D39" s="266" t="str">
        <f>IF('16'!D39="","",'16'!D39)</f>
        <v/>
      </c>
      <c r="E39" s="17" t="str">
        <f>IF('16'!E39="","",'16'!E39)</f>
        <v/>
      </c>
      <c r="F39" s="266" t="str">
        <f>IF('16'!F39="","",'16'!F39)</f>
        <v/>
      </c>
      <c r="G39" s="17" t="str">
        <f>IF('16'!G39="","",'16'!G39)</f>
        <v/>
      </c>
    </row>
    <row r="40" spans="1:7" s="19" customFormat="1" ht="23.1" customHeight="1">
      <c r="A40" s="16" t="str">
        <f>IF('16'!A40="","",'16'!A40)</f>
        <v/>
      </c>
      <c r="B40" s="16">
        <f>IF('16'!B40="","",'16'!B40)</f>
        <v>27</v>
      </c>
      <c r="C40" s="17" t="str">
        <f>IF('16'!C40="","",'16'!C40)</f>
        <v/>
      </c>
      <c r="D40" s="266" t="str">
        <f>IF('16'!D40="","",'16'!D40)</f>
        <v/>
      </c>
      <c r="E40" s="17" t="str">
        <f>IF('16'!E40="","",'16'!E40)</f>
        <v/>
      </c>
      <c r="F40" s="266" t="str">
        <f>IF('16'!F40="","",'16'!F40)</f>
        <v/>
      </c>
      <c r="G40" s="17" t="str">
        <f>IF('16'!G40="","",'16'!G40)</f>
        <v/>
      </c>
    </row>
    <row r="41" spans="1:7" s="19" customFormat="1" ht="23.1" customHeight="1">
      <c r="A41" s="16" t="str">
        <f>IF('16'!A41="","",'16'!A41)</f>
        <v/>
      </c>
      <c r="B41" s="16">
        <f>IF('16'!B41="","",'16'!B41)</f>
        <v>28</v>
      </c>
      <c r="C41" s="17" t="str">
        <f>IF('16'!C41="","",'16'!C41)</f>
        <v/>
      </c>
      <c r="D41" s="266" t="str">
        <f>IF('16'!D41="","",'16'!D41)</f>
        <v/>
      </c>
      <c r="E41" s="17" t="str">
        <f>IF('16'!E41="","",'16'!E41)</f>
        <v/>
      </c>
      <c r="F41" s="266" t="str">
        <f>IF('16'!F41="","",'16'!F41)</f>
        <v/>
      </c>
      <c r="G41" s="17" t="str">
        <f>IF('16'!G41="","",'16'!G41)</f>
        <v/>
      </c>
    </row>
    <row r="42" spans="1:7" s="19" customFormat="1" ht="23.1" customHeight="1">
      <c r="A42" s="16" t="str">
        <f>IF('16'!A42="","",'16'!A42)</f>
        <v/>
      </c>
      <c r="B42" s="16">
        <f>IF('16'!B42="","",'16'!B42)</f>
        <v>29</v>
      </c>
      <c r="C42" s="17" t="str">
        <f>IF('16'!C42="","",'16'!C42)</f>
        <v/>
      </c>
      <c r="D42" s="266" t="str">
        <f>IF('16'!D42="","",'16'!D42)</f>
        <v/>
      </c>
      <c r="E42" s="17" t="str">
        <f>IF('16'!E42="","",'16'!E42)</f>
        <v/>
      </c>
      <c r="F42" s="266" t="str">
        <f>IF('16'!F42="","",'16'!F42)</f>
        <v/>
      </c>
      <c r="G42" s="17" t="str">
        <f>IF('16'!G42="","",'16'!G42)</f>
        <v/>
      </c>
    </row>
    <row r="43" spans="1:7" s="19" customFormat="1" ht="23.1" customHeight="1">
      <c r="A43" s="16" t="str">
        <f>IF('16'!A43="","",'16'!A43)</f>
        <v/>
      </c>
      <c r="B43" s="16">
        <f>IF('16'!B43="","",'16'!B43)</f>
        <v>30</v>
      </c>
      <c r="C43" s="17" t="str">
        <f>IF('16'!C43="","",'16'!C43)</f>
        <v/>
      </c>
      <c r="D43" s="266" t="str">
        <f>IF('16'!D43="","",'16'!D43)</f>
        <v/>
      </c>
      <c r="E43" s="17" t="str">
        <f>IF('16'!E43="","",'16'!E43)</f>
        <v/>
      </c>
      <c r="F43" s="266" t="str">
        <f>IF('16'!F43="","",'16'!F43)</f>
        <v/>
      </c>
      <c r="G43" s="17" t="str">
        <f>IF('16'!G43="","",'16'!G43)</f>
        <v/>
      </c>
    </row>
    <row r="44" spans="1:7" ht="23.1" customHeight="1">
      <c r="A44" s="16" t="str">
        <f>IF('16'!A44="","",'16'!A44)</f>
        <v/>
      </c>
      <c r="B44" s="16">
        <f>IF('16'!B44="","",'16'!B44)</f>
        <v>31</v>
      </c>
      <c r="C44" s="17" t="str">
        <f>IF('16'!C44="","",'16'!C44)</f>
        <v/>
      </c>
      <c r="D44" s="266" t="str">
        <f>IF('16'!D44="","",'16'!D44)</f>
        <v/>
      </c>
      <c r="E44" s="17" t="str">
        <f>IF('16'!E44="","",'16'!E44)</f>
        <v/>
      </c>
      <c r="F44" s="266" t="str">
        <f>IF('16'!F44="","",'16'!F44)</f>
        <v/>
      </c>
      <c r="G44" s="17" t="str">
        <f>IF('16'!G44="","",'16'!G44)</f>
        <v/>
      </c>
    </row>
    <row r="45" spans="1:7" ht="23.1" customHeight="1">
      <c r="A45" s="16" t="str">
        <f>IF('16'!A45="","",'16'!A45)</f>
        <v/>
      </c>
      <c r="B45" s="16">
        <f>IF('16'!B45="","",'16'!B45)</f>
        <v>32</v>
      </c>
      <c r="C45" s="17" t="str">
        <f>IF('16'!C45="","",'16'!C45)</f>
        <v/>
      </c>
      <c r="D45" s="266" t="str">
        <f>IF('16'!D45="","",'16'!D45)</f>
        <v/>
      </c>
      <c r="E45" s="17" t="str">
        <f>IF('16'!E45="","",'16'!E45)</f>
        <v/>
      </c>
      <c r="F45" s="266" t="str">
        <f>IF('16'!F45="","",'16'!F45)</f>
        <v/>
      </c>
      <c r="G45" s="17" t="str">
        <f>IF('16'!G45="","",'16'!G45)</f>
        <v/>
      </c>
    </row>
    <row r="46" spans="1:7" ht="23.1" customHeight="1">
      <c r="A46" s="16" t="str">
        <f>IF('16'!A46="","",'16'!A46)</f>
        <v/>
      </c>
      <c r="B46" s="16">
        <f>IF('16'!B46="","",'16'!B46)</f>
        <v>33</v>
      </c>
      <c r="C46" s="17" t="str">
        <f>IF('16'!C46="","",'16'!C46)</f>
        <v/>
      </c>
      <c r="D46" s="266" t="str">
        <f>IF('16'!D46="","",'16'!D46)</f>
        <v/>
      </c>
      <c r="E46" s="17" t="str">
        <f>IF('16'!E46="","",'16'!E46)</f>
        <v/>
      </c>
      <c r="F46" s="266" t="str">
        <f>IF('16'!F46="","",'16'!F46)</f>
        <v/>
      </c>
      <c r="G46" s="17" t="str">
        <f>IF('16'!G46="","",'16'!G46)</f>
        <v/>
      </c>
    </row>
    <row r="47" spans="1:7" ht="23.1" customHeight="1">
      <c r="A47" s="16" t="str">
        <f>IF('16'!A47="","",'16'!A47)</f>
        <v/>
      </c>
      <c r="B47" s="16">
        <f>IF('16'!B47="","",'16'!B47)</f>
        <v>34</v>
      </c>
      <c r="C47" s="17" t="str">
        <f>IF('16'!C47="","",'16'!C47)</f>
        <v/>
      </c>
      <c r="D47" s="266" t="str">
        <f>IF('16'!D47="","",'16'!D47)</f>
        <v/>
      </c>
      <c r="E47" s="17" t="str">
        <f>IF('16'!E47="","",'16'!E47)</f>
        <v/>
      </c>
      <c r="F47" s="266" t="str">
        <f>IF('16'!F47="","",'16'!F47)</f>
        <v/>
      </c>
      <c r="G47" s="17" t="str">
        <f>IF('16'!G47="","",'16'!G47)</f>
        <v/>
      </c>
    </row>
    <row r="48" spans="1:7" ht="23.1" customHeight="1">
      <c r="A48" s="16" t="str">
        <f>IF('16'!A48="","",'16'!A48)</f>
        <v/>
      </c>
      <c r="B48" s="16">
        <f>IF('16'!B48="","",'16'!B48)</f>
        <v>35</v>
      </c>
      <c r="C48" s="17" t="str">
        <f>IF('16'!C48="","",'16'!C48)</f>
        <v/>
      </c>
      <c r="D48" s="266" t="str">
        <f>IF('16'!D48="","",'16'!D48)</f>
        <v/>
      </c>
      <c r="E48" s="17" t="str">
        <f>IF('16'!E48="","",'16'!E48)</f>
        <v/>
      </c>
      <c r="F48" s="266" t="str">
        <f>IF('16'!F48="","",'16'!F48)</f>
        <v/>
      </c>
      <c r="G48" s="17" t="str">
        <f>IF('16'!G48="","",'16'!G48)</f>
        <v/>
      </c>
    </row>
    <row r="49" spans="1:7" ht="23.1" customHeight="1">
      <c r="A49" s="16" t="str">
        <f>IF('16'!A49="","",'16'!A49)</f>
        <v/>
      </c>
      <c r="B49" s="16">
        <f>IF('16'!B49="","",'16'!B49)</f>
        <v>36</v>
      </c>
      <c r="C49" s="17" t="str">
        <f>IF('16'!C49="","",'16'!C49)</f>
        <v/>
      </c>
      <c r="D49" s="266" t="str">
        <f>IF('16'!D49="","",'16'!D49)</f>
        <v/>
      </c>
      <c r="E49" s="17" t="str">
        <f>IF('16'!E49="","",'16'!E49)</f>
        <v/>
      </c>
      <c r="F49" s="266" t="str">
        <f>IF('16'!F49="","",'16'!F49)</f>
        <v/>
      </c>
      <c r="G49" s="17" t="str">
        <f>IF('16'!G49="","",'16'!G49)</f>
        <v/>
      </c>
    </row>
    <row r="50" spans="1:7" ht="23.1" customHeight="1">
      <c r="A50" s="16" t="str">
        <f>IF('16'!A50="","",'16'!A50)</f>
        <v/>
      </c>
      <c r="B50" s="16">
        <f>IF('16'!B50="","",'16'!B50)</f>
        <v>37</v>
      </c>
      <c r="C50" s="17" t="str">
        <f>IF('16'!C50="","",'16'!C50)</f>
        <v/>
      </c>
      <c r="D50" s="266" t="str">
        <f>IF('16'!D50="","",'16'!D50)</f>
        <v/>
      </c>
      <c r="E50" s="17" t="str">
        <f>IF('16'!E50="","",'16'!E50)</f>
        <v/>
      </c>
      <c r="F50" s="266" t="str">
        <f>IF('16'!F50="","",'16'!F50)</f>
        <v/>
      </c>
      <c r="G50" s="17" t="str">
        <f>IF('16'!G50="","",'16'!G50)</f>
        <v/>
      </c>
    </row>
    <row r="51" spans="1:7" ht="23.1" customHeight="1">
      <c r="A51" s="16" t="str">
        <f>IF('16'!A51="","",'16'!A51)</f>
        <v/>
      </c>
      <c r="B51" s="16">
        <f>IF('16'!B51="","",'16'!B51)</f>
        <v>38</v>
      </c>
      <c r="C51" s="17" t="str">
        <f>IF('16'!C51="","",'16'!C51)</f>
        <v/>
      </c>
      <c r="D51" s="266" t="str">
        <f>IF('16'!D51="","",'16'!D51)</f>
        <v/>
      </c>
      <c r="E51" s="17" t="str">
        <f>IF('16'!E51="","",'16'!E51)</f>
        <v/>
      </c>
      <c r="F51" s="266" t="str">
        <f>IF('16'!F51="","",'16'!F51)</f>
        <v/>
      </c>
      <c r="G51" s="17" t="str">
        <f>IF('16'!G51="","",'16'!G51)</f>
        <v/>
      </c>
    </row>
    <row r="52" spans="1:7" ht="23.1" customHeight="1">
      <c r="A52" s="16" t="str">
        <f>IF('16'!A52="","",'16'!A52)</f>
        <v/>
      </c>
      <c r="B52" s="16">
        <f>IF('16'!B52="","",'16'!B52)</f>
        <v>39</v>
      </c>
      <c r="C52" s="17" t="str">
        <f>IF('16'!C52="","",'16'!C52)</f>
        <v/>
      </c>
      <c r="D52" s="266" t="str">
        <f>IF('16'!D52="","",'16'!D52)</f>
        <v/>
      </c>
      <c r="E52" s="17" t="str">
        <f>IF('16'!E52="","",'16'!E52)</f>
        <v/>
      </c>
      <c r="F52" s="266" t="str">
        <f>IF('16'!F52="","",'16'!F52)</f>
        <v/>
      </c>
      <c r="G52" s="17" t="str">
        <f>IF('16'!G52="","",'16'!G52)</f>
        <v/>
      </c>
    </row>
    <row r="53" spans="1:7" ht="23.1" customHeight="1">
      <c r="A53" s="16" t="str">
        <f>IF('16'!A53="","",'16'!A53)</f>
        <v/>
      </c>
      <c r="B53" s="16">
        <f>IF('16'!B53="","",'16'!B53)</f>
        <v>40</v>
      </c>
      <c r="C53" s="17" t="str">
        <f>IF('16'!C53="","",'16'!C53)</f>
        <v/>
      </c>
      <c r="D53" s="266" t="str">
        <f>IF('16'!D53="","",'16'!D53)</f>
        <v/>
      </c>
      <c r="E53" s="17" t="str">
        <f>IF('16'!E53="","",'16'!E53)</f>
        <v/>
      </c>
      <c r="F53" s="266" t="str">
        <f>IF('16'!F53="","",'16'!F53)</f>
        <v/>
      </c>
      <c r="G53" s="17" t="str">
        <f>IF('16'!G53="","",'16'!G53)</f>
        <v/>
      </c>
    </row>
    <row r="54" spans="1:7" ht="23.1" customHeight="1">
      <c r="A54" s="16" t="str">
        <f>IF('16'!A54="","",'16'!A54)</f>
        <v/>
      </c>
      <c r="B54" s="16">
        <f>IF('16'!B54="","",'16'!B54)</f>
        <v>41</v>
      </c>
      <c r="C54" s="17" t="str">
        <f>IF('16'!C54="","",'16'!C54)</f>
        <v/>
      </c>
      <c r="D54" s="266" t="str">
        <f>IF('16'!D54="","",'16'!D54)</f>
        <v/>
      </c>
      <c r="E54" s="17" t="str">
        <f>IF('16'!E54="","",'16'!E54)</f>
        <v/>
      </c>
      <c r="F54" s="266" t="str">
        <f>IF('16'!F54="","",'16'!F54)</f>
        <v/>
      </c>
      <c r="G54" s="17" t="str">
        <f>IF('16'!G54="","",'16'!G54)</f>
        <v/>
      </c>
    </row>
    <row r="55" spans="1:7" ht="23.1" customHeight="1">
      <c r="A55" s="16" t="str">
        <f>IF('16'!A55="","",'16'!A55)</f>
        <v/>
      </c>
      <c r="B55" s="16">
        <f>IF('16'!B55="","",'16'!B55)</f>
        <v>42</v>
      </c>
      <c r="C55" s="17" t="str">
        <f>IF('16'!C55="","",'16'!C55)</f>
        <v/>
      </c>
      <c r="D55" s="266" t="str">
        <f>IF('16'!D55="","",'16'!D55)</f>
        <v/>
      </c>
      <c r="E55" s="17" t="str">
        <f>IF('16'!E55="","",'16'!E55)</f>
        <v/>
      </c>
      <c r="F55" s="266" t="str">
        <f>IF('16'!F55="","",'16'!F55)</f>
        <v/>
      </c>
      <c r="G55" s="17" t="str">
        <f>IF('16'!G55="","",'16'!G55)</f>
        <v/>
      </c>
    </row>
    <row r="56" spans="1:7" ht="23.1" customHeight="1">
      <c r="A56" s="16" t="str">
        <f>IF('16'!A56="","",'16'!A56)</f>
        <v/>
      </c>
      <c r="B56" s="16">
        <f>IF('16'!B56="","",'16'!B56)</f>
        <v>43</v>
      </c>
      <c r="C56" s="17" t="str">
        <f>IF('16'!C56="","",'16'!C56)</f>
        <v/>
      </c>
      <c r="D56" s="266" t="str">
        <f>IF('16'!D56="","",'16'!D56)</f>
        <v/>
      </c>
      <c r="E56" s="17" t="str">
        <f>IF('16'!E56="","",'16'!E56)</f>
        <v/>
      </c>
      <c r="F56" s="266" t="str">
        <f>IF('16'!F56="","",'16'!F56)</f>
        <v/>
      </c>
      <c r="G56" s="17" t="str">
        <f>IF('16'!G56="","",'16'!G56)</f>
        <v/>
      </c>
    </row>
    <row r="57" spans="1:7" ht="23.1" customHeight="1">
      <c r="A57" s="16" t="str">
        <f>IF('16'!A57="","",'16'!A57)</f>
        <v/>
      </c>
      <c r="B57" s="16">
        <f>IF('16'!B57="","",'16'!B57)</f>
        <v>44</v>
      </c>
      <c r="C57" s="17" t="str">
        <f>IF('16'!C57="","",'16'!C57)</f>
        <v/>
      </c>
      <c r="D57" s="266" t="str">
        <f>IF('16'!D57="","",'16'!D57)</f>
        <v/>
      </c>
      <c r="E57" s="17" t="str">
        <f>IF('16'!E57="","",'16'!E57)</f>
        <v/>
      </c>
      <c r="F57" s="266" t="str">
        <f>IF('16'!F57="","",'16'!F57)</f>
        <v/>
      </c>
      <c r="G57" s="17" t="str">
        <f>IF('16'!G57="","",'16'!G57)</f>
        <v/>
      </c>
    </row>
    <row r="58" spans="1:7" ht="23.1" customHeight="1">
      <c r="A58" s="16" t="str">
        <f>IF('16'!A58="","",'16'!A58)</f>
        <v/>
      </c>
      <c r="B58" s="16">
        <f>IF('16'!B58="","",'16'!B58)</f>
        <v>45</v>
      </c>
      <c r="C58" s="17" t="str">
        <f>IF('16'!C58="","",'16'!C58)</f>
        <v/>
      </c>
      <c r="D58" s="266" t="str">
        <f>IF('16'!D58="","",'16'!D58)</f>
        <v/>
      </c>
      <c r="E58" s="17" t="str">
        <f>IF('16'!E58="","",'16'!E58)</f>
        <v/>
      </c>
      <c r="F58" s="266" t="str">
        <f>IF('16'!F58="","",'16'!F58)</f>
        <v/>
      </c>
      <c r="G58" s="17" t="str">
        <f>IF('16'!G58="","",'16'!G58)</f>
        <v/>
      </c>
    </row>
    <row r="59" spans="1:7" ht="23.1" customHeight="1">
      <c r="A59" s="16" t="str">
        <f>IF('16'!A59="","",'16'!A59)</f>
        <v/>
      </c>
      <c r="B59" s="16" t="str">
        <f>IF('16'!B59="","",'16'!B59)</f>
        <v/>
      </c>
      <c r="C59" s="17" t="str">
        <f>IF('16'!C59="","",'16'!C59)</f>
        <v/>
      </c>
      <c r="D59" s="266" t="str">
        <f>IF('16'!D59="","",'16'!D59)</f>
        <v/>
      </c>
      <c r="E59" s="17" t="str">
        <f>IF('16'!E59="","",'16'!E59)</f>
        <v/>
      </c>
      <c r="F59" s="266" t="str">
        <f>IF('16'!F59="","",'16'!F59)</f>
        <v/>
      </c>
      <c r="G59" s="17" t="str">
        <f>IF('16'!G59="","",'16'!G59)</f>
        <v/>
      </c>
    </row>
    <row r="60" spans="1:7" ht="23.1" customHeight="1">
      <c r="A60" s="16" t="str">
        <f>IF('16'!A60="","",'16'!A60)</f>
        <v/>
      </c>
      <c r="B60" s="16" t="str">
        <f>IF('16'!B60="","",'16'!B60)</f>
        <v/>
      </c>
      <c r="C60" s="17" t="str">
        <f>IF('16'!C60="","",'16'!C60)</f>
        <v/>
      </c>
      <c r="D60" s="266" t="str">
        <f>IF('16'!D60="","",'16'!D60)</f>
        <v/>
      </c>
      <c r="E60" s="17" t="str">
        <f>IF('16'!E60="","",'16'!E60)</f>
        <v/>
      </c>
      <c r="F60" s="266" t="str">
        <f>IF('16'!F60="","",'16'!F60)</f>
        <v/>
      </c>
      <c r="G60" s="17" t="str">
        <f>IF('16'!G60="","",'16'!G60)</f>
        <v/>
      </c>
    </row>
    <row r="61" spans="1:7" ht="23.1" customHeight="1">
      <c r="A61" s="16" t="str">
        <f>IF('16'!A61="","",'16'!A61)</f>
        <v/>
      </c>
      <c r="B61" s="16" t="str">
        <f>IF('16'!B61="","",'16'!B61)</f>
        <v/>
      </c>
      <c r="C61" s="17" t="str">
        <f>IF('16'!C61="","",'16'!C61)</f>
        <v/>
      </c>
      <c r="D61" s="266" t="str">
        <f>IF('16'!D61="","",'16'!D61)</f>
        <v/>
      </c>
      <c r="E61" s="17" t="str">
        <f>IF('16'!E61="","",'16'!E61)</f>
        <v/>
      </c>
      <c r="F61" s="266" t="str">
        <f>IF('16'!F61="","",'16'!F61)</f>
        <v/>
      </c>
      <c r="G61" s="17" t="str">
        <f>IF('16'!G61="","",'16'!G61)</f>
        <v/>
      </c>
    </row>
    <row r="62" spans="1:7" ht="23.1" customHeight="1">
      <c r="A62" s="16" t="str">
        <f>IF('16'!A62="","",'16'!A62)</f>
        <v/>
      </c>
      <c r="B62" s="16" t="str">
        <f>IF('16'!B62="","",'16'!B62)</f>
        <v/>
      </c>
      <c r="C62" s="17" t="str">
        <f>IF('16'!C62="","",'16'!C62)</f>
        <v/>
      </c>
      <c r="D62" s="266" t="str">
        <f>IF('16'!D62="","",'16'!D62)</f>
        <v/>
      </c>
      <c r="E62" s="17" t="str">
        <f>IF('16'!E62="","",'16'!E62)</f>
        <v/>
      </c>
      <c r="F62" s="266" t="str">
        <f>IF('16'!F62="","",'16'!F62)</f>
        <v/>
      </c>
      <c r="G62" s="17" t="str">
        <f>IF('16'!G62="","",'16'!G62)</f>
        <v/>
      </c>
    </row>
    <row r="63" spans="1:7" ht="23.1" customHeight="1">
      <c r="A63" s="16" t="str">
        <f>IF('16'!A63="","",'16'!A63)</f>
        <v/>
      </c>
      <c r="B63" s="16" t="str">
        <f>IF('16'!B63="","",'16'!B63)</f>
        <v/>
      </c>
      <c r="C63" s="17" t="str">
        <f>IF('16'!C63="","",'16'!C63)</f>
        <v/>
      </c>
      <c r="D63" s="266" t="str">
        <f>IF('16'!D63="","",'16'!D63)</f>
        <v/>
      </c>
      <c r="E63" s="17" t="str">
        <f>IF('16'!E63="","",'16'!E63)</f>
        <v/>
      </c>
      <c r="F63" s="266" t="str">
        <f>IF('16'!F63="","",'16'!F63)</f>
        <v/>
      </c>
      <c r="G63" s="17" t="str">
        <f>IF('16'!G63="","",'16'!G63)</f>
        <v/>
      </c>
    </row>
    <row r="64" spans="1:7" ht="23.1" customHeight="1">
      <c r="A64" s="16" t="str">
        <f>IF('16'!A64="","",'16'!A64)</f>
        <v/>
      </c>
      <c r="B64" s="16" t="str">
        <f>IF('16'!B64="","",'16'!B64)</f>
        <v/>
      </c>
      <c r="C64" s="17" t="str">
        <f>IF('16'!C64="","",'16'!C64)</f>
        <v/>
      </c>
      <c r="D64" s="266" t="str">
        <f>IF('16'!D64="","",'16'!D64)</f>
        <v/>
      </c>
      <c r="E64" s="17" t="str">
        <f>IF('16'!E64="","",'16'!E64)</f>
        <v/>
      </c>
      <c r="F64" s="266" t="str">
        <f>IF('16'!F64="","",'16'!F64)</f>
        <v/>
      </c>
      <c r="G64" s="17" t="str">
        <f>IF('16'!G64="","",'16'!G64)</f>
        <v/>
      </c>
    </row>
    <row r="65" spans="1:7" ht="23.1" customHeight="1">
      <c r="A65" s="16" t="str">
        <f>IF('16'!A65="","",'16'!A65)</f>
        <v/>
      </c>
      <c r="B65" s="16" t="str">
        <f>IF('16'!B65="","",'16'!B65)</f>
        <v/>
      </c>
      <c r="C65" s="17" t="str">
        <f>IF('16'!C65="","",'16'!C65)</f>
        <v/>
      </c>
      <c r="D65" s="266" t="str">
        <f>IF('16'!D65="","",'16'!D65)</f>
        <v/>
      </c>
      <c r="E65" s="17" t="str">
        <f>IF('16'!E65="","",'16'!E65)</f>
        <v/>
      </c>
      <c r="F65" s="266" t="str">
        <f>IF('16'!F65="","",'16'!F65)</f>
        <v/>
      </c>
      <c r="G65" s="17" t="str">
        <f>IF('16'!G65="","",'16'!G65)</f>
        <v/>
      </c>
    </row>
    <row r="66" spans="1:7" ht="23.1" customHeight="1">
      <c r="A66" s="16" t="str">
        <f>IF('16'!A66="","",'16'!A66)</f>
        <v/>
      </c>
      <c r="B66" s="16" t="str">
        <f>IF('16'!B66="","",'16'!B66)</f>
        <v/>
      </c>
      <c r="C66" s="17" t="str">
        <f>IF('16'!C66="","",'16'!C66)</f>
        <v/>
      </c>
      <c r="D66" s="266" t="str">
        <f>IF('16'!D66="","",'16'!D66)</f>
        <v/>
      </c>
      <c r="E66" s="17" t="str">
        <f>IF('16'!E66="","",'16'!E66)</f>
        <v/>
      </c>
      <c r="F66" s="266" t="str">
        <f>IF('16'!F66="","",'16'!F66)</f>
        <v/>
      </c>
      <c r="G66" s="17" t="str">
        <f>IF('16'!G66="","",'16'!G66)</f>
        <v/>
      </c>
    </row>
    <row r="67" spans="1:7" ht="23.1" customHeight="1">
      <c r="A67" s="16" t="str">
        <f>IF('16'!A67="","",'16'!A67)</f>
        <v/>
      </c>
      <c r="B67" s="16" t="str">
        <f>IF('16'!B67="","",'16'!B67)</f>
        <v/>
      </c>
      <c r="C67" s="17" t="str">
        <f>IF('16'!C67="","",'16'!C67)</f>
        <v/>
      </c>
      <c r="D67" s="266" t="str">
        <f>IF('16'!D67="","",'16'!D67)</f>
        <v/>
      </c>
      <c r="E67" s="17" t="str">
        <f>IF('16'!E67="","",'16'!E67)</f>
        <v/>
      </c>
      <c r="F67" s="266" t="str">
        <f>IF('16'!F67="","",'16'!F67)</f>
        <v/>
      </c>
      <c r="G67" s="17" t="str">
        <f>IF('16'!G67="","",'16'!G67)</f>
        <v/>
      </c>
    </row>
    <row r="68" spans="1:7" ht="23.1" customHeight="1">
      <c r="A68" s="16" t="str">
        <f>IF('16'!A68="","",'16'!A68)</f>
        <v/>
      </c>
      <c r="B68" s="16" t="str">
        <f>IF('16'!B68="","",'16'!B68)</f>
        <v/>
      </c>
      <c r="C68" s="17" t="str">
        <f>IF('16'!C68="","",'16'!C68)</f>
        <v/>
      </c>
      <c r="D68" s="266" t="str">
        <f>IF('16'!D68="","",'16'!D68)</f>
        <v/>
      </c>
      <c r="E68" s="17" t="str">
        <f>IF('16'!E68="","",'16'!E68)</f>
        <v/>
      </c>
      <c r="F68" s="266" t="str">
        <f>IF('16'!F68="","",'16'!F68)</f>
        <v/>
      </c>
      <c r="G68" s="17" t="str">
        <f>IF('16'!G68="","",'16'!G68)</f>
        <v/>
      </c>
    </row>
    <row r="69" spans="1:7" ht="23.1" customHeight="1">
      <c r="A69" s="16" t="str">
        <f>IF('16'!A69="","",'16'!A69)</f>
        <v/>
      </c>
      <c r="B69" s="16" t="str">
        <f>IF('16'!B69="","",'16'!B69)</f>
        <v/>
      </c>
      <c r="C69" s="17" t="str">
        <f>IF('16'!C69="","",'16'!C69)</f>
        <v/>
      </c>
      <c r="D69" s="266" t="str">
        <f>IF('16'!D69="","",'16'!D69)</f>
        <v/>
      </c>
      <c r="E69" s="17" t="str">
        <f>IF('16'!E69="","",'16'!E69)</f>
        <v/>
      </c>
      <c r="F69" s="266" t="str">
        <f>IF('16'!F69="","",'16'!F69)</f>
        <v/>
      </c>
      <c r="G69" s="17" t="str">
        <f>IF('16'!G69="","",'16'!G69)</f>
        <v/>
      </c>
    </row>
    <row r="70" spans="1:7" ht="23.1" customHeight="1">
      <c r="A70" s="16" t="str">
        <f>IF('16'!A70="","",'16'!A70)</f>
        <v/>
      </c>
      <c r="B70" s="16" t="str">
        <f>IF('16'!B70="","",'16'!B70)</f>
        <v/>
      </c>
      <c r="C70" s="17" t="str">
        <f>IF('16'!C70="","",'16'!C70)</f>
        <v/>
      </c>
      <c r="D70" s="266" t="str">
        <f>IF('16'!D70="","",'16'!D70)</f>
        <v/>
      </c>
      <c r="E70" s="17" t="str">
        <f>IF('16'!E70="","",'16'!E70)</f>
        <v/>
      </c>
      <c r="F70" s="266" t="str">
        <f>IF('16'!F70="","",'16'!F70)</f>
        <v/>
      </c>
      <c r="G70" s="17" t="str">
        <f>IF('16'!G70="","",'16'!G70)</f>
        <v/>
      </c>
    </row>
    <row r="71" spans="1:7" ht="23.1" customHeight="1">
      <c r="A71" s="16" t="str">
        <f>IF('16'!A71="","",'16'!A71)</f>
        <v/>
      </c>
      <c r="B71" s="16" t="str">
        <f>IF('16'!B71="","",'16'!B71)</f>
        <v/>
      </c>
      <c r="C71" s="17" t="str">
        <f>IF('16'!C71="","",'16'!C71)</f>
        <v/>
      </c>
      <c r="D71" s="266" t="str">
        <f>IF('16'!D71="","",'16'!D71)</f>
        <v/>
      </c>
      <c r="E71" s="17" t="str">
        <f>IF('16'!E71="","",'16'!E71)</f>
        <v/>
      </c>
      <c r="F71" s="266" t="str">
        <f>IF('16'!F71="","",'16'!F71)</f>
        <v/>
      </c>
      <c r="G71" s="17" t="str">
        <f>IF('16'!G71="","",'16'!G71)</f>
        <v/>
      </c>
    </row>
    <row r="72" spans="1:7" ht="23.1" customHeight="1">
      <c r="A72" s="16" t="str">
        <f>IF('16'!A72="","",'16'!A72)</f>
        <v/>
      </c>
      <c r="B72" s="16" t="str">
        <f>IF('16'!B72="","",'16'!B72)</f>
        <v/>
      </c>
      <c r="C72" s="17" t="str">
        <f>IF('16'!C72="","",'16'!C72)</f>
        <v/>
      </c>
      <c r="D72" s="266" t="str">
        <f>IF('16'!D72="","",'16'!D72)</f>
        <v/>
      </c>
      <c r="E72" s="17" t="str">
        <f>IF('16'!E72="","",'16'!E72)</f>
        <v/>
      </c>
      <c r="F72" s="266" t="str">
        <f>IF('16'!F72="","",'16'!F72)</f>
        <v/>
      </c>
      <c r="G72" s="17" t="str">
        <f>IF('16'!G72="","",'16'!G72)</f>
        <v/>
      </c>
    </row>
    <row r="73" spans="1:7" ht="23.1" customHeight="1">
      <c r="A73" s="16" t="str">
        <f>IF('16'!A73="","",'16'!A73)</f>
        <v/>
      </c>
      <c r="B73" s="16" t="str">
        <f>IF('16'!B73="","",'16'!B73)</f>
        <v/>
      </c>
      <c r="C73" s="17" t="str">
        <f>IF('16'!C73="","",'16'!C73)</f>
        <v/>
      </c>
      <c r="D73" s="266" t="str">
        <f>IF('16'!D73="","",'16'!D73)</f>
        <v/>
      </c>
      <c r="E73" s="17" t="str">
        <f>IF('16'!E73="","",'16'!E73)</f>
        <v/>
      </c>
      <c r="F73" s="266" t="str">
        <f>IF('16'!F73="","",'16'!F73)</f>
        <v/>
      </c>
      <c r="G73" s="17" t="str">
        <f>IF('16'!G73="","",'16'!G73)</f>
        <v/>
      </c>
    </row>
  </sheetData>
  <dataConsolidate link="1"/>
  <mergeCells count="6">
    <mergeCell ref="G12:G13"/>
    <mergeCell ref="D8:F8"/>
    <mergeCell ref="A12:A13"/>
    <mergeCell ref="B12:B13"/>
    <mergeCell ref="C12:D12"/>
    <mergeCell ref="E12:F12"/>
  </mergeCells>
  <phoneticPr fontId="10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verticalDpi="4294967292" r:id="rId1"/>
  <headerFooter alignWithMargins="0">
    <oddHeader>&amp;R&amp;P/&amp;N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0DE78E-D815-45AB-ACB2-AEA0D477E367}">
  <sheetPr codeName="Sheet11">
    <tabColor rgb="FF0070C0"/>
  </sheetPr>
  <dimension ref="A4:J16"/>
  <sheetViews>
    <sheetView view="pageBreakPreview" topLeftCell="A2" zoomScale="60" zoomScaleNormal="100" workbookViewId="0">
      <selection activeCell="D14" sqref="D14:E14"/>
    </sheetView>
  </sheetViews>
  <sheetFormatPr defaultColWidth="8.88671875" defaultRowHeight="30" customHeight="1"/>
  <cols>
    <col min="1" max="1" width="8.88671875" style="96"/>
    <col min="2" max="3" width="8.88671875" style="95"/>
    <col min="4" max="4" width="20.33203125" style="99" customWidth="1"/>
    <col min="5" max="5" width="13.33203125" style="95" bestFit="1" customWidth="1"/>
    <col min="6" max="16384" width="8.88671875" style="95"/>
  </cols>
  <sheetData>
    <row r="4" spans="1:10" ht="30" customHeight="1">
      <c r="A4" s="356" t="str">
        <f>'17_中C'!C7</f>
        <v>2026 Fuji Horse Show Autumn Grand Prix</v>
      </c>
      <c r="B4" s="356"/>
      <c r="C4" s="356"/>
      <c r="D4" s="356"/>
      <c r="E4" s="356"/>
      <c r="F4" s="356"/>
      <c r="G4" s="356"/>
      <c r="H4" s="356"/>
      <c r="I4" s="356"/>
      <c r="J4" s="356"/>
    </row>
    <row r="6" spans="1:10" ht="30" customHeight="1">
      <c r="A6" s="96" t="s">
        <v>42</v>
      </c>
      <c r="B6" s="97">
        <f>'17_中C'!B8</f>
        <v>17</v>
      </c>
      <c r="C6" s="95" t="s">
        <v>43</v>
      </c>
      <c r="D6" s="98" t="str">
        <f>'17_中C'!D8:F8</f>
        <v>FUJIYAMA杯</v>
      </c>
    </row>
    <row r="8" spans="1:10" ht="30" customHeight="1">
      <c r="C8" s="95" t="s">
        <v>85</v>
      </c>
      <c r="E8" s="100">
        <v>0.57291666666666663</v>
      </c>
    </row>
    <row r="9" spans="1:10" ht="30" customHeight="1">
      <c r="C9" s="95" t="s">
        <v>86</v>
      </c>
      <c r="E9" s="100">
        <v>0.58333333333333337</v>
      </c>
      <c r="F9" s="95" t="s">
        <v>87</v>
      </c>
    </row>
    <row r="11" spans="1:10" ht="30" customHeight="1">
      <c r="C11" s="357" t="s">
        <v>88</v>
      </c>
      <c r="D11" s="357"/>
      <c r="E11" s="357"/>
      <c r="F11" s="357"/>
      <c r="G11" s="357"/>
    </row>
    <row r="12" spans="1:10" ht="30" customHeight="1">
      <c r="C12" s="95" t="s">
        <v>89</v>
      </c>
      <c r="D12" s="155">
        <v>50000</v>
      </c>
      <c r="E12" s="95" t="s">
        <v>140</v>
      </c>
      <c r="F12" s="99"/>
      <c r="G12" s="99"/>
    </row>
    <row r="13" spans="1:10" ht="30" customHeight="1">
      <c r="C13" s="95" t="s">
        <v>90</v>
      </c>
      <c r="D13" s="155">
        <v>27000</v>
      </c>
      <c r="E13" s="95" t="s">
        <v>141</v>
      </c>
      <c r="F13" s="99"/>
      <c r="G13" s="99"/>
    </row>
    <row r="14" spans="1:10" ht="30" customHeight="1">
      <c r="C14" s="95" t="s">
        <v>91</v>
      </c>
      <c r="D14" s="155">
        <v>24000</v>
      </c>
      <c r="E14" s="95" t="s">
        <v>95</v>
      </c>
      <c r="G14" s="99"/>
    </row>
    <row r="15" spans="1:10" ht="30" customHeight="1">
      <c r="C15" s="95" t="s">
        <v>92</v>
      </c>
      <c r="D15" s="155">
        <v>22000</v>
      </c>
      <c r="E15" s="95" t="s">
        <v>142</v>
      </c>
      <c r="G15" s="99"/>
    </row>
    <row r="16" spans="1:10" ht="30" customHeight="1">
      <c r="C16" s="95" t="s">
        <v>93</v>
      </c>
      <c r="D16" s="156">
        <v>20000</v>
      </c>
      <c r="E16" s="98" t="s">
        <v>142</v>
      </c>
      <c r="F16" s="98"/>
      <c r="G16" s="98"/>
    </row>
  </sheetData>
  <mergeCells count="2">
    <mergeCell ref="A4:J4"/>
    <mergeCell ref="C11:G11"/>
  </mergeCells>
  <phoneticPr fontId="10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rgb="FF0070C0"/>
  </sheetPr>
  <dimension ref="A1:G73"/>
  <sheetViews>
    <sheetView view="pageBreakPreview" topLeftCell="A6" zoomScaleNormal="100" zoomScaleSheetLayoutView="100" workbookViewId="0">
      <selection activeCell="G17" sqref="G17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62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'17'!C2</f>
        <v>0</v>
      </c>
      <c r="D6" s="3"/>
      <c r="F6" s="4" t="s">
        <v>2</v>
      </c>
      <c r="G6" s="6">
        <v>46277</v>
      </c>
    </row>
    <row r="7" spans="1:7" ht="24" customHeight="1">
      <c r="A7" s="7"/>
      <c r="B7" s="4" t="s">
        <v>4</v>
      </c>
      <c r="C7" s="8" t="str">
        <f>'17'!C3</f>
        <v>2026 Fuji Horse Show Autumn Grand Prix</v>
      </c>
      <c r="D7" s="9"/>
      <c r="E7" s="9"/>
      <c r="F7" s="9"/>
      <c r="G7" s="346" t="s">
        <v>732</v>
      </c>
    </row>
    <row r="8" spans="1:7" ht="21" customHeight="1">
      <c r="A8" s="10" t="s">
        <v>42</v>
      </c>
      <c r="B8" s="68">
        <f>'17'!C4</f>
        <v>17</v>
      </c>
      <c r="C8" s="4" t="s">
        <v>43</v>
      </c>
      <c r="D8" s="349" t="str">
        <f>'17'!F4</f>
        <v>FUJIYAMA杯</v>
      </c>
      <c r="E8" s="349"/>
      <c r="F8" s="349"/>
    </row>
    <row r="9" spans="1:7" ht="18.75" customHeight="1">
      <c r="C9" s="11" t="s">
        <v>11</v>
      </c>
      <c r="D9" s="264">
        <f>'17'!D5</f>
        <v>6</v>
      </c>
      <c r="E9" s="4" t="s">
        <v>9</v>
      </c>
      <c r="F9" s="267" t="str">
        <f>'17'!K4</f>
        <v>中障害Ｃ</v>
      </c>
    </row>
    <row r="10" spans="1:7" ht="21" customHeight="1">
      <c r="A10" s="12" t="s">
        <v>63</v>
      </c>
      <c r="B10" s="12"/>
      <c r="C10" s="12"/>
      <c r="D10" s="264" t="str">
        <f>'17'!D6</f>
        <v>-</v>
      </c>
      <c r="E10" s="4" t="s">
        <v>12</v>
      </c>
      <c r="F10" s="267" t="str">
        <f>'17'!F5</f>
        <v>★★★</v>
      </c>
      <c r="G10" s="13" t="s">
        <v>45</v>
      </c>
    </row>
    <row r="11" spans="1:7" ht="5.0999999999999996" customHeight="1"/>
    <row r="12" spans="1:7" ht="15" customHeight="1">
      <c r="A12" s="350" t="s">
        <v>64</v>
      </c>
      <c r="B12" s="352" t="s">
        <v>47</v>
      </c>
      <c r="C12" s="354" t="s">
        <v>48</v>
      </c>
      <c r="D12" s="355"/>
      <c r="E12" s="347" t="s">
        <v>49</v>
      </c>
      <c r="F12" s="347"/>
      <c r="G12" s="347" t="s">
        <v>65</v>
      </c>
    </row>
    <row r="13" spans="1:7" ht="24" customHeight="1">
      <c r="A13" s="351"/>
      <c r="B13" s="353"/>
      <c r="C13" s="14" t="s">
        <v>53</v>
      </c>
      <c r="D13" s="15" t="s">
        <v>66</v>
      </c>
      <c r="E13" s="15" t="s">
        <v>67</v>
      </c>
      <c r="F13" s="15" t="s">
        <v>56</v>
      </c>
      <c r="G13" s="348"/>
    </row>
    <row r="14" spans="1:7" s="19" customFormat="1" ht="23.1" customHeight="1">
      <c r="A14" s="16" t="str">
        <f>IF('17'!A14="","",'17'!A14)</f>
        <v/>
      </c>
      <c r="B14" s="16">
        <f>IF('17'!B14="","",'17'!B14)</f>
        <v>1</v>
      </c>
      <c r="C14" s="17" t="str">
        <f>IF('17'!C14="","",'17'!C14)</f>
        <v>鈴木　萌</v>
      </c>
      <c r="D14" s="266">
        <f>IF('17'!D14="","",'17'!D14)</f>
        <v>31292</v>
      </c>
      <c r="E14" s="17" t="str">
        <f>IF('17'!E14="","",'17'!E14)</f>
        <v>グリュックスブリンガー</v>
      </c>
      <c r="F14" s="266">
        <f>IF('17'!F14="","",'17'!F14)</f>
        <v>60391</v>
      </c>
      <c r="G14" s="17" t="str">
        <f>IF('17'!G14="","",'17'!G14)</f>
        <v>Horses' New Stage</v>
      </c>
    </row>
    <row r="15" spans="1:7" s="19" customFormat="1" ht="23.1" customHeight="1">
      <c r="A15" s="16" t="str">
        <f>IF('17'!A15="","",'17'!A15)</f>
        <v/>
      </c>
      <c r="B15" s="16">
        <f>IF('17'!B15="","",'17'!B15)</f>
        <v>2</v>
      </c>
      <c r="C15" s="17" t="str">
        <f>IF('17'!C15="","",'17'!C15)</f>
        <v>木村　茉里子</v>
      </c>
      <c r="D15" s="266">
        <f>IF('17'!D15="","",'17'!D15)</f>
        <v>12188</v>
      </c>
      <c r="E15" s="17" t="str">
        <f>IF('17'!E15="","",'17'!E15)</f>
        <v>カーラ・ブルー</v>
      </c>
      <c r="F15" s="266">
        <f>IF('17'!F15="","",'17'!F15)</f>
        <v>60249</v>
      </c>
      <c r="G15" s="17" t="str">
        <f>IF('17'!G15="","",'17'!G15)</f>
        <v>NGK Horse Paz.</v>
      </c>
    </row>
    <row r="16" spans="1:7" s="19" customFormat="1" ht="23.1" customHeight="1">
      <c r="A16" s="16" t="str">
        <f>IF('17'!A16="","",'17'!A16)</f>
        <v/>
      </c>
      <c r="B16" s="16">
        <f>IF('17'!B16="","",'17'!B16)</f>
        <v>3</v>
      </c>
      <c r="C16" s="17" t="str">
        <f>IF('17'!C16="","",'17'!C16)</f>
        <v>北井　聖人</v>
      </c>
      <c r="D16" s="266">
        <f>IF('17'!D16="","",'17'!D16)</f>
        <v>32095</v>
      </c>
      <c r="E16" s="17" t="str">
        <f>IF('17'!E16="","",'17'!E16)</f>
        <v>カレア</v>
      </c>
      <c r="F16" s="266">
        <f>IF('17'!F16="","",'17'!F16)</f>
        <v>62036</v>
      </c>
      <c r="G16" s="17" t="str">
        <f>IF('17'!G16="","",'17'!G16)</f>
        <v>アシェンダ乗馬学校</v>
      </c>
    </row>
    <row r="17" spans="1:7" s="19" customFormat="1" ht="23.1" customHeight="1">
      <c r="A17" s="16" t="str">
        <f>IF('17'!A17="","",'17'!A17)</f>
        <v/>
      </c>
      <c r="B17" s="16">
        <f>IF('17'!B17="","",'17'!B17)</f>
        <v>4</v>
      </c>
      <c r="C17" s="17" t="str">
        <f>IF('17'!C17="","",'17'!C17)</f>
        <v>遠藤　めい</v>
      </c>
      <c r="D17" s="266">
        <f>IF('17'!D17="","",'17'!D17)</f>
        <v>27382</v>
      </c>
      <c r="E17" s="17" t="str">
        <f>IF('17'!E17="","",'17'!E17)</f>
        <v>カールブルー</v>
      </c>
      <c r="F17" s="266">
        <f>IF('17'!F17="","",'17'!F17)</f>
        <v>61157</v>
      </c>
      <c r="G17" s="17" t="str">
        <f>IF('17'!G17="","",'17'!G17)</f>
        <v>riding team Regroup</v>
      </c>
    </row>
    <row r="18" spans="1:7" s="19" customFormat="1" ht="23.1" customHeight="1">
      <c r="A18" s="16" t="str">
        <f>IF('17'!A18="","",'17'!A18)</f>
        <v/>
      </c>
      <c r="B18" s="16">
        <f>IF('17'!B18="","",'17'!B18)</f>
        <v>5</v>
      </c>
      <c r="C18" s="17" t="str">
        <f>IF('17'!C18="","",'17'!C18)</f>
        <v>荒木　紀迪</v>
      </c>
      <c r="D18" s="266">
        <f>IF('17'!D18="","",'17'!D18)</f>
        <v>14221</v>
      </c>
      <c r="E18" s="17" t="str">
        <f>IF('17'!E18="","",'17'!E18)</f>
        <v>キャンドゥライト</v>
      </c>
      <c r="F18" s="266">
        <f>IF('17'!F18="","",'17'!F18)</f>
        <v>58330</v>
      </c>
      <c r="G18" s="17" t="str">
        <f>IF('17'!G18="","",'17'!G18)</f>
        <v>小山乗馬クラブ</v>
      </c>
    </row>
    <row r="19" spans="1:7" s="19" customFormat="1" ht="23.1" customHeight="1">
      <c r="A19" s="16" t="str">
        <f>IF('17'!A19="","",'17'!A19)</f>
        <v/>
      </c>
      <c r="B19" s="16">
        <f>IF('17'!B19="","",'17'!B19)</f>
        <v>6</v>
      </c>
      <c r="C19" s="17" t="str">
        <f>IF('17'!C19="","",'17'!C19)</f>
        <v>秋山　花吏奈</v>
      </c>
      <c r="D19" s="266">
        <f>IF('17'!D19="","",'17'!D19)</f>
        <v>32313</v>
      </c>
      <c r="E19" s="17" t="str">
        <f>IF('17'!E19="","",'17'!E19)</f>
        <v>プルプァズィガーZ</v>
      </c>
      <c r="F19" s="266">
        <f>IF('17'!F19="","",'17'!F19)</f>
        <v>58633</v>
      </c>
      <c r="G19" s="17" t="str">
        <f>IF('17'!G19="","",'17'!G19)</f>
        <v>Horses' New Stage</v>
      </c>
    </row>
    <row r="20" spans="1:7" s="19" customFormat="1" ht="23.1" customHeight="1">
      <c r="A20" s="16" t="str">
        <f>IF('17'!A20="","",'17'!A20)</f>
        <v/>
      </c>
      <c r="B20" s="16">
        <f>IF('17'!B20="","",'17'!B20)</f>
        <v>7</v>
      </c>
      <c r="C20" s="17" t="str">
        <f>IF('17'!C20="","",'17'!C20)</f>
        <v>横田　真吾</v>
      </c>
      <c r="D20" s="266">
        <f>IF('17'!D20="","",'17'!D20)</f>
        <v>11693</v>
      </c>
      <c r="E20" s="17" t="str">
        <f>IF('17'!E20="","",'17'!E20)</f>
        <v>ハヤテ・ペガサス</v>
      </c>
      <c r="F20" s="266">
        <f>IF('17'!F20="","",'17'!F20)</f>
        <v>58584</v>
      </c>
      <c r="G20" s="17" t="str">
        <f>IF('17'!G20="","",'17'!G20)</f>
        <v>ペガサス乗馬クラブ</v>
      </c>
    </row>
    <row r="21" spans="1:7" s="19" customFormat="1" ht="23.1" customHeight="1">
      <c r="A21" s="16" t="str">
        <f>IF('17'!A21="","",'17'!A21)</f>
        <v/>
      </c>
      <c r="B21" s="16">
        <f>IF('17'!B21="","",'17'!B21)</f>
        <v>8</v>
      </c>
      <c r="C21" s="17" t="str">
        <f>IF('17'!C21="","",'17'!C21)</f>
        <v>桑原　咲季</v>
      </c>
      <c r="D21" s="266">
        <f>IF('17'!D21="","",'17'!D21)</f>
        <v>28809</v>
      </c>
      <c r="E21" s="17" t="str">
        <f>IF('17'!E21="","",'17'!E21)</f>
        <v>マルコS</v>
      </c>
      <c r="F21" s="266">
        <f>IF('17'!F21="","",'17'!F21)</f>
        <v>59063</v>
      </c>
      <c r="G21" s="17" t="str">
        <f>IF('17'!G21="","",'17'!G21)</f>
        <v>八王子乗馬倶楽部</v>
      </c>
    </row>
    <row r="22" spans="1:7" s="19" customFormat="1" ht="23.1" customHeight="1">
      <c r="A22" s="16" t="str">
        <f>IF('17'!A22="","",'17'!A22)</f>
        <v/>
      </c>
      <c r="B22" s="16">
        <f>IF('17'!B22="","",'17'!B22)</f>
        <v>9</v>
      </c>
      <c r="C22" s="17" t="str">
        <f>IF('17'!C22="","",'17'!C22)</f>
        <v>伊藤　正平</v>
      </c>
      <c r="D22" s="266">
        <f>IF('17'!D22="","",'17'!D22)</f>
        <v>11976</v>
      </c>
      <c r="E22" s="17" t="str">
        <f>IF('17'!E22="","",'17'!E22)</f>
        <v>アカペラ</v>
      </c>
      <c r="F22" s="266">
        <f>IF('17'!F22="","",'17'!F22)</f>
        <v>61272</v>
      </c>
      <c r="G22" s="17" t="str">
        <f>IF('17'!G22="","",'17'!G22)</f>
        <v>乗馬クラブクレイン伊奈</v>
      </c>
    </row>
    <row r="23" spans="1:7" s="19" customFormat="1" ht="23.1" customHeight="1">
      <c r="A23" s="16" t="str">
        <f>IF('17'!A23="","",'17'!A23)</f>
        <v/>
      </c>
      <c r="B23" s="16">
        <f>IF('17'!B23="","",'17'!B23)</f>
        <v>10</v>
      </c>
      <c r="C23" s="17" t="str">
        <f>IF('17'!C23="","",'17'!C23)</f>
        <v>平山　麻由子</v>
      </c>
      <c r="D23" s="266">
        <f>IF('17'!D23="","",'17'!D23)</f>
        <v>18817</v>
      </c>
      <c r="E23" s="17" t="str">
        <f>IF('17'!E23="","",'17'!E23)</f>
        <v>ウィンクルム</v>
      </c>
      <c r="F23" s="266">
        <f>IF('17'!F23="","",'17'!F23)</f>
        <v>61767</v>
      </c>
      <c r="G23" s="17" t="str">
        <f>IF('17'!G23="","",'17'!G23)</f>
        <v>乗馬クラブニューシーズン御殿場</v>
      </c>
    </row>
    <row r="24" spans="1:7" s="19" customFormat="1" ht="23.1" customHeight="1">
      <c r="A24" s="16" t="str">
        <f>IF('17'!A24="","",'17'!A24)</f>
        <v/>
      </c>
      <c r="B24" s="16">
        <f>IF('17'!B24="","",'17'!B24)</f>
        <v>11</v>
      </c>
      <c r="C24" s="17" t="str">
        <f>IF('17'!C24="","",'17'!C24)</f>
        <v>宮井　果音</v>
      </c>
      <c r="D24" s="266">
        <f>IF('17'!D24="","",'17'!D24)</f>
        <v>31333</v>
      </c>
      <c r="E24" s="17" t="str">
        <f>IF('17'!E24="","",'17'!E24)</f>
        <v>カイレンバーリア</v>
      </c>
      <c r="F24" s="266">
        <f>IF('17'!F24="","",'17'!F24)</f>
        <v>60895</v>
      </c>
      <c r="G24" s="17" t="str">
        <f>IF('17'!G24="","",'17'!G24)</f>
        <v>riding team Regroup</v>
      </c>
    </row>
    <row r="25" spans="1:7" s="19" customFormat="1" ht="23.1" customHeight="1">
      <c r="A25" s="16" t="str">
        <f>IF('17'!A25="","",'17'!A25)</f>
        <v/>
      </c>
      <c r="B25" s="16">
        <f>IF('17'!B25="","",'17'!B25)</f>
        <v>12</v>
      </c>
      <c r="C25" s="17" t="str">
        <f>IF('17'!C25="","",'17'!C25)</f>
        <v>阿部　成海</v>
      </c>
      <c r="D25" s="266">
        <f>IF('17'!D25="","",'17'!D25)</f>
        <v>32390</v>
      </c>
      <c r="E25" s="17" t="str">
        <f>IF('17'!E25="","",'17'!E25)</f>
        <v>コアインパルス</v>
      </c>
      <c r="F25" s="266">
        <f>IF('17'!F25="","",'17'!F25)</f>
        <v>59574</v>
      </c>
      <c r="G25" s="17" t="str">
        <f>IF('17'!G25="","",'17'!G25)</f>
        <v>やまがた乗馬クラブ</v>
      </c>
    </row>
    <row r="26" spans="1:7" s="19" customFormat="1" ht="23.1" customHeight="1">
      <c r="A26" s="16" t="str">
        <f>IF('17'!A26="","",'17'!A26)</f>
        <v/>
      </c>
      <c r="B26" s="16">
        <f>IF('17'!B26="","",'17'!B26)</f>
        <v>13</v>
      </c>
      <c r="C26" s="17" t="str">
        <f>IF('17'!C26="","",'17'!C26)</f>
        <v>上原　健司郎</v>
      </c>
      <c r="D26" s="266">
        <f>IF('17'!D26="","",'17'!D26)</f>
        <v>32403</v>
      </c>
      <c r="E26" s="17" t="str">
        <f>IF('17'!E26="","",'17'!E26)</f>
        <v>蘭丸</v>
      </c>
      <c r="F26" s="266">
        <f>IF('17'!F26="","",'17'!F26)</f>
        <v>58733</v>
      </c>
      <c r="G26" s="17" t="str">
        <f>IF('17'!G26="","",'17'!G26)</f>
        <v>八王子乗馬倶楽部</v>
      </c>
    </row>
    <row r="27" spans="1:7" s="19" customFormat="1" ht="23.1" customHeight="1">
      <c r="A27" s="16" t="str">
        <f>IF('17'!A27="","",'17'!A27)</f>
        <v/>
      </c>
      <c r="B27" s="16">
        <f>IF('17'!B27="","",'17'!B27)</f>
        <v>14</v>
      </c>
      <c r="C27" s="17" t="str">
        <f>IF('17'!C27="","",'17'!C27)</f>
        <v>川口　大輔</v>
      </c>
      <c r="D27" s="266">
        <f>IF('17'!D27="","",'17'!D27)</f>
        <v>13141</v>
      </c>
      <c r="E27" s="17" t="str">
        <f>IF('17'!E27="","",'17'!E27)</f>
        <v>トランプカード</v>
      </c>
      <c r="F27" s="266">
        <f>IF('17'!F27="","",'17'!F27)</f>
        <v>60517</v>
      </c>
      <c r="G27" s="17" t="str">
        <f>IF('17'!G27="","",'17'!G27)</f>
        <v>ライディングクラブフジファーム</v>
      </c>
    </row>
    <row r="28" spans="1:7" s="19" customFormat="1" ht="23.1" customHeight="1">
      <c r="A28" s="16" t="str">
        <f>IF('17'!A28="","",'17'!A28)</f>
        <v/>
      </c>
      <c r="B28" s="16">
        <f>IF('17'!B28="","",'17'!B28)</f>
        <v>15</v>
      </c>
      <c r="C28" s="17" t="str">
        <f>IF('17'!C28="","",'17'!C28)</f>
        <v/>
      </c>
      <c r="D28" s="266" t="str">
        <f>IF('17'!D28="","",'17'!D28)</f>
        <v/>
      </c>
      <c r="E28" s="17" t="str">
        <f>IF('17'!E28="","",'17'!E28)</f>
        <v/>
      </c>
      <c r="F28" s="266" t="str">
        <f>IF('17'!F28="","",'17'!F28)</f>
        <v/>
      </c>
      <c r="G28" s="17" t="str">
        <f>IF('17'!G28="","",'17'!G28)</f>
        <v/>
      </c>
    </row>
    <row r="29" spans="1:7" s="19" customFormat="1" ht="23.1" customHeight="1">
      <c r="A29" s="16" t="str">
        <f>IF('17'!A29="","",'17'!A29)</f>
        <v/>
      </c>
      <c r="B29" s="16">
        <f>IF('17'!B29="","",'17'!B29)</f>
        <v>16</v>
      </c>
      <c r="C29" s="17" t="str">
        <f>IF('17'!C29="","",'17'!C29)</f>
        <v/>
      </c>
      <c r="D29" s="266" t="str">
        <f>IF('17'!D29="","",'17'!D29)</f>
        <v/>
      </c>
      <c r="E29" s="17" t="str">
        <f>IF('17'!E29="","",'17'!E29)</f>
        <v/>
      </c>
      <c r="F29" s="266" t="str">
        <f>IF('17'!F29="","",'17'!F29)</f>
        <v/>
      </c>
      <c r="G29" s="17" t="str">
        <f>IF('17'!G29="","",'17'!G29)</f>
        <v/>
      </c>
    </row>
    <row r="30" spans="1:7" s="19" customFormat="1" ht="23.1" customHeight="1">
      <c r="A30" s="16" t="str">
        <f>IF('17'!A30="","",'17'!A30)</f>
        <v/>
      </c>
      <c r="B30" s="16">
        <f>IF('17'!B30="","",'17'!B30)</f>
        <v>17</v>
      </c>
      <c r="C30" s="17" t="str">
        <f>IF('17'!C30="","",'17'!C30)</f>
        <v/>
      </c>
      <c r="D30" s="266" t="str">
        <f>IF('17'!D30="","",'17'!D30)</f>
        <v/>
      </c>
      <c r="E30" s="17" t="str">
        <f>IF('17'!E30="","",'17'!E30)</f>
        <v/>
      </c>
      <c r="F30" s="266" t="str">
        <f>IF('17'!F30="","",'17'!F30)</f>
        <v/>
      </c>
      <c r="G30" s="17" t="str">
        <f>IF('17'!G30="","",'17'!G30)</f>
        <v/>
      </c>
    </row>
    <row r="31" spans="1:7" s="19" customFormat="1" ht="23.1" customHeight="1">
      <c r="A31" s="16" t="str">
        <f>IF('17'!A31="","",'17'!A31)</f>
        <v/>
      </c>
      <c r="B31" s="16">
        <f>IF('17'!B31="","",'17'!B31)</f>
        <v>18</v>
      </c>
      <c r="C31" s="17" t="str">
        <f>IF('17'!C31="","",'17'!C31)</f>
        <v/>
      </c>
      <c r="D31" s="266" t="str">
        <f>IF('17'!D31="","",'17'!D31)</f>
        <v/>
      </c>
      <c r="E31" s="17" t="str">
        <f>IF('17'!E31="","",'17'!E31)</f>
        <v/>
      </c>
      <c r="F31" s="266" t="str">
        <f>IF('17'!F31="","",'17'!F31)</f>
        <v/>
      </c>
      <c r="G31" s="17" t="str">
        <f>IF('17'!G31="","",'17'!G31)</f>
        <v/>
      </c>
    </row>
    <row r="32" spans="1:7" s="19" customFormat="1" ht="23.1" customHeight="1">
      <c r="A32" s="16" t="str">
        <f>IF('17'!A32="","",'17'!A32)</f>
        <v/>
      </c>
      <c r="B32" s="16">
        <f>IF('17'!B32="","",'17'!B32)</f>
        <v>19</v>
      </c>
      <c r="C32" s="17" t="str">
        <f>IF('17'!C32="","",'17'!C32)</f>
        <v/>
      </c>
      <c r="D32" s="266" t="str">
        <f>IF('17'!D32="","",'17'!D32)</f>
        <v/>
      </c>
      <c r="E32" s="17" t="str">
        <f>IF('17'!E32="","",'17'!E32)</f>
        <v/>
      </c>
      <c r="F32" s="266" t="str">
        <f>IF('17'!F32="","",'17'!F32)</f>
        <v/>
      </c>
      <c r="G32" s="17" t="str">
        <f>IF('17'!G32="","",'17'!G32)</f>
        <v/>
      </c>
    </row>
    <row r="33" spans="1:7" s="19" customFormat="1" ht="23.1" customHeight="1">
      <c r="A33" s="16" t="str">
        <f>IF('17'!A33="","",'17'!A33)</f>
        <v/>
      </c>
      <c r="B33" s="16">
        <f>IF('17'!B33="","",'17'!B33)</f>
        <v>20</v>
      </c>
      <c r="C33" s="17" t="str">
        <f>IF('17'!C33="","",'17'!C33)</f>
        <v/>
      </c>
      <c r="D33" s="266" t="str">
        <f>IF('17'!D33="","",'17'!D33)</f>
        <v/>
      </c>
      <c r="E33" s="17" t="str">
        <f>IF('17'!E33="","",'17'!E33)</f>
        <v/>
      </c>
      <c r="F33" s="266" t="str">
        <f>IF('17'!F33="","",'17'!F33)</f>
        <v/>
      </c>
      <c r="G33" s="17" t="str">
        <f>IF('17'!G33="","",'17'!G33)</f>
        <v/>
      </c>
    </row>
    <row r="34" spans="1:7" s="19" customFormat="1" ht="23.1" customHeight="1">
      <c r="A34" s="16" t="str">
        <f>IF('17'!A34="","",'17'!A34)</f>
        <v/>
      </c>
      <c r="B34" s="16">
        <f>IF('17'!B34="","",'17'!B34)</f>
        <v>21</v>
      </c>
      <c r="C34" s="17" t="str">
        <f>IF('17'!C34="","",'17'!C34)</f>
        <v/>
      </c>
      <c r="D34" s="266" t="str">
        <f>IF('17'!D34="","",'17'!D34)</f>
        <v/>
      </c>
      <c r="E34" s="17" t="str">
        <f>IF('17'!E34="","",'17'!E34)</f>
        <v/>
      </c>
      <c r="F34" s="266" t="str">
        <f>IF('17'!F34="","",'17'!F34)</f>
        <v/>
      </c>
      <c r="G34" s="17" t="str">
        <f>IF('17'!G34="","",'17'!G34)</f>
        <v/>
      </c>
    </row>
    <row r="35" spans="1:7" s="19" customFormat="1" ht="23.1" customHeight="1">
      <c r="A35" s="16" t="str">
        <f>IF('17'!A35="","",'17'!A35)</f>
        <v/>
      </c>
      <c r="B35" s="16">
        <f>IF('17'!B35="","",'17'!B35)</f>
        <v>22</v>
      </c>
      <c r="C35" s="17" t="str">
        <f>IF('17'!C35="","",'17'!C35)</f>
        <v/>
      </c>
      <c r="D35" s="266" t="str">
        <f>IF('17'!D35="","",'17'!D35)</f>
        <v/>
      </c>
      <c r="E35" s="17" t="str">
        <f>IF('17'!E35="","",'17'!E35)</f>
        <v/>
      </c>
      <c r="F35" s="266" t="str">
        <f>IF('17'!F35="","",'17'!F35)</f>
        <v/>
      </c>
      <c r="G35" s="17" t="str">
        <f>IF('17'!G35="","",'17'!G35)</f>
        <v/>
      </c>
    </row>
    <row r="36" spans="1:7" s="19" customFormat="1" ht="23.1" customHeight="1">
      <c r="A36" s="16" t="str">
        <f>IF('17'!A36="","",'17'!A36)</f>
        <v/>
      </c>
      <c r="B36" s="16">
        <f>IF('17'!B36="","",'17'!B36)</f>
        <v>23</v>
      </c>
      <c r="C36" s="17" t="str">
        <f>IF('17'!C36="","",'17'!C36)</f>
        <v/>
      </c>
      <c r="D36" s="266" t="str">
        <f>IF('17'!D36="","",'17'!D36)</f>
        <v/>
      </c>
      <c r="E36" s="17" t="str">
        <f>IF('17'!E36="","",'17'!E36)</f>
        <v/>
      </c>
      <c r="F36" s="266" t="str">
        <f>IF('17'!F36="","",'17'!F36)</f>
        <v/>
      </c>
      <c r="G36" s="17" t="str">
        <f>IF('17'!G36="","",'17'!G36)</f>
        <v/>
      </c>
    </row>
    <row r="37" spans="1:7" s="19" customFormat="1" ht="23.1" customHeight="1">
      <c r="A37" s="16" t="str">
        <f>IF('17'!A37="","",'17'!A37)</f>
        <v/>
      </c>
      <c r="B37" s="16">
        <f>IF('17'!B37="","",'17'!B37)</f>
        <v>24</v>
      </c>
      <c r="C37" s="17" t="str">
        <f>IF('17'!C37="","",'17'!C37)</f>
        <v/>
      </c>
      <c r="D37" s="266" t="str">
        <f>IF('17'!D37="","",'17'!D37)</f>
        <v/>
      </c>
      <c r="E37" s="17" t="str">
        <f>IF('17'!E37="","",'17'!E37)</f>
        <v/>
      </c>
      <c r="F37" s="266" t="str">
        <f>IF('17'!F37="","",'17'!F37)</f>
        <v/>
      </c>
      <c r="G37" s="17" t="str">
        <f>IF('17'!G37="","",'17'!G37)</f>
        <v/>
      </c>
    </row>
    <row r="38" spans="1:7" s="19" customFormat="1" ht="23.1" customHeight="1">
      <c r="A38" s="16" t="str">
        <f>IF('17'!A38="","",'17'!A38)</f>
        <v/>
      </c>
      <c r="B38" s="16">
        <f>IF('17'!B38="","",'17'!B38)</f>
        <v>25</v>
      </c>
      <c r="C38" s="17" t="str">
        <f>IF('17'!C38="","",'17'!C38)</f>
        <v/>
      </c>
      <c r="D38" s="266" t="str">
        <f>IF('17'!D38="","",'17'!D38)</f>
        <v/>
      </c>
      <c r="E38" s="17" t="str">
        <f>IF('17'!E38="","",'17'!E38)</f>
        <v/>
      </c>
      <c r="F38" s="266" t="str">
        <f>IF('17'!F38="","",'17'!F38)</f>
        <v/>
      </c>
      <c r="G38" s="17" t="str">
        <f>IF('17'!G38="","",'17'!G38)</f>
        <v/>
      </c>
    </row>
    <row r="39" spans="1:7" s="19" customFormat="1" ht="23.1" customHeight="1">
      <c r="A39" s="16" t="str">
        <f>IF('17'!A39="","",'17'!A39)</f>
        <v/>
      </c>
      <c r="B39" s="16">
        <f>IF('17'!B39="","",'17'!B39)</f>
        <v>26</v>
      </c>
      <c r="C39" s="17" t="str">
        <f>IF('17'!C39="","",'17'!C39)</f>
        <v/>
      </c>
      <c r="D39" s="266" t="str">
        <f>IF('17'!D39="","",'17'!D39)</f>
        <v/>
      </c>
      <c r="E39" s="17" t="str">
        <f>IF('17'!E39="","",'17'!E39)</f>
        <v/>
      </c>
      <c r="F39" s="266" t="str">
        <f>IF('17'!F39="","",'17'!F39)</f>
        <v/>
      </c>
      <c r="G39" s="17" t="str">
        <f>IF('17'!G39="","",'17'!G39)</f>
        <v/>
      </c>
    </row>
    <row r="40" spans="1:7" s="19" customFormat="1" ht="23.1" customHeight="1">
      <c r="A40" s="16" t="str">
        <f>IF('17'!A40="","",'17'!A40)</f>
        <v/>
      </c>
      <c r="B40" s="16">
        <f>IF('17'!B40="","",'17'!B40)</f>
        <v>27</v>
      </c>
      <c r="C40" s="17" t="str">
        <f>IF('17'!C40="","",'17'!C40)</f>
        <v/>
      </c>
      <c r="D40" s="266" t="str">
        <f>IF('17'!D40="","",'17'!D40)</f>
        <v/>
      </c>
      <c r="E40" s="17" t="str">
        <f>IF('17'!E40="","",'17'!E40)</f>
        <v/>
      </c>
      <c r="F40" s="266" t="str">
        <f>IF('17'!F40="","",'17'!F40)</f>
        <v/>
      </c>
      <c r="G40" s="17" t="str">
        <f>IF('17'!G40="","",'17'!G40)</f>
        <v/>
      </c>
    </row>
    <row r="41" spans="1:7" s="19" customFormat="1" ht="23.1" customHeight="1">
      <c r="A41" s="16" t="str">
        <f>IF('17'!A41="","",'17'!A41)</f>
        <v/>
      </c>
      <c r="B41" s="16">
        <f>IF('17'!B41="","",'17'!B41)</f>
        <v>28</v>
      </c>
      <c r="C41" s="17" t="str">
        <f>IF('17'!C41="","",'17'!C41)</f>
        <v/>
      </c>
      <c r="D41" s="266" t="str">
        <f>IF('17'!D41="","",'17'!D41)</f>
        <v/>
      </c>
      <c r="E41" s="17" t="str">
        <f>IF('17'!E41="","",'17'!E41)</f>
        <v/>
      </c>
      <c r="F41" s="266" t="str">
        <f>IF('17'!F41="","",'17'!F41)</f>
        <v/>
      </c>
      <c r="G41" s="17" t="str">
        <f>IF('17'!G41="","",'17'!G41)</f>
        <v/>
      </c>
    </row>
    <row r="42" spans="1:7" s="19" customFormat="1" ht="23.1" customHeight="1">
      <c r="A42" s="16" t="str">
        <f>IF('17'!A42="","",'17'!A42)</f>
        <v/>
      </c>
      <c r="B42" s="16">
        <f>IF('17'!B42="","",'17'!B42)</f>
        <v>29</v>
      </c>
      <c r="C42" s="17" t="str">
        <f>IF('17'!C42="","",'17'!C42)</f>
        <v/>
      </c>
      <c r="D42" s="266" t="str">
        <f>IF('17'!D42="","",'17'!D42)</f>
        <v/>
      </c>
      <c r="E42" s="17" t="str">
        <f>IF('17'!E42="","",'17'!E42)</f>
        <v/>
      </c>
      <c r="F42" s="266" t="str">
        <f>IF('17'!F42="","",'17'!F42)</f>
        <v/>
      </c>
      <c r="G42" s="17" t="str">
        <f>IF('17'!G42="","",'17'!G42)</f>
        <v/>
      </c>
    </row>
    <row r="43" spans="1:7" s="19" customFormat="1" ht="23.1" customHeight="1">
      <c r="A43" s="16" t="str">
        <f>IF('17'!A43="","",'17'!A43)</f>
        <v/>
      </c>
      <c r="B43" s="16">
        <f>IF('17'!B43="","",'17'!B43)</f>
        <v>30</v>
      </c>
      <c r="C43" s="17" t="str">
        <f>IF('17'!C43="","",'17'!C43)</f>
        <v/>
      </c>
      <c r="D43" s="266" t="str">
        <f>IF('17'!D43="","",'17'!D43)</f>
        <v/>
      </c>
      <c r="E43" s="17" t="str">
        <f>IF('17'!E43="","",'17'!E43)</f>
        <v/>
      </c>
      <c r="F43" s="266" t="str">
        <f>IF('17'!F43="","",'17'!F43)</f>
        <v/>
      </c>
      <c r="G43" s="17" t="str">
        <f>IF('17'!G43="","",'17'!G43)</f>
        <v/>
      </c>
    </row>
    <row r="44" spans="1:7" ht="23.1" customHeight="1">
      <c r="A44" s="16" t="str">
        <f>IF('17'!A44="","",'17'!A44)</f>
        <v/>
      </c>
      <c r="B44" s="16">
        <f>IF('17'!B44="","",'17'!B44)</f>
        <v>31</v>
      </c>
      <c r="C44" s="17" t="str">
        <f>IF('17'!C44="","",'17'!C44)</f>
        <v/>
      </c>
      <c r="D44" s="266" t="str">
        <f>IF('17'!D44="","",'17'!D44)</f>
        <v/>
      </c>
      <c r="E44" s="17" t="str">
        <f>IF('17'!E44="","",'17'!E44)</f>
        <v/>
      </c>
      <c r="F44" s="266" t="str">
        <f>IF('17'!F44="","",'17'!F44)</f>
        <v/>
      </c>
      <c r="G44" s="17" t="str">
        <f>IF('17'!G44="","",'17'!G44)</f>
        <v/>
      </c>
    </row>
    <row r="45" spans="1:7" ht="23.1" customHeight="1">
      <c r="A45" s="16" t="str">
        <f>IF('17'!A45="","",'17'!A45)</f>
        <v/>
      </c>
      <c r="B45" s="16">
        <f>IF('17'!B45="","",'17'!B45)</f>
        <v>32</v>
      </c>
      <c r="C45" s="17" t="str">
        <f>IF('17'!C45="","",'17'!C45)</f>
        <v/>
      </c>
      <c r="D45" s="266" t="str">
        <f>IF('17'!D45="","",'17'!D45)</f>
        <v/>
      </c>
      <c r="E45" s="17" t="str">
        <f>IF('17'!E45="","",'17'!E45)</f>
        <v/>
      </c>
      <c r="F45" s="266" t="str">
        <f>IF('17'!F45="","",'17'!F45)</f>
        <v/>
      </c>
      <c r="G45" s="17" t="str">
        <f>IF('17'!G45="","",'17'!G45)</f>
        <v/>
      </c>
    </row>
    <row r="46" spans="1:7" ht="23.1" customHeight="1">
      <c r="A46" s="16" t="str">
        <f>IF('17'!A46="","",'17'!A46)</f>
        <v/>
      </c>
      <c r="B46" s="16">
        <f>IF('17'!B46="","",'17'!B46)</f>
        <v>33</v>
      </c>
      <c r="C46" s="17" t="str">
        <f>IF('17'!C46="","",'17'!C46)</f>
        <v/>
      </c>
      <c r="D46" s="266" t="str">
        <f>IF('17'!D46="","",'17'!D46)</f>
        <v/>
      </c>
      <c r="E46" s="17" t="str">
        <f>IF('17'!E46="","",'17'!E46)</f>
        <v/>
      </c>
      <c r="F46" s="266" t="str">
        <f>IF('17'!F46="","",'17'!F46)</f>
        <v/>
      </c>
      <c r="G46" s="17" t="str">
        <f>IF('17'!G46="","",'17'!G46)</f>
        <v/>
      </c>
    </row>
    <row r="47" spans="1:7" ht="23.1" customHeight="1">
      <c r="A47" s="16" t="str">
        <f>IF('17'!A47="","",'17'!A47)</f>
        <v/>
      </c>
      <c r="B47" s="16">
        <f>IF('17'!B47="","",'17'!B47)</f>
        <v>34</v>
      </c>
      <c r="C47" s="17" t="str">
        <f>IF('17'!C47="","",'17'!C47)</f>
        <v/>
      </c>
      <c r="D47" s="266" t="str">
        <f>IF('17'!D47="","",'17'!D47)</f>
        <v/>
      </c>
      <c r="E47" s="17" t="str">
        <f>IF('17'!E47="","",'17'!E47)</f>
        <v/>
      </c>
      <c r="F47" s="266" t="str">
        <f>IF('17'!F47="","",'17'!F47)</f>
        <v/>
      </c>
      <c r="G47" s="17" t="str">
        <f>IF('17'!G47="","",'17'!G47)</f>
        <v/>
      </c>
    </row>
    <row r="48" spans="1:7" ht="23.1" customHeight="1">
      <c r="A48" s="16" t="str">
        <f>IF('17'!A48="","",'17'!A48)</f>
        <v/>
      </c>
      <c r="B48" s="16">
        <f>IF('17'!B48="","",'17'!B48)</f>
        <v>35</v>
      </c>
      <c r="C48" s="17" t="str">
        <f>IF('17'!C48="","",'17'!C48)</f>
        <v/>
      </c>
      <c r="D48" s="266" t="str">
        <f>IF('17'!D48="","",'17'!D48)</f>
        <v/>
      </c>
      <c r="E48" s="17" t="str">
        <f>IF('17'!E48="","",'17'!E48)</f>
        <v/>
      </c>
      <c r="F48" s="266" t="str">
        <f>IF('17'!F48="","",'17'!F48)</f>
        <v/>
      </c>
      <c r="G48" s="17" t="str">
        <f>IF('17'!G48="","",'17'!G48)</f>
        <v/>
      </c>
    </row>
    <row r="49" spans="1:7" ht="23.1" customHeight="1">
      <c r="A49" s="16" t="str">
        <f>IF('17'!A49="","",'17'!A49)</f>
        <v/>
      </c>
      <c r="B49" s="16">
        <f>IF('17'!B49="","",'17'!B49)</f>
        <v>36</v>
      </c>
      <c r="C49" s="17" t="str">
        <f>IF('17'!C49="","",'17'!C49)</f>
        <v/>
      </c>
      <c r="D49" s="266" t="str">
        <f>IF('17'!D49="","",'17'!D49)</f>
        <v/>
      </c>
      <c r="E49" s="17" t="str">
        <f>IF('17'!E49="","",'17'!E49)</f>
        <v/>
      </c>
      <c r="F49" s="266" t="str">
        <f>IF('17'!F49="","",'17'!F49)</f>
        <v/>
      </c>
      <c r="G49" s="17" t="str">
        <f>IF('17'!G49="","",'17'!G49)</f>
        <v/>
      </c>
    </row>
    <row r="50" spans="1:7" ht="23.1" customHeight="1">
      <c r="A50" s="16" t="str">
        <f>IF('17'!A50="","",'17'!A50)</f>
        <v/>
      </c>
      <c r="B50" s="16">
        <f>IF('17'!B50="","",'17'!B50)</f>
        <v>37</v>
      </c>
      <c r="C50" s="17" t="str">
        <f>IF('17'!C50="","",'17'!C50)</f>
        <v/>
      </c>
      <c r="D50" s="266" t="str">
        <f>IF('17'!D50="","",'17'!D50)</f>
        <v/>
      </c>
      <c r="E50" s="17" t="str">
        <f>IF('17'!E50="","",'17'!E50)</f>
        <v/>
      </c>
      <c r="F50" s="266" t="str">
        <f>IF('17'!F50="","",'17'!F50)</f>
        <v/>
      </c>
      <c r="G50" s="17" t="str">
        <f>IF('17'!G50="","",'17'!G50)</f>
        <v/>
      </c>
    </row>
    <row r="51" spans="1:7" ht="23.1" customHeight="1">
      <c r="A51" s="16" t="str">
        <f>IF('17'!A51="","",'17'!A51)</f>
        <v/>
      </c>
      <c r="B51" s="16">
        <f>IF('17'!B51="","",'17'!B51)</f>
        <v>38</v>
      </c>
      <c r="C51" s="17" t="str">
        <f>IF('17'!C51="","",'17'!C51)</f>
        <v/>
      </c>
      <c r="D51" s="266" t="str">
        <f>IF('17'!D51="","",'17'!D51)</f>
        <v/>
      </c>
      <c r="E51" s="17" t="str">
        <f>IF('17'!E51="","",'17'!E51)</f>
        <v/>
      </c>
      <c r="F51" s="266" t="str">
        <f>IF('17'!F51="","",'17'!F51)</f>
        <v/>
      </c>
      <c r="G51" s="17" t="str">
        <f>IF('17'!G51="","",'17'!G51)</f>
        <v/>
      </c>
    </row>
    <row r="52" spans="1:7" ht="23.1" customHeight="1">
      <c r="A52" s="16" t="str">
        <f>IF('17'!A52="","",'17'!A52)</f>
        <v/>
      </c>
      <c r="B52" s="16">
        <f>IF('17'!B52="","",'17'!B52)</f>
        <v>39</v>
      </c>
      <c r="C52" s="17" t="str">
        <f>IF('17'!C52="","",'17'!C52)</f>
        <v/>
      </c>
      <c r="D52" s="266" t="str">
        <f>IF('17'!D52="","",'17'!D52)</f>
        <v/>
      </c>
      <c r="E52" s="17" t="str">
        <f>IF('17'!E52="","",'17'!E52)</f>
        <v/>
      </c>
      <c r="F52" s="266" t="str">
        <f>IF('17'!F52="","",'17'!F52)</f>
        <v/>
      </c>
      <c r="G52" s="17" t="str">
        <f>IF('17'!G52="","",'17'!G52)</f>
        <v/>
      </c>
    </row>
    <row r="53" spans="1:7" ht="23.1" customHeight="1">
      <c r="A53" s="16" t="str">
        <f>IF('17'!A53="","",'17'!A53)</f>
        <v/>
      </c>
      <c r="B53" s="16">
        <f>IF('17'!B53="","",'17'!B53)</f>
        <v>40</v>
      </c>
      <c r="C53" s="17" t="str">
        <f>IF('17'!C53="","",'17'!C53)</f>
        <v/>
      </c>
      <c r="D53" s="266" t="str">
        <f>IF('17'!D53="","",'17'!D53)</f>
        <v/>
      </c>
      <c r="E53" s="17" t="str">
        <f>IF('17'!E53="","",'17'!E53)</f>
        <v/>
      </c>
      <c r="F53" s="266" t="str">
        <f>IF('17'!F53="","",'17'!F53)</f>
        <v/>
      </c>
      <c r="G53" s="17" t="str">
        <f>IF('17'!G53="","",'17'!G53)</f>
        <v/>
      </c>
    </row>
    <row r="54" spans="1:7" ht="23.1" customHeight="1">
      <c r="A54" s="16" t="str">
        <f>IF('17'!A54="","",'17'!A54)</f>
        <v/>
      </c>
      <c r="B54" s="16">
        <f>IF('17'!B54="","",'17'!B54)</f>
        <v>41</v>
      </c>
      <c r="C54" s="17" t="str">
        <f>IF('17'!C54="","",'17'!C54)</f>
        <v/>
      </c>
      <c r="D54" s="266" t="str">
        <f>IF('17'!D54="","",'17'!D54)</f>
        <v/>
      </c>
      <c r="E54" s="17" t="str">
        <f>IF('17'!E54="","",'17'!E54)</f>
        <v/>
      </c>
      <c r="F54" s="266" t="str">
        <f>IF('17'!F54="","",'17'!F54)</f>
        <v/>
      </c>
      <c r="G54" s="17" t="str">
        <f>IF('17'!G54="","",'17'!G54)</f>
        <v/>
      </c>
    </row>
    <row r="55" spans="1:7" ht="23.1" customHeight="1">
      <c r="A55" s="16" t="str">
        <f>IF('17'!A55="","",'17'!A55)</f>
        <v/>
      </c>
      <c r="B55" s="16">
        <f>IF('17'!B55="","",'17'!B55)</f>
        <v>42</v>
      </c>
      <c r="C55" s="17" t="str">
        <f>IF('17'!C55="","",'17'!C55)</f>
        <v/>
      </c>
      <c r="D55" s="266" t="str">
        <f>IF('17'!D55="","",'17'!D55)</f>
        <v/>
      </c>
      <c r="E55" s="17" t="str">
        <f>IF('17'!E55="","",'17'!E55)</f>
        <v/>
      </c>
      <c r="F55" s="266" t="str">
        <f>IF('17'!F55="","",'17'!F55)</f>
        <v/>
      </c>
      <c r="G55" s="17" t="str">
        <f>IF('17'!G55="","",'17'!G55)</f>
        <v/>
      </c>
    </row>
    <row r="56" spans="1:7" ht="23.1" customHeight="1">
      <c r="A56" s="16" t="str">
        <f>IF('17'!A56="","",'17'!A56)</f>
        <v/>
      </c>
      <c r="B56" s="16">
        <f>IF('17'!B56="","",'17'!B56)</f>
        <v>43</v>
      </c>
      <c r="C56" s="17" t="str">
        <f>IF('17'!C56="","",'17'!C56)</f>
        <v/>
      </c>
      <c r="D56" s="266" t="str">
        <f>IF('17'!D56="","",'17'!D56)</f>
        <v/>
      </c>
      <c r="E56" s="17" t="str">
        <f>IF('17'!E56="","",'17'!E56)</f>
        <v/>
      </c>
      <c r="F56" s="266" t="str">
        <f>IF('17'!F56="","",'17'!F56)</f>
        <v/>
      </c>
      <c r="G56" s="17" t="str">
        <f>IF('17'!G56="","",'17'!G56)</f>
        <v/>
      </c>
    </row>
    <row r="57" spans="1:7" ht="23.1" customHeight="1">
      <c r="A57" s="16" t="str">
        <f>IF('17'!A57="","",'17'!A57)</f>
        <v/>
      </c>
      <c r="B57" s="16">
        <f>IF('17'!B57="","",'17'!B57)</f>
        <v>44</v>
      </c>
      <c r="C57" s="17" t="str">
        <f>IF('17'!C57="","",'17'!C57)</f>
        <v/>
      </c>
      <c r="D57" s="266" t="str">
        <f>IF('17'!D57="","",'17'!D57)</f>
        <v/>
      </c>
      <c r="E57" s="17" t="str">
        <f>IF('17'!E57="","",'17'!E57)</f>
        <v/>
      </c>
      <c r="F57" s="266" t="str">
        <f>IF('17'!F57="","",'17'!F57)</f>
        <v/>
      </c>
      <c r="G57" s="17" t="str">
        <f>IF('17'!G57="","",'17'!G57)</f>
        <v/>
      </c>
    </row>
    <row r="58" spans="1:7" ht="23.1" customHeight="1">
      <c r="A58" s="16" t="str">
        <f>IF('17'!A58="","",'17'!A58)</f>
        <v/>
      </c>
      <c r="B58" s="16">
        <f>IF('17'!B58="","",'17'!B58)</f>
        <v>45</v>
      </c>
      <c r="C58" s="17" t="str">
        <f>IF('17'!C58="","",'17'!C58)</f>
        <v/>
      </c>
      <c r="D58" s="266" t="str">
        <f>IF('17'!D58="","",'17'!D58)</f>
        <v/>
      </c>
      <c r="E58" s="17" t="str">
        <f>IF('17'!E58="","",'17'!E58)</f>
        <v/>
      </c>
      <c r="F58" s="266" t="str">
        <f>IF('17'!F58="","",'17'!F58)</f>
        <v/>
      </c>
      <c r="G58" s="17" t="str">
        <f>IF('17'!G58="","",'17'!G58)</f>
        <v/>
      </c>
    </row>
    <row r="59" spans="1:7" ht="23.1" customHeight="1">
      <c r="A59" s="16" t="str">
        <f>IF('17'!A59="","",'17'!A59)</f>
        <v/>
      </c>
      <c r="B59" s="16">
        <f>IF('17'!B59="","",'17'!B59)</f>
        <v>46</v>
      </c>
      <c r="C59" s="17" t="str">
        <f>IF('17'!C59="","",'17'!C59)</f>
        <v/>
      </c>
      <c r="D59" s="266" t="str">
        <f>IF('17'!D59="","",'17'!D59)</f>
        <v/>
      </c>
      <c r="E59" s="17" t="str">
        <f>IF('17'!E59="","",'17'!E59)</f>
        <v/>
      </c>
      <c r="F59" s="266" t="str">
        <f>IF('17'!F59="","",'17'!F59)</f>
        <v/>
      </c>
      <c r="G59" s="17" t="str">
        <f>IF('17'!G59="","",'17'!G59)</f>
        <v/>
      </c>
    </row>
    <row r="60" spans="1:7" ht="23.1" customHeight="1">
      <c r="A60" s="16" t="str">
        <f>IF('17'!A60="","",'17'!A60)</f>
        <v/>
      </c>
      <c r="B60" s="16">
        <f>IF('17'!B60="","",'17'!B60)</f>
        <v>47</v>
      </c>
      <c r="C60" s="17" t="str">
        <f>IF('17'!C60="","",'17'!C60)</f>
        <v/>
      </c>
      <c r="D60" s="266" t="str">
        <f>IF('17'!D60="","",'17'!D60)</f>
        <v/>
      </c>
      <c r="E60" s="17" t="str">
        <f>IF('17'!E60="","",'17'!E60)</f>
        <v/>
      </c>
      <c r="F60" s="266" t="str">
        <f>IF('17'!F60="","",'17'!F60)</f>
        <v/>
      </c>
      <c r="G60" s="17" t="str">
        <f>IF('17'!G60="","",'17'!G60)</f>
        <v/>
      </c>
    </row>
    <row r="61" spans="1:7" ht="23.1" customHeight="1">
      <c r="A61" s="16" t="str">
        <f>IF('17'!A61="","",'17'!A61)</f>
        <v/>
      </c>
      <c r="B61" s="16">
        <f>IF('17'!B61="","",'17'!B61)</f>
        <v>48</v>
      </c>
      <c r="C61" s="17" t="str">
        <f>IF('17'!C61="","",'17'!C61)</f>
        <v/>
      </c>
      <c r="D61" s="266" t="str">
        <f>IF('17'!D61="","",'17'!D61)</f>
        <v/>
      </c>
      <c r="E61" s="17" t="str">
        <f>IF('17'!E61="","",'17'!E61)</f>
        <v/>
      </c>
      <c r="F61" s="266" t="str">
        <f>IF('17'!F61="","",'17'!F61)</f>
        <v/>
      </c>
      <c r="G61" s="17" t="str">
        <f>IF('17'!G61="","",'17'!G61)</f>
        <v/>
      </c>
    </row>
    <row r="62" spans="1:7" ht="23.1" customHeight="1">
      <c r="A62" s="16" t="str">
        <f>IF('17'!A62="","",'17'!A62)</f>
        <v/>
      </c>
      <c r="B62" s="16">
        <f>IF('17'!B62="","",'17'!B62)</f>
        <v>49</v>
      </c>
      <c r="C62" s="17" t="str">
        <f>IF('17'!C62="","",'17'!C62)</f>
        <v/>
      </c>
      <c r="D62" s="266" t="str">
        <f>IF('17'!D62="","",'17'!D62)</f>
        <v/>
      </c>
      <c r="E62" s="17" t="str">
        <f>IF('17'!E62="","",'17'!E62)</f>
        <v/>
      </c>
      <c r="F62" s="266" t="str">
        <f>IF('17'!F62="","",'17'!F62)</f>
        <v/>
      </c>
      <c r="G62" s="17" t="str">
        <f>IF('17'!G62="","",'17'!G62)</f>
        <v/>
      </c>
    </row>
    <row r="63" spans="1:7" ht="23.1" customHeight="1">
      <c r="A63" s="16" t="str">
        <f>IF('17'!A63="","",'17'!A63)</f>
        <v/>
      </c>
      <c r="B63" s="16">
        <f>IF('17'!B63="","",'17'!B63)</f>
        <v>50</v>
      </c>
      <c r="C63" s="17" t="str">
        <f>IF('17'!C63="","",'17'!C63)</f>
        <v/>
      </c>
      <c r="D63" s="266" t="str">
        <f>IF('17'!D63="","",'17'!D63)</f>
        <v/>
      </c>
      <c r="E63" s="17" t="str">
        <f>IF('17'!E63="","",'17'!E63)</f>
        <v/>
      </c>
      <c r="F63" s="266" t="str">
        <f>IF('17'!F63="","",'17'!F63)</f>
        <v/>
      </c>
      <c r="G63" s="17" t="str">
        <f>IF('17'!G63="","",'17'!G63)</f>
        <v/>
      </c>
    </row>
    <row r="64" spans="1:7" ht="23.1" customHeight="1">
      <c r="A64" s="16" t="str">
        <f>IF('17'!A64="","",'17'!A64)</f>
        <v/>
      </c>
      <c r="B64" s="16">
        <f>IF('17'!B64="","",'17'!B64)</f>
        <v>51</v>
      </c>
      <c r="C64" s="17" t="str">
        <f>IF('17'!C64="","",'17'!C64)</f>
        <v/>
      </c>
      <c r="D64" s="266" t="str">
        <f>IF('17'!D64="","",'17'!D64)</f>
        <v/>
      </c>
      <c r="E64" s="17" t="str">
        <f>IF('17'!E64="","",'17'!E64)</f>
        <v/>
      </c>
      <c r="F64" s="266" t="str">
        <f>IF('17'!F64="","",'17'!F64)</f>
        <v/>
      </c>
      <c r="G64" s="17" t="str">
        <f>IF('17'!G64="","",'17'!G64)</f>
        <v/>
      </c>
    </row>
    <row r="65" spans="1:7" ht="23.1" customHeight="1">
      <c r="A65" s="16" t="str">
        <f>IF('17'!A65="","",'17'!A65)</f>
        <v/>
      </c>
      <c r="B65" s="16">
        <f>IF('17'!B65="","",'17'!B65)</f>
        <v>52</v>
      </c>
      <c r="C65" s="17" t="str">
        <f>IF('17'!C65="","",'17'!C65)</f>
        <v/>
      </c>
      <c r="D65" s="266" t="str">
        <f>IF('17'!D65="","",'17'!D65)</f>
        <v/>
      </c>
      <c r="E65" s="17" t="str">
        <f>IF('17'!E65="","",'17'!E65)</f>
        <v/>
      </c>
      <c r="F65" s="266" t="str">
        <f>IF('17'!F65="","",'17'!F65)</f>
        <v/>
      </c>
      <c r="G65" s="17" t="str">
        <f>IF('17'!G65="","",'17'!G65)</f>
        <v/>
      </c>
    </row>
    <row r="66" spans="1:7" ht="23.1" customHeight="1">
      <c r="A66" s="16" t="str">
        <f>IF('17'!A66="","",'17'!A66)</f>
        <v/>
      </c>
      <c r="B66" s="16">
        <f>IF('17'!B66="","",'17'!B66)</f>
        <v>53</v>
      </c>
      <c r="C66" s="17" t="str">
        <f>IF('17'!C66="","",'17'!C66)</f>
        <v/>
      </c>
      <c r="D66" s="266" t="str">
        <f>IF('17'!D66="","",'17'!D66)</f>
        <v/>
      </c>
      <c r="E66" s="17" t="str">
        <f>IF('17'!E66="","",'17'!E66)</f>
        <v/>
      </c>
      <c r="F66" s="266" t="str">
        <f>IF('17'!F66="","",'17'!F66)</f>
        <v/>
      </c>
      <c r="G66" s="17" t="str">
        <f>IF('17'!G66="","",'17'!G66)</f>
        <v/>
      </c>
    </row>
    <row r="67" spans="1:7" ht="23.1" customHeight="1">
      <c r="A67" s="16" t="str">
        <f>IF('17'!A67="","",'17'!A67)</f>
        <v/>
      </c>
      <c r="B67" s="16">
        <f>IF('17'!B67="","",'17'!B67)</f>
        <v>54</v>
      </c>
      <c r="C67" s="17" t="str">
        <f>IF('17'!C67="","",'17'!C67)</f>
        <v/>
      </c>
      <c r="D67" s="266" t="str">
        <f>IF('17'!D67="","",'17'!D67)</f>
        <v/>
      </c>
      <c r="E67" s="17" t="str">
        <f>IF('17'!E67="","",'17'!E67)</f>
        <v/>
      </c>
      <c r="F67" s="266" t="str">
        <f>IF('17'!F67="","",'17'!F67)</f>
        <v/>
      </c>
      <c r="G67" s="17" t="str">
        <f>IF('17'!G67="","",'17'!G67)</f>
        <v/>
      </c>
    </row>
    <row r="68" spans="1:7" ht="23.1" customHeight="1">
      <c r="A68" s="16" t="str">
        <f>IF('17'!A68="","",'17'!A68)</f>
        <v/>
      </c>
      <c r="B68" s="16">
        <f>IF('17'!B68="","",'17'!B68)</f>
        <v>55</v>
      </c>
      <c r="C68" s="17" t="str">
        <f>IF('17'!C68="","",'17'!C68)</f>
        <v/>
      </c>
      <c r="D68" s="266" t="str">
        <f>IF('17'!D68="","",'17'!D68)</f>
        <v/>
      </c>
      <c r="E68" s="17" t="str">
        <f>IF('17'!E68="","",'17'!E68)</f>
        <v/>
      </c>
      <c r="F68" s="266" t="str">
        <f>IF('17'!F68="","",'17'!F68)</f>
        <v/>
      </c>
      <c r="G68" s="17" t="str">
        <f>IF('17'!G68="","",'17'!G68)</f>
        <v/>
      </c>
    </row>
    <row r="69" spans="1:7" ht="23.1" customHeight="1">
      <c r="A69" s="16" t="str">
        <f>IF('17'!A69="","",'17'!A69)</f>
        <v/>
      </c>
      <c r="B69" s="16">
        <f>IF('17'!B69="","",'17'!B69)</f>
        <v>56</v>
      </c>
      <c r="C69" s="17" t="str">
        <f>IF('17'!C69="","",'17'!C69)</f>
        <v/>
      </c>
      <c r="D69" s="266" t="str">
        <f>IF('17'!D69="","",'17'!D69)</f>
        <v/>
      </c>
      <c r="E69" s="17" t="str">
        <f>IF('17'!E69="","",'17'!E69)</f>
        <v/>
      </c>
      <c r="F69" s="266" t="str">
        <f>IF('17'!F69="","",'17'!F69)</f>
        <v/>
      </c>
      <c r="G69" s="17" t="str">
        <f>IF('17'!G69="","",'17'!G69)</f>
        <v/>
      </c>
    </row>
    <row r="70" spans="1:7" ht="23.1" customHeight="1">
      <c r="A70" s="16" t="str">
        <f>IF('17'!A70="","",'17'!A70)</f>
        <v/>
      </c>
      <c r="B70" s="16">
        <f>IF('17'!B70="","",'17'!B70)</f>
        <v>57</v>
      </c>
      <c r="C70" s="17" t="str">
        <f>IF('17'!C70="","",'17'!C70)</f>
        <v/>
      </c>
      <c r="D70" s="266" t="str">
        <f>IF('17'!D70="","",'17'!D70)</f>
        <v/>
      </c>
      <c r="E70" s="17" t="str">
        <f>IF('17'!E70="","",'17'!E70)</f>
        <v/>
      </c>
      <c r="F70" s="266" t="str">
        <f>IF('17'!F70="","",'17'!F70)</f>
        <v/>
      </c>
      <c r="G70" s="17" t="str">
        <f>IF('17'!G70="","",'17'!G70)</f>
        <v/>
      </c>
    </row>
    <row r="71" spans="1:7" ht="23.1" customHeight="1">
      <c r="A71" s="16" t="str">
        <f>IF('17'!A71="","",'17'!A71)</f>
        <v/>
      </c>
      <c r="B71" s="16">
        <f>IF('17'!B71="","",'17'!B71)</f>
        <v>58</v>
      </c>
      <c r="C71" s="17" t="str">
        <f>IF('17'!C71="","",'17'!C71)</f>
        <v/>
      </c>
      <c r="D71" s="266" t="str">
        <f>IF('17'!D71="","",'17'!D71)</f>
        <v/>
      </c>
      <c r="E71" s="17" t="str">
        <f>IF('17'!E71="","",'17'!E71)</f>
        <v/>
      </c>
      <c r="F71" s="266" t="str">
        <f>IF('17'!F71="","",'17'!F71)</f>
        <v/>
      </c>
      <c r="G71" s="17" t="str">
        <f>IF('17'!G71="","",'17'!G71)</f>
        <v/>
      </c>
    </row>
    <row r="72" spans="1:7" ht="23.1" customHeight="1">
      <c r="A72" s="16" t="str">
        <f>IF('17'!A72="","",'17'!A72)</f>
        <v/>
      </c>
      <c r="B72" s="16">
        <f>IF('17'!B72="","",'17'!B72)</f>
        <v>59</v>
      </c>
      <c r="C72" s="17" t="str">
        <f>IF('17'!C72="","",'17'!C72)</f>
        <v/>
      </c>
      <c r="D72" s="266" t="str">
        <f>IF('17'!D72="","",'17'!D72)</f>
        <v/>
      </c>
      <c r="E72" s="17" t="str">
        <f>IF('17'!E72="","",'17'!E72)</f>
        <v/>
      </c>
      <c r="F72" s="266" t="str">
        <f>IF('17'!F72="","",'17'!F72)</f>
        <v/>
      </c>
      <c r="G72" s="17" t="str">
        <f>IF('17'!G72="","",'17'!G72)</f>
        <v/>
      </c>
    </row>
    <row r="73" spans="1:7" ht="23.1" customHeight="1">
      <c r="A73" s="16" t="str">
        <f>IF('17'!A73="","",'17'!A73)</f>
        <v/>
      </c>
      <c r="B73" s="16">
        <f>IF('17'!B73="","",'17'!B73)</f>
        <v>60</v>
      </c>
      <c r="C73" s="17" t="str">
        <f>IF('17'!C73="","",'17'!C73)</f>
        <v/>
      </c>
      <c r="D73" s="266" t="str">
        <f>IF('17'!D73="","",'17'!D73)</f>
        <v/>
      </c>
      <c r="E73" s="17" t="str">
        <f>IF('17'!E73="","",'17'!E73)</f>
        <v/>
      </c>
      <c r="F73" s="266" t="str">
        <f>IF('17'!F73="","",'17'!F73)</f>
        <v/>
      </c>
      <c r="G73" s="17" t="str">
        <f>IF('17'!G73="","",'17'!G73)</f>
        <v/>
      </c>
    </row>
  </sheetData>
  <dataConsolidate link="1"/>
  <mergeCells count="6">
    <mergeCell ref="G12:G13"/>
    <mergeCell ref="D8:F8"/>
    <mergeCell ref="A12:A13"/>
    <mergeCell ref="B12:B13"/>
    <mergeCell ref="C12:D12"/>
    <mergeCell ref="E12:F12"/>
  </mergeCells>
  <phoneticPr fontId="10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horizontalDpi="4294967293" verticalDpi="4294967292" r:id="rId1"/>
  <headerFooter alignWithMargins="0">
    <oddHeader>&amp;R&amp;P/&amp;N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F1A90-BFB1-43D2-A534-92CAE9D81D40}">
  <sheetPr codeName="Sheet13">
    <tabColor rgb="FF0070C0"/>
  </sheetPr>
  <dimension ref="A4:J16"/>
  <sheetViews>
    <sheetView view="pageBreakPreview" topLeftCell="A4" zoomScale="60" zoomScaleNormal="100" workbookViewId="0">
      <selection activeCell="D14" sqref="D14:E14"/>
    </sheetView>
  </sheetViews>
  <sheetFormatPr defaultColWidth="8.88671875" defaultRowHeight="30" customHeight="1"/>
  <cols>
    <col min="1" max="1" width="8.88671875" style="96"/>
    <col min="2" max="3" width="8.88671875" style="95"/>
    <col min="4" max="4" width="13.6640625" style="99" customWidth="1"/>
    <col min="5" max="5" width="13.33203125" style="95" bestFit="1" customWidth="1"/>
    <col min="6" max="16384" width="8.88671875" style="95"/>
  </cols>
  <sheetData>
    <row r="4" spans="1:10" ht="30" customHeight="1">
      <c r="A4" s="356" t="str">
        <f>'18_MＣ'!C7</f>
        <v>2026 Fuji Horse Show Autumn Grand Prix</v>
      </c>
      <c r="B4" s="356"/>
      <c r="C4" s="356"/>
      <c r="D4" s="356"/>
      <c r="E4" s="356"/>
      <c r="F4" s="356"/>
      <c r="G4" s="356"/>
      <c r="H4" s="356"/>
      <c r="I4" s="356"/>
      <c r="J4" s="356"/>
    </row>
    <row r="6" spans="1:10" ht="30" customHeight="1">
      <c r="A6" s="96" t="s">
        <v>42</v>
      </c>
      <c r="B6" s="97">
        <f>'18_MＣ'!B8</f>
        <v>18</v>
      </c>
      <c r="C6" s="95" t="s">
        <v>43</v>
      </c>
      <c r="D6" s="98" t="str">
        <f>'18_MＣ'!D8:F8</f>
        <v>Ｍ－Ｃ級障害飛越競技</v>
      </c>
    </row>
    <row r="8" spans="1:10" ht="30" customHeight="1">
      <c r="C8" s="95" t="s">
        <v>85</v>
      </c>
      <c r="E8" s="100" t="s">
        <v>98</v>
      </c>
    </row>
    <row r="9" spans="1:10" ht="30" customHeight="1">
      <c r="C9" s="95" t="s">
        <v>86</v>
      </c>
      <c r="E9" s="107" t="s">
        <v>99</v>
      </c>
      <c r="F9" s="95" t="s">
        <v>87</v>
      </c>
    </row>
    <row r="11" spans="1:10" ht="30" customHeight="1">
      <c r="A11" s="358" t="s">
        <v>94</v>
      </c>
      <c r="B11" s="358"/>
      <c r="C11" s="358"/>
      <c r="D11" s="358"/>
      <c r="E11" s="358"/>
      <c r="F11" s="358"/>
      <c r="G11" s="358"/>
      <c r="H11" s="358"/>
    </row>
    <row r="12" spans="1:10" ht="30" customHeight="1">
      <c r="D12" s="95"/>
      <c r="F12" s="99"/>
      <c r="G12" s="99"/>
    </row>
    <row r="13" spans="1:10" ht="30" customHeight="1">
      <c r="D13" s="95"/>
      <c r="F13" s="99"/>
      <c r="G13" s="99"/>
    </row>
    <row r="14" spans="1:10" ht="30" customHeight="1">
      <c r="D14" s="95"/>
      <c r="G14" s="99"/>
    </row>
    <row r="15" spans="1:10" ht="30" customHeight="1">
      <c r="D15" s="95"/>
      <c r="G15" s="99"/>
    </row>
    <row r="16" spans="1:10" ht="30" customHeight="1">
      <c r="D16" s="98"/>
      <c r="E16" s="98"/>
      <c r="F16" s="98"/>
      <c r="G16" s="98"/>
    </row>
  </sheetData>
  <mergeCells count="2">
    <mergeCell ref="A4:J4"/>
    <mergeCell ref="A11:H11"/>
  </mergeCells>
  <phoneticPr fontId="10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rgb="FF0070C0"/>
  </sheetPr>
  <dimension ref="A1:G73"/>
  <sheetViews>
    <sheetView view="pageBreakPreview" topLeftCell="A21" zoomScaleNormal="100" zoomScaleSheetLayoutView="100" workbookViewId="0">
      <selection activeCell="G17" sqref="G17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41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'18'!C2</f>
        <v>0</v>
      </c>
      <c r="D6" s="3"/>
      <c r="F6" s="4" t="s">
        <v>2</v>
      </c>
      <c r="G6" s="6">
        <v>46277</v>
      </c>
    </row>
    <row r="7" spans="1:7" ht="24" customHeight="1">
      <c r="A7" s="7"/>
      <c r="B7" s="4" t="s">
        <v>4</v>
      </c>
      <c r="C7" s="8" t="str">
        <f>'18'!C3</f>
        <v>2026 Fuji Horse Show Autumn Grand Prix</v>
      </c>
      <c r="D7" s="9"/>
      <c r="E7" s="9"/>
      <c r="F7" s="9"/>
      <c r="G7" s="346" t="s">
        <v>732</v>
      </c>
    </row>
    <row r="8" spans="1:7" ht="21" customHeight="1">
      <c r="A8" s="10" t="s">
        <v>42</v>
      </c>
      <c r="B8" s="68">
        <f>'18'!C4</f>
        <v>18</v>
      </c>
      <c r="C8" s="4" t="s">
        <v>43</v>
      </c>
      <c r="D8" s="349" t="str">
        <f>'18'!F4</f>
        <v>Ｍ－Ｃ級障害飛越競技</v>
      </c>
      <c r="E8" s="349"/>
      <c r="F8" s="349"/>
    </row>
    <row r="9" spans="1:7" ht="18.75" customHeight="1">
      <c r="C9" s="11" t="s">
        <v>11</v>
      </c>
      <c r="D9" s="264" t="str">
        <f>'18'!D5</f>
        <v>-</v>
      </c>
      <c r="E9" s="4" t="s">
        <v>9</v>
      </c>
      <c r="F9" s="267" t="str">
        <f>'18'!K4</f>
        <v>-</v>
      </c>
    </row>
    <row r="10" spans="1:7" ht="21" customHeight="1">
      <c r="A10" s="12" t="s">
        <v>44</v>
      </c>
      <c r="B10" s="12"/>
      <c r="C10" s="12"/>
      <c r="D10" s="265" t="str">
        <f>'18'!D6</f>
        <v>-</v>
      </c>
      <c r="E10" s="4" t="s">
        <v>12</v>
      </c>
      <c r="F10" s="268" t="str">
        <f>'18'!F5</f>
        <v>-</v>
      </c>
      <c r="G10" s="13" t="s">
        <v>45</v>
      </c>
    </row>
    <row r="11" spans="1:7" ht="5.0999999999999996" customHeight="1"/>
    <row r="12" spans="1:7" ht="15" customHeight="1">
      <c r="A12" s="350" t="s">
        <v>46</v>
      </c>
      <c r="B12" s="352" t="s">
        <v>47</v>
      </c>
      <c r="C12" s="354" t="s">
        <v>48</v>
      </c>
      <c r="D12" s="355"/>
      <c r="E12" s="347" t="s">
        <v>49</v>
      </c>
      <c r="F12" s="347"/>
      <c r="G12" s="347" t="s">
        <v>50</v>
      </c>
    </row>
    <row r="13" spans="1:7" ht="24" customHeight="1">
      <c r="A13" s="351"/>
      <c r="B13" s="353"/>
      <c r="C13" s="14" t="s">
        <v>53</v>
      </c>
      <c r="D13" s="15" t="s">
        <v>54</v>
      </c>
      <c r="E13" s="15" t="s">
        <v>55</v>
      </c>
      <c r="F13" s="15" t="s">
        <v>56</v>
      </c>
      <c r="G13" s="348"/>
    </row>
    <row r="14" spans="1:7" s="19" customFormat="1" ht="23.1" customHeight="1">
      <c r="A14" s="16" t="str">
        <f>IF('18'!A14="","",'18'!A14)</f>
        <v/>
      </c>
      <c r="B14" s="16">
        <f>IF('18'!B14="","",'18'!B14)</f>
        <v>1</v>
      </c>
      <c r="C14" s="17" t="str">
        <f>IF('18'!C14="","",'18'!C14)</f>
        <v>小泉　徹也</v>
      </c>
      <c r="D14" s="266">
        <f>IF('18'!D14="","",'18'!D14)</f>
        <v>30301</v>
      </c>
      <c r="E14" s="17" t="str">
        <f>IF('18'!E14="","",'18'!E14)</f>
        <v>フォーランダPS</v>
      </c>
      <c r="F14" s="266">
        <f>IF('18'!F14="","",'18'!F14)</f>
        <v>61511</v>
      </c>
      <c r="G14" s="17" t="str">
        <f>IF('18'!G14="","",'18'!G14)</f>
        <v>STAR HORSES</v>
      </c>
    </row>
    <row r="15" spans="1:7" s="19" customFormat="1" ht="23.1" customHeight="1">
      <c r="A15" s="16" t="str">
        <f>IF('18'!A15="","",'18'!A15)</f>
        <v>WD</v>
      </c>
      <c r="B15" s="16">
        <f>IF('18'!B15="","",'18'!B15)</f>
        <v>2</v>
      </c>
      <c r="C15" s="17" t="str">
        <f>IF('18'!C15="","",'18'!C15)</f>
        <v>森　裕悟</v>
      </c>
      <c r="D15" s="266">
        <f>IF('18'!D15="","",'18'!D15)</f>
        <v>15169</v>
      </c>
      <c r="E15" s="17" t="str">
        <f>IF('18'!E15="","",'18'!E15)</f>
        <v>ジュノンAO</v>
      </c>
      <c r="F15" s="266">
        <f>IF('18'!F15="","",'18'!F15)</f>
        <v>59391</v>
      </c>
      <c r="G15" s="17" t="str">
        <f>IF('18'!G15="","",'18'!G15)</f>
        <v>AOステーブル</v>
      </c>
    </row>
    <row r="16" spans="1:7" s="19" customFormat="1" ht="23.1" customHeight="1">
      <c r="A16" s="16" t="str">
        <f>IF('18'!A16="","",'18'!A16)</f>
        <v/>
      </c>
      <c r="B16" s="16">
        <f>IF('18'!B16="","",'18'!B16)</f>
        <v>3</v>
      </c>
      <c r="C16" s="17" t="str">
        <f>IF('18'!C16="","",'18'!C16)</f>
        <v/>
      </c>
      <c r="D16" s="266" t="str">
        <f>IF('18'!D16="","",'18'!D16)</f>
        <v/>
      </c>
      <c r="E16" s="17" t="str">
        <f>IF('18'!E16="","",'18'!E16)</f>
        <v/>
      </c>
      <c r="F16" s="266" t="str">
        <f>IF('18'!F16="","",'18'!F16)</f>
        <v/>
      </c>
      <c r="G16" s="17" t="str">
        <f>IF('18'!G16="","",'18'!G16)</f>
        <v/>
      </c>
    </row>
    <row r="17" spans="1:7" s="19" customFormat="1" ht="23.1" customHeight="1">
      <c r="A17" s="16" t="str">
        <f>IF('18'!A17="","",'18'!A17)</f>
        <v/>
      </c>
      <c r="B17" s="16">
        <f>IF('18'!B17="","",'18'!B17)</f>
        <v>4</v>
      </c>
      <c r="C17" s="17" t="str">
        <f>IF('18'!C17="","",'18'!C17)</f>
        <v/>
      </c>
      <c r="D17" s="266" t="str">
        <f>IF('18'!D17="","",'18'!D17)</f>
        <v/>
      </c>
      <c r="E17" s="17" t="str">
        <f>IF('18'!E17="","",'18'!E17)</f>
        <v/>
      </c>
      <c r="F17" s="266" t="str">
        <f>IF('18'!F17="","",'18'!F17)</f>
        <v/>
      </c>
      <c r="G17" s="17" t="str">
        <f>IF('18'!G17="","",'18'!G17)</f>
        <v/>
      </c>
    </row>
    <row r="18" spans="1:7" s="19" customFormat="1" ht="23.1" customHeight="1">
      <c r="A18" s="16" t="str">
        <f>IF('18'!A18="","",'18'!A18)</f>
        <v/>
      </c>
      <c r="B18" s="16">
        <f>IF('18'!B18="","",'18'!B18)</f>
        <v>5</v>
      </c>
      <c r="C18" s="17" t="str">
        <f>IF('18'!C18="","",'18'!C18)</f>
        <v/>
      </c>
      <c r="D18" s="266" t="str">
        <f>IF('18'!D18="","",'18'!D18)</f>
        <v/>
      </c>
      <c r="E18" s="17" t="str">
        <f>IF('18'!E18="","",'18'!E18)</f>
        <v/>
      </c>
      <c r="F18" s="266" t="str">
        <f>IF('18'!F18="","",'18'!F18)</f>
        <v/>
      </c>
      <c r="G18" s="17" t="str">
        <f>IF('18'!G18="","",'18'!G18)</f>
        <v/>
      </c>
    </row>
    <row r="19" spans="1:7" s="19" customFormat="1" ht="23.1" customHeight="1">
      <c r="A19" s="16" t="str">
        <f>IF('18'!A19="","",'18'!A19)</f>
        <v/>
      </c>
      <c r="B19" s="16">
        <f>IF('18'!B19="","",'18'!B19)</f>
        <v>6</v>
      </c>
      <c r="C19" s="17" t="str">
        <f>IF('18'!C19="","",'18'!C19)</f>
        <v/>
      </c>
      <c r="D19" s="266" t="str">
        <f>IF('18'!D19="","",'18'!D19)</f>
        <v/>
      </c>
      <c r="E19" s="17" t="str">
        <f>IF('18'!E19="","",'18'!E19)</f>
        <v/>
      </c>
      <c r="F19" s="266" t="str">
        <f>IF('18'!F19="","",'18'!F19)</f>
        <v/>
      </c>
      <c r="G19" s="17" t="str">
        <f>IF('18'!G19="","",'18'!G19)</f>
        <v/>
      </c>
    </row>
    <row r="20" spans="1:7" s="19" customFormat="1" ht="23.1" customHeight="1">
      <c r="A20" s="16" t="str">
        <f>IF('18'!A20="","",'18'!A20)</f>
        <v/>
      </c>
      <c r="B20" s="16">
        <f>IF('18'!B20="","",'18'!B20)</f>
        <v>7</v>
      </c>
      <c r="C20" s="17" t="str">
        <f>IF('18'!C20="","",'18'!C20)</f>
        <v/>
      </c>
      <c r="D20" s="266" t="str">
        <f>IF('18'!D20="","",'18'!D20)</f>
        <v/>
      </c>
      <c r="E20" s="17" t="str">
        <f>IF('18'!E20="","",'18'!E20)</f>
        <v/>
      </c>
      <c r="F20" s="266" t="str">
        <f>IF('18'!F20="","",'18'!F20)</f>
        <v/>
      </c>
      <c r="G20" s="17" t="str">
        <f>IF('18'!G20="","",'18'!G20)</f>
        <v/>
      </c>
    </row>
    <row r="21" spans="1:7" s="19" customFormat="1" ht="23.1" customHeight="1">
      <c r="A21" s="16" t="str">
        <f>IF('18'!A21="","",'18'!A21)</f>
        <v/>
      </c>
      <c r="B21" s="16">
        <f>IF('18'!B21="","",'18'!B21)</f>
        <v>8</v>
      </c>
      <c r="C21" s="17" t="str">
        <f>IF('18'!C21="","",'18'!C21)</f>
        <v/>
      </c>
      <c r="D21" s="266" t="str">
        <f>IF('18'!D21="","",'18'!D21)</f>
        <v/>
      </c>
      <c r="E21" s="17" t="str">
        <f>IF('18'!E21="","",'18'!E21)</f>
        <v/>
      </c>
      <c r="F21" s="266" t="str">
        <f>IF('18'!F21="","",'18'!F21)</f>
        <v/>
      </c>
      <c r="G21" s="17" t="str">
        <f>IF('18'!G21="","",'18'!G21)</f>
        <v/>
      </c>
    </row>
    <row r="22" spans="1:7" s="19" customFormat="1" ht="23.1" customHeight="1">
      <c r="A22" s="16" t="str">
        <f>IF('18'!A22="","",'18'!A22)</f>
        <v/>
      </c>
      <c r="B22" s="16">
        <f>IF('18'!B22="","",'18'!B22)</f>
        <v>9</v>
      </c>
      <c r="C22" s="17" t="str">
        <f>IF('18'!C22="","",'18'!C22)</f>
        <v/>
      </c>
      <c r="D22" s="266" t="str">
        <f>IF('18'!D22="","",'18'!D22)</f>
        <v/>
      </c>
      <c r="E22" s="17" t="str">
        <f>IF('18'!E22="","",'18'!E22)</f>
        <v/>
      </c>
      <c r="F22" s="266" t="str">
        <f>IF('18'!F22="","",'18'!F22)</f>
        <v/>
      </c>
      <c r="G22" s="17" t="str">
        <f>IF('18'!G22="","",'18'!G22)</f>
        <v/>
      </c>
    </row>
    <row r="23" spans="1:7" s="19" customFormat="1" ht="23.1" customHeight="1">
      <c r="A23" s="16" t="str">
        <f>IF('18'!A23="","",'18'!A23)</f>
        <v/>
      </c>
      <c r="B23" s="16">
        <f>IF('18'!B23="","",'18'!B23)</f>
        <v>10</v>
      </c>
      <c r="C23" s="17" t="str">
        <f>IF('18'!C23="","",'18'!C23)</f>
        <v/>
      </c>
      <c r="D23" s="266" t="str">
        <f>IF('18'!D23="","",'18'!D23)</f>
        <v/>
      </c>
      <c r="E23" s="17" t="str">
        <f>IF('18'!E23="","",'18'!E23)</f>
        <v/>
      </c>
      <c r="F23" s="266" t="str">
        <f>IF('18'!F23="","",'18'!F23)</f>
        <v/>
      </c>
      <c r="G23" s="17" t="str">
        <f>IF('18'!G23="","",'18'!G23)</f>
        <v/>
      </c>
    </row>
    <row r="24" spans="1:7" s="19" customFormat="1" ht="23.1" customHeight="1">
      <c r="A24" s="16" t="str">
        <f>IF('18'!A24="","",'18'!A24)</f>
        <v/>
      </c>
      <c r="B24" s="16">
        <f>IF('18'!B24="","",'18'!B24)</f>
        <v>11</v>
      </c>
      <c r="C24" s="17" t="str">
        <f>IF('18'!C24="","",'18'!C24)</f>
        <v/>
      </c>
      <c r="D24" s="266" t="str">
        <f>IF('18'!D24="","",'18'!D24)</f>
        <v/>
      </c>
      <c r="E24" s="17" t="str">
        <f>IF('18'!E24="","",'18'!E24)</f>
        <v/>
      </c>
      <c r="F24" s="266" t="str">
        <f>IF('18'!F24="","",'18'!F24)</f>
        <v/>
      </c>
      <c r="G24" s="17" t="str">
        <f>IF('18'!G24="","",'18'!G24)</f>
        <v/>
      </c>
    </row>
    <row r="25" spans="1:7" s="19" customFormat="1" ht="23.1" customHeight="1">
      <c r="A25" s="16" t="str">
        <f>IF('18'!A25="","",'18'!A25)</f>
        <v/>
      </c>
      <c r="B25" s="16">
        <f>IF('18'!B25="","",'18'!B25)</f>
        <v>12</v>
      </c>
      <c r="C25" s="17" t="str">
        <f>IF('18'!C25="","",'18'!C25)</f>
        <v/>
      </c>
      <c r="D25" s="266" t="str">
        <f>IF('18'!D25="","",'18'!D25)</f>
        <v/>
      </c>
      <c r="E25" s="17" t="str">
        <f>IF('18'!E25="","",'18'!E25)</f>
        <v/>
      </c>
      <c r="F25" s="266" t="str">
        <f>IF('18'!F25="","",'18'!F25)</f>
        <v/>
      </c>
      <c r="G25" s="17" t="str">
        <f>IF('18'!G25="","",'18'!G25)</f>
        <v/>
      </c>
    </row>
    <row r="26" spans="1:7" s="19" customFormat="1" ht="23.1" customHeight="1">
      <c r="A26" s="16" t="str">
        <f>IF('18'!A26="","",'18'!A26)</f>
        <v/>
      </c>
      <c r="B26" s="16">
        <f>IF('18'!B26="","",'18'!B26)</f>
        <v>13</v>
      </c>
      <c r="C26" s="17" t="str">
        <f>IF('18'!C26="","",'18'!C26)</f>
        <v/>
      </c>
      <c r="D26" s="266" t="str">
        <f>IF('18'!D26="","",'18'!D26)</f>
        <v/>
      </c>
      <c r="E26" s="17" t="str">
        <f>IF('18'!E26="","",'18'!E26)</f>
        <v/>
      </c>
      <c r="F26" s="266" t="str">
        <f>IF('18'!F26="","",'18'!F26)</f>
        <v/>
      </c>
      <c r="G26" s="17" t="str">
        <f>IF('18'!G26="","",'18'!G26)</f>
        <v/>
      </c>
    </row>
    <row r="27" spans="1:7" s="19" customFormat="1" ht="23.1" customHeight="1">
      <c r="A27" s="16" t="str">
        <f>IF('18'!A27="","",'18'!A27)</f>
        <v/>
      </c>
      <c r="B27" s="16">
        <f>IF('18'!B27="","",'18'!B27)</f>
        <v>14</v>
      </c>
      <c r="C27" s="17" t="str">
        <f>IF('18'!C27="","",'18'!C27)</f>
        <v/>
      </c>
      <c r="D27" s="266" t="str">
        <f>IF('18'!D27="","",'18'!D27)</f>
        <v/>
      </c>
      <c r="E27" s="17" t="str">
        <f>IF('18'!E27="","",'18'!E27)</f>
        <v/>
      </c>
      <c r="F27" s="266" t="str">
        <f>IF('18'!F27="","",'18'!F27)</f>
        <v/>
      </c>
      <c r="G27" s="17" t="str">
        <f>IF('18'!G27="","",'18'!G27)</f>
        <v/>
      </c>
    </row>
    <row r="28" spans="1:7" s="19" customFormat="1" ht="23.1" customHeight="1">
      <c r="A28" s="16" t="str">
        <f>IF('18'!A28="","",'18'!A28)</f>
        <v/>
      </c>
      <c r="B28" s="16">
        <f>IF('18'!B28="","",'18'!B28)</f>
        <v>15</v>
      </c>
      <c r="C28" s="17" t="str">
        <f>IF('18'!C28="","",'18'!C28)</f>
        <v/>
      </c>
      <c r="D28" s="266" t="str">
        <f>IF('18'!D28="","",'18'!D28)</f>
        <v/>
      </c>
      <c r="E28" s="17" t="str">
        <f>IF('18'!E28="","",'18'!E28)</f>
        <v/>
      </c>
      <c r="F28" s="266" t="str">
        <f>IF('18'!F28="","",'18'!F28)</f>
        <v/>
      </c>
      <c r="G28" s="17" t="str">
        <f>IF('18'!G28="","",'18'!G28)</f>
        <v/>
      </c>
    </row>
    <row r="29" spans="1:7" s="19" customFormat="1" ht="23.1" customHeight="1">
      <c r="A29" s="16" t="str">
        <f>IF('18'!A29="","",'18'!A29)</f>
        <v/>
      </c>
      <c r="B29" s="16">
        <f>IF('18'!B29="","",'18'!B29)</f>
        <v>16</v>
      </c>
      <c r="C29" s="17" t="str">
        <f>IF('18'!C29="","",'18'!C29)</f>
        <v/>
      </c>
      <c r="D29" s="266" t="str">
        <f>IF('18'!D29="","",'18'!D29)</f>
        <v/>
      </c>
      <c r="E29" s="17" t="str">
        <f>IF('18'!E29="","",'18'!E29)</f>
        <v/>
      </c>
      <c r="F29" s="266" t="str">
        <f>IF('18'!F29="","",'18'!F29)</f>
        <v/>
      </c>
      <c r="G29" s="17" t="str">
        <f>IF('18'!G29="","",'18'!G29)</f>
        <v/>
      </c>
    </row>
    <row r="30" spans="1:7" s="19" customFormat="1" ht="23.1" customHeight="1">
      <c r="A30" s="16" t="str">
        <f>IF('18'!A30="","",'18'!A30)</f>
        <v/>
      </c>
      <c r="B30" s="16">
        <f>IF('18'!B30="","",'18'!B30)</f>
        <v>17</v>
      </c>
      <c r="C30" s="17" t="str">
        <f>IF('18'!C30="","",'18'!C30)</f>
        <v/>
      </c>
      <c r="D30" s="266" t="str">
        <f>IF('18'!D30="","",'18'!D30)</f>
        <v/>
      </c>
      <c r="E30" s="17" t="str">
        <f>IF('18'!E30="","",'18'!E30)</f>
        <v/>
      </c>
      <c r="F30" s="266" t="str">
        <f>IF('18'!F30="","",'18'!F30)</f>
        <v/>
      </c>
      <c r="G30" s="17" t="str">
        <f>IF('18'!G30="","",'18'!G30)</f>
        <v/>
      </c>
    </row>
    <row r="31" spans="1:7" s="19" customFormat="1" ht="23.1" customHeight="1">
      <c r="A31" s="16" t="str">
        <f>IF('18'!A31="","",'18'!A31)</f>
        <v/>
      </c>
      <c r="B31" s="16">
        <f>IF('18'!B31="","",'18'!B31)</f>
        <v>18</v>
      </c>
      <c r="C31" s="17" t="str">
        <f>IF('18'!C31="","",'18'!C31)</f>
        <v/>
      </c>
      <c r="D31" s="266" t="str">
        <f>IF('18'!D31="","",'18'!D31)</f>
        <v/>
      </c>
      <c r="E31" s="17" t="str">
        <f>IF('18'!E31="","",'18'!E31)</f>
        <v/>
      </c>
      <c r="F31" s="266" t="str">
        <f>IF('18'!F31="","",'18'!F31)</f>
        <v/>
      </c>
      <c r="G31" s="17" t="str">
        <f>IF('18'!G31="","",'18'!G31)</f>
        <v/>
      </c>
    </row>
    <row r="32" spans="1:7" s="19" customFormat="1" ht="23.1" customHeight="1">
      <c r="A32" s="16" t="str">
        <f>IF('18'!A32="","",'18'!A32)</f>
        <v/>
      </c>
      <c r="B32" s="16">
        <f>IF('18'!B32="","",'18'!B32)</f>
        <v>19</v>
      </c>
      <c r="C32" s="17" t="str">
        <f>IF('18'!C32="","",'18'!C32)</f>
        <v/>
      </c>
      <c r="D32" s="266" t="str">
        <f>IF('18'!D32="","",'18'!D32)</f>
        <v/>
      </c>
      <c r="E32" s="17" t="str">
        <f>IF('18'!E32="","",'18'!E32)</f>
        <v/>
      </c>
      <c r="F32" s="266" t="str">
        <f>IF('18'!F32="","",'18'!F32)</f>
        <v/>
      </c>
      <c r="G32" s="17" t="str">
        <f>IF('18'!G32="","",'18'!G32)</f>
        <v/>
      </c>
    </row>
    <row r="33" spans="1:7" s="19" customFormat="1" ht="23.1" customHeight="1">
      <c r="A33" s="16" t="str">
        <f>IF('18'!A33="","",'18'!A33)</f>
        <v/>
      </c>
      <c r="B33" s="16">
        <f>IF('18'!B33="","",'18'!B33)</f>
        <v>20</v>
      </c>
      <c r="C33" s="17" t="str">
        <f>IF('18'!C33="","",'18'!C33)</f>
        <v/>
      </c>
      <c r="D33" s="266" t="str">
        <f>IF('18'!D33="","",'18'!D33)</f>
        <v/>
      </c>
      <c r="E33" s="17" t="str">
        <f>IF('18'!E33="","",'18'!E33)</f>
        <v/>
      </c>
      <c r="F33" s="266" t="str">
        <f>IF('18'!F33="","",'18'!F33)</f>
        <v/>
      </c>
      <c r="G33" s="17" t="str">
        <f>IF('18'!G33="","",'18'!G33)</f>
        <v/>
      </c>
    </row>
    <row r="34" spans="1:7" s="19" customFormat="1" ht="23.1" customHeight="1">
      <c r="A34" s="16" t="str">
        <f>IF('18'!A34="","",'18'!A34)</f>
        <v/>
      </c>
      <c r="B34" s="16">
        <f>IF('18'!B34="","",'18'!B34)</f>
        <v>21</v>
      </c>
      <c r="C34" s="17" t="str">
        <f>IF('18'!C34="","",'18'!C34)</f>
        <v/>
      </c>
      <c r="D34" s="266" t="str">
        <f>IF('18'!D34="","",'18'!D34)</f>
        <v/>
      </c>
      <c r="E34" s="17" t="str">
        <f>IF('18'!E34="","",'18'!E34)</f>
        <v/>
      </c>
      <c r="F34" s="266" t="str">
        <f>IF('18'!F34="","",'18'!F34)</f>
        <v/>
      </c>
      <c r="G34" s="17" t="str">
        <f>IF('18'!G34="","",'18'!G34)</f>
        <v/>
      </c>
    </row>
    <row r="35" spans="1:7" s="19" customFormat="1" ht="23.1" customHeight="1">
      <c r="A35" s="16" t="str">
        <f>IF('18'!A35="","",'18'!A35)</f>
        <v/>
      </c>
      <c r="B35" s="16">
        <f>IF('18'!B35="","",'18'!B35)</f>
        <v>22</v>
      </c>
      <c r="C35" s="17" t="str">
        <f>IF('18'!C35="","",'18'!C35)</f>
        <v/>
      </c>
      <c r="D35" s="266" t="str">
        <f>IF('18'!D35="","",'18'!D35)</f>
        <v/>
      </c>
      <c r="E35" s="17" t="str">
        <f>IF('18'!E35="","",'18'!E35)</f>
        <v/>
      </c>
      <c r="F35" s="266" t="str">
        <f>IF('18'!F35="","",'18'!F35)</f>
        <v/>
      </c>
      <c r="G35" s="17" t="str">
        <f>IF('18'!G35="","",'18'!G35)</f>
        <v/>
      </c>
    </row>
    <row r="36" spans="1:7" s="19" customFormat="1" ht="23.1" customHeight="1">
      <c r="A36" s="16" t="str">
        <f>IF('18'!A36="","",'18'!A36)</f>
        <v/>
      </c>
      <c r="B36" s="16">
        <f>IF('18'!B36="","",'18'!B36)</f>
        <v>23</v>
      </c>
      <c r="C36" s="17" t="str">
        <f>IF('18'!C36="","",'18'!C36)</f>
        <v/>
      </c>
      <c r="D36" s="266" t="str">
        <f>IF('18'!D36="","",'18'!D36)</f>
        <v/>
      </c>
      <c r="E36" s="17" t="str">
        <f>IF('18'!E36="","",'18'!E36)</f>
        <v/>
      </c>
      <c r="F36" s="266" t="str">
        <f>IF('18'!F36="","",'18'!F36)</f>
        <v/>
      </c>
      <c r="G36" s="17" t="str">
        <f>IF('18'!G36="","",'18'!G36)</f>
        <v/>
      </c>
    </row>
    <row r="37" spans="1:7" s="19" customFormat="1" ht="23.1" customHeight="1">
      <c r="A37" s="16" t="str">
        <f>IF('18'!A37="","",'18'!A37)</f>
        <v/>
      </c>
      <c r="B37" s="16">
        <f>IF('18'!B37="","",'18'!B37)</f>
        <v>24</v>
      </c>
      <c r="C37" s="17" t="str">
        <f>IF('18'!C37="","",'18'!C37)</f>
        <v/>
      </c>
      <c r="D37" s="266" t="str">
        <f>IF('18'!D37="","",'18'!D37)</f>
        <v/>
      </c>
      <c r="E37" s="17" t="str">
        <f>IF('18'!E37="","",'18'!E37)</f>
        <v/>
      </c>
      <c r="F37" s="266" t="str">
        <f>IF('18'!F37="","",'18'!F37)</f>
        <v/>
      </c>
      <c r="G37" s="17" t="str">
        <f>IF('18'!G37="","",'18'!G37)</f>
        <v/>
      </c>
    </row>
    <row r="38" spans="1:7" s="19" customFormat="1" ht="23.1" customHeight="1">
      <c r="A38" s="16" t="str">
        <f>IF('18'!A38="","",'18'!A38)</f>
        <v/>
      </c>
      <c r="B38" s="16">
        <f>IF('18'!B38="","",'18'!B38)</f>
        <v>25</v>
      </c>
      <c r="C38" s="17" t="str">
        <f>IF('18'!C38="","",'18'!C38)</f>
        <v/>
      </c>
      <c r="D38" s="266" t="str">
        <f>IF('18'!D38="","",'18'!D38)</f>
        <v/>
      </c>
      <c r="E38" s="17" t="str">
        <f>IF('18'!E38="","",'18'!E38)</f>
        <v/>
      </c>
      <c r="F38" s="266" t="str">
        <f>IF('18'!F38="","",'18'!F38)</f>
        <v/>
      </c>
      <c r="G38" s="17" t="str">
        <f>IF('18'!G38="","",'18'!G38)</f>
        <v/>
      </c>
    </row>
    <row r="39" spans="1:7" s="19" customFormat="1" ht="23.1" customHeight="1">
      <c r="A39" s="16" t="str">
        <f>IF('18'!A39="","",'18'!A39)</f>
        <v/>
      </c>
      <c r="B39" s="16">
        <f>IF('18'!B39="","",'18'!B39)</f>
        <v>26</v>
      </c>
      <c r="C39" s="17" t="str">
        <f>IF('18'!C39="","",'18'!C39)</f>
        <v/>
      </c>
      <c r="D39" s="266" t="str">
        <f>IF('18'!D39="","",'18'!D39)</f>
        <v/>
      </c>
      <c r="E39" s="17" t="str">
        <f>IF('18'!E39="","",'18'!E39)</f>
        <v/>
      </c>
      <c r="F39" s="266" t="str">
        <f>IF('18'!F39="","",'18'!F39)</f>
        <v/>
      </c>
      <c r="G39" s="17" t="str">
        <f>IF('18'!G39="","",'18'!G39)</f>
        <v/>
      </c>
    </row>
    <row r="40" spans="1:7" s="19" customFormat="1" ht="23.1" customHeight="1">
      <c r="A40" s="16" t="str">
        <f>IF('18'!A40="","",'18'!A40)</f>
        <v/>
      </c>
      <c r="B40" s="16">
        <f>IF('18'!B40="","",'18'!B40)</f>
        <v>27</v>
      </c>
      <c r="C40" s="17" t="str">
        <f>IF('18'!C40="","",'18'!C40)</f>
        <v/>
      </c>
      <c r="D40" s="266" t="str">
        <f>IF('18'!D40="","",'18'!D40)</f>
        <v/>
      </c>
      <c r="E40" s="17" t="str">
        <f>IF('18'!E40="","",'18'!E40)</f>
        <v/>
      </c>
      <c r="F40" s="266" t="str">
        <f>IF('18'!F40="","",'18'!F40)</f>
        <v/>
      </c>
      <c r="G40" s="17" t="str">
        <f>IF('18'!G40="","",'18'!G40)</f>
        <v/>
      </c>
    </row>
    <row r="41" spans="1:7" s="19" customFormat="1" ht="23.1" customHeight="1">
      <c r="A41" s="16" t="str">
        <f>IF('18'!A41="","",'18'!A41)</f>
        <v/>
      </c>
      <c r="B41" s="16">
        <f>IF('18'!B41="","",'18'!B41)</f>
        <v>28</v>
      </c>
      <c r="C41" s="17" t="str">
        <f>IF('18'!C41="","",'18'!C41)</f>
        <v/>
      </c>
      <c r="D41" s="266" t="str">
        <f>IF('18'!D41="","",'18'!D41)</f>
        <v/>
      </c>
      <c r="E41" s="17" t="str">
        <f>IF('18'!E41="","",'18'!E41)</f>
        <v/>
      </c>
      <c r="F41" s="266" t="str">
        <f>IF('18'!F41="","",'18'!F41)</f>
        <v/>
      </c>
      <c r="G41" s="17" t="str">
        <f>IF('18'!G41="","",'18'!G41)</f>
        <v/>
      </c>
    </row>
    <row r="42" spans="1:7" s="19" customFormat="1" ht="23.1" customHeight="1">
      <c r="A42" s="16" t="str">
        <f>IF('18'!A42="","",'18'!A42)</f>
        <v/>
      </c>
      <c r="B42" s="16">
        <f>IF('18'!B42="","",'18'!B42)</f>
        <v>29</v>
      </c>
      <c r="C42" s="17" t="str">
        <f>IF('18'!C42="","",'18'!C42)</f>
        <v/>
      </c>
      <c r="D42" s="266" t="str">
        <f>IF('18'!D42="","",'18'!D42)</f>
        <v/>
      </c>
      <c r="E42" s="17" t="str">
        <f>IF('18'!E42="","",'18'!E42)</f>
        <v/>
      </c>
      <c r="F42" s="266" t="str">
        <f>IF('18'!F42="","",'18'!F42)</f>
        <v/>
      </c>
      <c r="G42" s="17" t="str">
        <f>IF('18'!G42="","",'18'!G42)</f>
        <v/>
      </c>
    </row>
    <row r="43" spans="1:7" s="19" customFormat="1" ht="23.1" customHeight="1">
      <c r="A43" s="16" t="str">
        <f>IF('18'!A43="","",'18'!A43)</f>
        <v/>
      </c>
      <c r="B43" s="16">
        <f>IF('18'!B43="","",'18'!B43)</f>
        <v>30</v>
      </c>
      <c r="C43" s="17" t="str">
        <f>IF('18'!C43="","",'18'!C43)</f>
        <v/>
      </c>
      <c r="D43" s="266" t="str">
        <f>IF('18'!D43="","",'18'!D43)</f>
        <v/>
      </c>
      <c r="E43" s="17" t="str">
        <f>IF('18'!E43="","",'18'!E43)</f>
        <v/>
      </c>
      <c r="F43" s="266" t="str">
        <f>IF('18'!F43="","",'18'!F43)</f>
        <v/>
      </c>
      <c r="G43" s="17" t="str">
        <f>IF('18'!G43="","",'18'!G43)</f>
        <v/>
      </c>
    </row>
    <row r="44" spans="1:7" ht="23.1" customHeight="1">
      <c r="A44" s="16" t="str">
        <f>IF('18'!A44="","",'18'!A44)</f>
        <v/>
      </c>
      <c r="B44" s="16" t="str">
        <f>IF('18'!B44="","",'18'!B44)</f>
        <v/>
      </c>
      <c r="C44" s="17" t="str">
        <f>IF('18'!C44="","",'18'!C44)</f>
        <v/>
      </c>
      <c r="D44" s="266" t="str">
        <f>IF('18'!D44="","",'18'!D44)</f>
        <v/>
      </c>
      <c r="E44" s="17" t="str">
        <f>IF('18'!E44="","",'18'!E44)</f>
        <v/>
      </c>
      <c r="F44" s="266" t="str">
        <f>IF('18'!F44="","",'18'!F44)</f>
        <v/>
      </c>
      <c r="G44" s="17" t="str">
        <f>IF('18'!G44="","",'18'!G44)</f>
        <v/>
      </c>
    </row>
    <row r="45" spans="1:7" ht="23.1" customHeight="1">
      <c r="A45" s="16" t="str">
        <f>IF('18'!A45="","",'18'!A45)</f>
        <v/>
      </c>
      <c r="B45" s="16" t="str">
        <f>IF('18'!B45="","",'18'!B45)</f>
        <v/>
      </c>
      <c r="C45" s="17" t="str">
        <f>IF('18'!C45="","",'18'!C45)</f>
        <v/>
      </c>
      <c r="D45" s="266" t="str">
        <f>IF('18'!D45="","",'18'!D45)</f>
        <v/>
      </c>
      <c r="E45" s="17" t="str">
        <f>IF('18'!E45="","",'18'!E45)</f>
        <v/>
      </c>
      <c r="F45" s="266" t="str">
        <f>IF('18'!F45="","",'18'!F45)</f>
        <v/>
      </c>
      <c r="G45" s="17" t="str">
        <f>IF('18'!G45="","",'18'!G45)</f>
        <v/>
      </c>
    </row>
    <row r="46" spans="1:7" ht="23.1" customHeight="1">
      <c r="A46" s="16" t="str">
        <f>IF('18'!A46="","",'18'!A46)</f>
        <v/>
      </c>
      <c r="B46" s="16" t="str">
        <f>IF('18'!B46="","",'18'!B46)</f>
        <v/>
      </c>
      <c r="C46" s="17" t="str">
        <f>IF('18'!C46="","",'18'!C46)</f>
        <v/>
      </c>
      <c r="D46" s="266" t="str">
        <f>IF('18'!D46="","",'18'!D46)</f>
        <v/>
      </c>
      <c r="E46" s="17" t="str">
        <f>IF('18'!E46="","",'18'!E46)</f>
        <v/>
      </c>
      <c r="F46" s="266" t="str">
        <f>IF('18'!F46="","",'18'!F46)</f>
        <v/>
      </c>
      <c r="G46" s="17" t="str">
        <f>IF('18'!G46="","",'18'!G46)</f>
        <v/>
      </c>
    </row>
    <row r="47" spans="1:7" ht="23.1" customHeight="1">
      <c r="A47" s="16" t="str">
        <f>IF('18'!A47="","",'18'!A47)</f>
        <v/>
      </c>
      <c r="B47" s="16" t="str">
        <f>IF('18'!B47="","",'18'!B47)</f>
        <v/>
      </c>
      <c r="C47" s="17" t="str">
        <f>IF('18'!C47="","",'18'!C47)</f>
        <v/>
      </c>
      <c r="D47" s="266" t="str">
        <f>IF('18'!D47="","",'18'!D47)</f>
        <v/>
      </c>
      <c r="E47" s="17" t="str">
        <f>IF('18'!E47="","",'18'!E47)</f>
        <v/>
      </c>
      <c r="F47" s="266" t="str">
        <f>IF('18'!F47="","",'18'!F47)</f>
        <v/>
      </c>
      <c r="G47" s="17" t="str">
        <f>IF('18'!G47="","",'18'!G47)</f>
        <v/>
      </c>
    </row>
    <row r="48" spans="1:7" ht="23.1" customHeight="1">
      <c r="A48" s="16" t="str">
        <f>IF('18'!A48="","",'18'!A48)</f>
        <v/>
      </c>
      <c r="B48" s="16" t="str">
        <f>IF('18'!B48="","",'18'!B48)</f>
        <v/>
      </c>
      <c r="C48" s="17" t="str">
        <f>IF('18'!C48="","",'18'!C48)</f>
        <v/>
      </c>
      <c r="D48" s="266" t="str">
        <f>IF('18'!D48="","",'18'!D48)</f>
        <v/>
      </c>
      <c r="E48" s="17" t="str">
        <f>IF('18'!E48="","",'18'!E48)</f>
        <v/>
      </c>
      <c r="F48" s="266" t="str">
        <f>IF('18'!F48="","",'18'!F48)</f>
        <v/>
      </c>
      <c r="G48" s="17" t="str">
        <f>IF('18'!G48="","",'18'!G48)</f>
        <v/>
      </c>
    </row>
    <row r="49" spans="1:7" ht="23.1" customHeight="1">
      <c r="A49" s="16" t="str">
        <f>IF('18'!A49="","",'18'!A49)</f>
        <v/>
      </c>
      <c r="B49" s="16" t="str">
        <f>IF('18'!B49="","",'18'!B49)</f>
        <v/>
      </c>
      <c r="C49" s="17" t="str">
        <f>IF('18'!C49="","",'18'!C49)</f>
        <v/>
      </c>
      <c r="D49" s="266" t="str">
        <f>IF('18'!D49="","",'18'!D49)</f>
        <v/>
      </c>
      <c r="E49" s="17" t="str">
        <f>IF('18'!E49="","",'18'!E49)</f>
        <v/>
      </c>
      <c r="F49" s="266" t="str">
        <f>IF('18'!F49="","",'18'!F49)</f>
        <v/>
      </c>
      <c r="G49" s="17" t="str">
        <f>IF('18'!G49="","",'18'!G49)</f>
        <v/>
      </c>
    </row>
    <row r="50" spans="1:7" ht="23.1" customHeight="1">
      <c r="A50" s="16" t="str">
        <f>IF('18'!A50="","",'18'!A50)</f>
        <v/>
      </c>
      <c r="B50" s="16" t="str">
        <f>IF('18'!B50="","",'18'!B50)</f>
        <v/>
      </c>
      <c r="C50" s="17" t="str">
        <f>IF('18'!C50="","",'18'!C50)</f>
        <v/>
      </c>
      <c r="D50" s="266" t="str">
        <f>IF('18'!D50="","",'18'!D50)</f>
        <v/>
      </c>
      <c r="E50" s="17" t="str">
        <f>IF('18'!E50="","",'18'!E50)</f>
        <v/>
      </c>
      <c r="F50" s="266" t="str">
        <f>IF('18'!F50="","",'18'!F50)</f>
        <v/>
      </c>
      <c r="G50" s="17" t="str">
        <f>IF('18'!G50="","",'18'!G50)</f>
        <v/>
      </c>
    </row>
    <row r="51" spans="1:7" ht="23.1" customHeight="1">
      <c r="A51" s="16" t="str">
        <f>IF('18'!A51="","",'18'!A51)</f>
        <v/>
      </c>
      <c r="B51" s="16" t="str">
        <f>IF('18'!B51="","",'18'!B51)</f>
        <v/>
      </c>
      <c r="C51" s="17" t="str">
        <f>IF('18'!C51="","",'18'!C51)</f>
        <v/>
      </c>
      <c r="D51" s="266" t="str">
        <f>IF('18'!D51="","",'18'!D51)</f>
        <v/>
      </c>
      <c r="E51" s="17" t="str">
        <f>IF('18'!E51="","",'18'!E51)</f>
        <v/>
      </c>
      <c r="F51" s="266" t="str">
        <f>IF('18'!F51="","",'18'!F51)</f>
        <v/>
      </c>
      <c r="G51" s="17" t="str">
        <f>IF('18'!G51="","",'18'!G51)</f>
        <v/>
      </c>
    </row>
    <row r="52" spans="1:7" ht="23.1" customHeight="1">
      <c r="A52" s="16" t="str">
        <f>IF('18'!A52="","",'18'!A52)</f>
        <v/>
      </c>
      <c r="B52" s="16" t="str">
        <f>IF('18'!B52="","",'18'!B52)</f>
        <v/>
      </c>
      <c r="C52" s="17" t="str">
        <f>IF('18'!C52="","",'18'!C52)</f>
        <v/>
      </c>
      <c r="D52" s="266" t="str">
        <f>IF('18'!D52="","",'18'!D52)</f>
        <v/>
      </c>
      <c r="E52" s="17" t="str">
        <f>IF('18'!E52="","",'18'!E52)</f>
        <v/>
      </c>
      <c r="F52" s="266" t="str">
        <f>IF('18'!F52="","",'18'!F52)</f>
        <v/>
      </c>
      <c r="G52" s="17" t="str">
        <f>IF('18'!G52="","",'18'!G52)</f>
        <v/>
      </c>
    </row>
    <row r="53" spans="1:7" ht="23.1" customHeight="1">
      <c r="A53" s="16" t="str">
        <f>IF('18'!A53="","",'18'!A53)</f>
        <v/>
      </c>
      <c r="B53" s="16" t="str">
        <f>IF('18'!B53="","",'18'!B53)</f>
        <v/>
      </c>
      <c r="C53" s="17" t="str">
        <f>IF('18'!C53="","",'18'!C53)</f>
        <v/>
      </c>
      <c r="D53" s="266" t="str">
        <f>IF('18'!D53="","",'18'!D53)</f>
        <v/>
      </c>
      <c r="E53" s="17" t="str">
        <f>IF('18'!E53="","",'18'!E53)</f>
        <v/>
      </c>
      <c r="F53" s="266" t="str">
        <f>IF('18'!F53="","",'18'!F53)</f>
        <v/>
      </c>
      <c r="G53" s="17" t="str">
        <f>IF('18'!G53="","",'18'!G53)</f>
        <v/>
      </c>
    </row>
    <row r="54" spans="1:7" ht="23.1" customHeight="1">
      <c r="A54" s="16" t="str">
        <f>IF('18'!A54="","",'18'!A54)</f>
        <v/>
      </c>
      <c r="B54" s="16" t="str">
        <f>IF('18'!B54="","",'18'!B54)</f>
        <v/>
      </c>
      <c r="C54" s="17" t="str">
        <f>IF('18'!C54="","",'18'!C54)</f>
        <v/>
      </c>
      <c r="D54" s="266" t="str">
        <f>IF('18'!D54="","",'18'!D54)</f>
        <v/>
      </c>
      <c r="E54" s="17" t="str">
        <f>IF('18'!E54="","",'18'!E54)</f>
        <v/>
      </c>
      <c r="F54" s="266" t="str">
        <f>IF('18'!F54="","",'18'!F54)</f>
        <v/>
      </c>
      <c r="G54" s="17" t="str">
        <f>IF('18'!G54="","",'18'!G54)</f>
        <v/>
      </c>
    </row>
    <row r="55" spans="1:7" ht="23.1" customHeight="1">
      <c r="A55" s="16" t="str">
        <f>IF('18'!A55="","",'18'!A55)</f>
        <v/>
      </c>
      <c r="B55" s="16" t="str">
        <f>IF('18'!B55="","",'18'!B55)</f>
        <v/>
      </c>
      <c r="C55" s="17" t="str">
        <f>IF('18'!C55="","",'18'!C55)</f>
        <v/>
      </c>
      <c r="D55" s="266" t="str">
        <f>IF('18'!D55="","",'18'!D55)</f>
        <v/>
      </c>
      <c r="E55" s="17" t="str">
        <f>IF('18'!E55="","",'18'!E55)</f>
        <v/>
      </c>
      <c r="F55" s="266" t="str">
        <f>IF('18'!F55="","",'18'!F55)</f>
        <v/>
      </c>
      <c r="G55" s="17" t="str">
        <f>IF('18'!G55="","",'18'!G55)</f>
        <v/>
      </c>
    </row>
    <row r="56" spans="1:7" ht="23.1" customHeight="1">
      <c r="A56" s="16" t="str">
        <f>IF('18'!A56="","",'18'!A56)</f>
        <v/>
      </c>
      <c r="B56" s="16" t="str">
        <f>IF('18'!B56="","",'18'!B56)</f>
        <v/>
      </c>
      <c r="C56" s="17" t="str">
        <f>IF('18'!C56="","",'18'!C56)</f>
        <v/>
      </c>
      <c r="D56" s="266" t="str">
        <f>IF('18'!D56="","",'18'!D56)</f>
        <v/>
      </c>
      <c r="E56" s="17" t="str">
        <f>IF('18'!E56="","",'18'!E56)</f>
        <v/>
      </c>
      <c r="F56" s="266" t="str">
        <f>IF('18'!F56="","",'18'!F56)</f>
        <v/>
      </c>
      <c r="G56" s="17" t="str">
        <f>IF('18'!G56="","",'18'!G56)</f>
        <v/>
      </c>
    </row>
    <row r="57" spans="1:7" ht="23.1" customHeight="1">
      <c r="A57" s="16" t="str">
        <f>IF('18'!A57="","",'18'!A57)</f>
        <v/>
      </c>
      <c r="B57" s="16" t="str">
        <f>IF('18'!B57="","",'18'!B57)</f>
        <v/>
      </c>
      <c r="C57" s="17" t="str">
        <f>IF('18'!C57="","",'18'!C57)</f>
        <v/>
      </c>
      <c r="D57" s="266" t="str">
        <f>IF('18'!D57="","",'18'!D57)</f>
        <v/>
      </c>
      <c r="E57" s="17" t="str">
        <f>IF('18'!E57="","",'18'!E57)</f>
        <v/>
      </c>
      <c r="F57" s="266" t="str">
        <f>IF('18'!F57="","",'18'!F57)</f>
        <v/>
      </c>
      <c r="G57" s="17" t="str">
        <f>IF('18'!G57="","",'18'!G57)</f>
        <v/>
      </c>
    </row>
    <row r="58" spans="1:7" ht="23.1" customHeight="1">
      <c r="A58" s="16" t="str">
        <f>IF('18'!A58="","",'18'!A58)</f>
        <v/>
      </c>
      <c r="B58" s="16" t="str">
        <f>IF('18'!B58="","",'18'!B58)</f>
        <v/>
      </c>
      <c r="C58" s="17" t="str">
        <f>IF('18'!C58="","",'18'!C58)</f>
        <v/>
      </c>
      <c r="D58" s="266" t="str">
        <f>IF('18'!D58="","",'18'!D58)</f>
        <v/>
      </c>
      <c r="E58" s="17" t="str">
        <f>IF('18'!E58="","",'18'!E58)</f>
        <v/>
      </c>
      <c r="F58" s="266" t="str">
        <f>IF('18'!F58="","",'18'!F58)</f>
        <v/>
      </c>
      <c r="G58" s="17" t="str">
        <f>IF('18'!G58="","",'18'!G58)</f>
        <v/>
      </c>
    </row>
    <row r="59" spans="1:7" ht="23.1" customHeight="1">
      <c r="A59" s="16" t="str">
        <f>IF('18'!A59="","",'18'!A59)</f>
        <v/>
      </c>
      <c r="B59" s="16" t="str">
        <f>IF('18'!B59="","",'18'!B59)</f>
        <v/>
      </c>
      <c r="C59" s="17" t="str">
        <f>IF('18'!C59="","",'18'!C59)</f>
        <v/>
      </c>
      <c r="D59" s="266" t="str">
        <f>IF('18'!D59="","",'18'!D59)</f>
        <v/>
      </c>
      <c r="E59" s="17" t="str">
        <f>IF('18'!E59="","",'18'!E59)</f>
        <v/>
      </c>
      <c r="F59" s="266" t="str">
        <f>IF('18'!F59="","",'18'!F59)</f>
        <v/>
      </c>
      <c r="G59" s="17" t="str">
        <f>IF('18'!G59="","",'18'!G59)</f>
        <v/>
      </c>
    </row>
    <row r="60" spans="1:7" ht="23.1" customHeight="1">
      <c r="A60" s="16" t="str">
        <f>IF('18'!A60="","",'18'!A60)</f>
        <v/>
      </c>
      <c r="B60" s="16" t="str">
        <f>IF('18'!B60="","",'18'!B60)</f>
        <v/>
      </c>
      <c r="C60" s="17" t="str">
        <f>IF('18'!C60="","",'18'!C60)</f>
        <v/>
      </c>
      <c r="D60" s="266" t="str">
        <f>IF('18'!D60="","",'18'!D60)</f>
        <v/>
      </c>
      <c r="E60" s="17" t="str">
        <f>IF('18'!E60="","",'18'!E60)</f>
        <v/>
      </c>
      <c r="F60" s="266" t="str">
        <f>IF('18'!F60="","",'18'!F60)</f>
        <v/>
      </c>
      <c r="G60" s="17" t="str">
        <f>IF('18'!G60="","",'18'!G60)</f>
        <v/>
      </c>
    </row>
    <row r="61" spans="1:7" ht="23.1" customHeight="1">
      <c r="A61" s="16" t="str">
        <f>IF('18'!A61="","",'18'!A61)</f>
        <v/>
      </c>
      <c r="B61" s="16" t="str">
        <f>IF('18'!B61="","",'18'!B61)</f>
        <v/>
      </c>
      <c r="C61" s="17" t="str">
        <f>IF('18'!C61="","",'18'!C61)</f>
        <v/>
      </c>
      <c r="D61" s="266" t="str">
        <f>IF('18'!D61="","",'18'!D61)</f>
        <v/>
      </c>
      <c r="E61" s="17" t="str">
        <f>IF('18'!E61="","",'18'!E61)</f>
        <v/>
      </c>
      <c r="F61" s="266" t="str">
        <f>IF('18'!F61="","",'18'!F61)</f>
        <v/>
      </c>
      <c r="G61" s="17" t="str">
        <f>IF('18'!G61="","",'18'!G61)</f>
        <v/>
      </c>
    </row>
    <row r="62" spans="1:7" ht="23.1" customHeight="1">
      <c r="A62" s="16" t="str">
        <f>IF('18'!A62="","",'18'!A62)</f>
        <v/>
      </c>
      <c r="B62" s="16" t="str">
        <f>IF('18'!B62="","",'18'!B62)</f>
        <v/>
      </c>
      <c r="C62" s="17" t="str">
        <f>IF('18'!C62="","",'18'!C62)</f>
        <v/>
      </c>
      <c r="D62" s="266" t="str">
        <f>IF('18'!D62="","",'18'!D62)</f>
        <v/>
      </c>
      <c r="E62" s="17" t="str">
        <f>IF('18'!E62="","",'18'!E62)</f>
        <v/>
      </c>
      <c r="F62" s="266" t="str">
        <f>IF('18'!F62="","",'18'!F62)</f>
        <v/>
      </c>
      <c r="G62" s="17" t="str">
        <f>IF('18'!G62="","",'18'!G62)</f>
        <v/>
      </c>
    </row>
    <row r="63" spans="1:7" ht="23.1" customHeight="1">
      <c r="A63" s="16" t="str">
        <f>IF('18'!A63="","",'18'!A63)</f>
        <v/>
      </c>
      <c r="B63" s="16" t="str">
        <f>IF('18'!B63="","",'18'!B63)</f>
        <v/>
      </c>
      <c r="C63" s="17" t="str">
        <f>IF('18'!C63="","",'18'!C63)</f>
        <v/>
      </c>
      <c r="D63" s="266" t="str">
        <f>IF('18'!D63="","",'18'!D63)</f>
        <v/>
      </c>
      <c r="E63" s="17" t="str">
        <f>IF('18'!E63="","",'18'!E63)</f>
        <v/>
      </c>
      <c r="F63" s="266" t="str">
        <f>IF('18'!F63="","",'18'!F63)</f>
        <v/>
      </c>
      <c r="G63" s="17" t="str">
        <f>IF('18'!G63="","",'18'!G63)</f>
        <v/>
      </c>
    </row>
    <row r="64" spans="1:7" ht="23.1" customHeight="1">
      <c r="A64" s="16" t="str">
        <f>IF('18'!A64="","",'18'!A64)</f>
        <v/>
      </c>
      <c r="B64" s="16" t="str">
        <f>IF('18'!B64="","",'18'!B64)</f>
        <v/>
      </c>
      <c r="C64" s="17" t="str">
        <f>IF('18'!C64="","",'18'!C64)</f>
        <v/>
      </c>
      <c r="D64" s="266" t="str">
        <f>IF('18'!D64="","",'18'!D64)</f>
        <v/>
      </c>
      <c r="E64" s="17" t="str">
        <f>IF('18'!E64="","",'18'!E64)</f>
        <v/>
      </c>
      <c r="F64" s="266" t="str">
        <f>IF('18'!F64="","",'18'!F64)</f>
        <v/>
      </c>
      <c r="G64" s="17" t="str">
        <f>IF('18'!G64="","",'18'!G64)</f>
        <v/>
      </c>
    </row>
    <row r="65" spans="1:7" ht="23.1" customHeight="1">
      <c r="A65" s="16" t="str">
        <f>IF('18'!A65="","",'18'!A65)</f>
        <v/>
      </c>
      <c r="B65" s="16" t="str">
        <f>IF('18'!B65="","",'18'!B65)</f>
        <v/>
      </c>
      <c r="C65" s="17" t="str">
        <f>IF('18'!C65="","",'18'!C65)</f>
        <v/>
      </c>
      <c r="D65" s="266" t="str">
        <f>IF('18'!D65="","",'18'!D65)</f>
        <v/>
      </c>
      <c r="E65" s="17" t="str">
        <f>IF('18'!E65="","",'18'!E65)</f>
        <v/>
      </c>
      <c r="F65" s="266" t="str">
        <f>IF('18'!F65="","",'18'!F65)</f>
        <v/>
      </c>
      <c r="G65" s="17" t="str">
        <f>IF('18'!G65="","",'18'!G65)</f>
        <v/>
      </c>
    </row>
    <row r="66" spans="1:7" ht="23.1" customHeight="1">
      <c r="A66" s="16" t="str">
        <f>IF('18'!A66="","",'18'!A66)</f>
        <v/>
      </c>
      <c r="B66" s="16" t="str">
        <f>IF('18'!B66="","",'18'!B66)</f>
        <v/>
      </c>
      <c r="C66" s="17" t="str">
        <f>IF('18'!C66="","",'18'!C66)</f>
        <v/>
      </c>
      <c r="D66" s="266" t="str">
        <f>IF('18'!D66="","",'18'!D66)</f>
        <v/>
      </c>
      <c r="E66" s="17" t="str">
        <f>IF('18'!E66="","",'18'!E66)</f>
        <v/>
      </c>
      <c r="F66" s="266" t="str">
        <f>IF('18'!F66="","",'18'!F66)</f>
        <v/>
      </c>
      <c r="G66" s="17" t="str">
        <f>IF('18'!G66="","",'18'!G66)</f>
        <v/>
      </c>
    </row>
    <row r="67" spans="1:7" ht="23.1" customHeight="1">
      <c r="A67" s="16" t="str">
        <f>IF('18'!A67="","",'18'!A67)</f>
        <v/>
      </c>
      <c r="B67" s="16" t="str">
        <f>IF('18'!B67="","",'18'!B67)</f>
        <v/>
      </c>
      <c r="C67" s="17" t="str">
        <f>IF('18'!C67="","",'18'!C67)</f>
        <v/>
      </c>
      <c r="D67" s="266" t="str">
        <f>IF('18'!D67="","",'18'!D67)</f>
        <v/>
      </c>
      <c r="E67" s="17" t="str">
        <f>IF('18'!E67="","",'18'!E67)</f>
        <v/>
      </c>
      <c r="F67" s="266" t="str">
        <f>IF('18'!F67="","",'18'!F67)</f>
        <v/>
      </c>
      <c r="G67" s="17" t="str">
        <f>IF('18'!G67="","",'18'!G67)</f>
        <v/>
      </c>
    </row>
    <row r="68" spans="1:7" ht="23.1" customHeight="1">
      <c r="A68" s="16" t="str">
        <f>IF('18'!A68="","",'18'!A68)</f>
        <v/>
      </c>
      <c r="B68" s="16" t="str">
        <f>IF('18'!B68="","",'18'!B68)</f>
        <v/>
      </c>
      <c r="C68" s="17" t="str">
        <f>IF('18'!C68="","",'18'!C68)</f>
        <v/>
      </c>
      <c r="D68" s="266" t="str">
        <f>IF('18'!D68="","",'18'!D68)</f>
        <v/>
      </c>
      <c r="E68" s="17" t="str">
        <f>IF('18'!E68="","",'18'!E68)</f>
        <v/>
      </c>
      <c r="F68" s="266" t="str">
        <f>IF('18'!F68="","",'18'!F68)</f>
        <v/>
      </c>
      <c r="G68" s="17" t="str">
        <f>IF('18'!G68="","",'18'!G68)</f>
        <v/>
      </c>
    </row>
    <row r="69" spans="1:7" ht="23.1" customHeight="1">
      <c r="A69" s="16" t="str">
        <f>IF('18'!A69="","",'18'!A69)</f>
        <v/>
      </c>
      <c r="B69" s="16" t="str">
        <f>IF('18'!B69="","",'18'!B69)</f>
        <v/>
      </c>
      <c r="C69" s="17" t="str">
        <f>IF('18'!C69="","",'18'!C69)</f>
        <v/>
      </c>
      <c r="D69" s="266" t="str">
        <f>IF('18'!D69="","",'18'!D69)</f>
        <v/>
      </c>
      <c r="E69" s="17" t="str">
        <f>IF('18'!E69="","",'18'!E69)</f>
        <v/>
      </c>
      <c r="F69" s="266" t="str">
        <f>IF('18'!F69="","",'18'!F69)</f>
        <v/>
      </c>
      <c r="G69" s="17" t="str">
        <f>IF('18'!G69="","",'18'!G69)</f>
        <v/>
      </c>
    </row>
    <row r="70" spans="1:7" ht="23.1" customHeight="1">
      <c r="A70" s="16" t="str">
        <f>IF('18'!A70="","",'18'!A70)</f>
        <v/>
      </c>
      <c r="B70" s="16" t="str">
        <f>IF('18'!B70="","",'18'!B70)</f>
        <v/>
      </c>
      <c r="C70" s="17" t="str">
        <f>IF('18'!C70="","",'18'!C70)</f>
        <v/>
      </c>
      <c r="D70" s="266" t="str">
        <f>IF('18'!D70="","",'18'!D70)</f>
        <v/>
      </c>
      <c r="E70" s="17" t="str">
        <f>IF('18'!E70="","",'18'!E70)</f>
        <v/>
      </c>
      <c r="F70" s="266" t="str">
        <f>IF('18'!F70="","",'18'!F70)</f>
        <v/>
      </c>
      <c r="G70" s="17" t="str">
        <f>IF('18'!G70="","",'18'!G70)</f>
        <v/>
      </c>
    </row>
    <row r="71" spans="1:7" ht="23.1" customHeight="1">
      <c r="A71" s="16" t="str">
        <f>IF('18'!A71="","",'18'!A71)</f>
        <v/>
      </c>
      <c r="B71" s="16" t="str">
        <f>IF('18'!B71="","",'18'!B71)</f>
        <v/>
      </c>
      <c r="C71" s="17" t="str">
        <f>IF('18'!C71="","",'18'!C71)</f>
        <v/>
      </c>
      <c r="D71" s="266" t="str">
        <f>IF('18'!D71="","",'18'!D71)</f>
        <v/>
      </c>
      <c r="E71" s="17" t="str">
        <f>IF('18'!E71="","",'18'!E71)</f>
        <v/>
      </c>
      <c r="F71" s="266" t="str">
        <f>IF('18'!F71="","",'18'!F71)</f>
        <v/>
      </c>
      <c r="G71" s="17" t="str">
        <f>IF('18'!G71="","",'18'!G71)</f>
        <v/>
      </c>
    </row>
    <row r="72" spans="1:7" ht="23.1" customHeight="1">
      <c r="A72" s="16" t="str">
        <f>IF('18'!A72="","",'18'!A72)</f>
        <v/>
      </c>
      <c r="B72" s="16" t="str">
        <f>IF('18'!B72="","",'18'!B72)</f>
        <v/>
      </c>
      <c r="C72" s="17" t="str">
        <f>IF('18'!C72="","",'18'!C72)</f>
        <v/>
      </c>
      <c r="D72" s="266" t="str">
        <f>IF('18'!D72="","",'18'!D72)</f>
        <v/>
      </c>
      <c r="E72" s="17" t="str">
        <f>IF('18'!E72="","",'18'!E72)</f>
        <v/>
      </c>
      <c r="F72" s="266" t="str">
        <f>IF('18'!F72="","",'18'!F72)</f>
        <v/>
      </c>
      <c r="G72" s="17" t="str">
        <f>IF('18'!G72="","",'18'!G72)</f>
        <v/>
      </c>
    </row>
    <row r="73" spans="1:7" ht="23.1" customHeight="1">
      <c r="A73" s="16" t="str">
        <f>IF('18'!A73="","",'18'!A73)</f>
        <v/>
      </c>
      <c r="B73" s="16" t="str">
        <f>IF('18'!B73="","",'18'!B73)</f>
        <v/>
      </c>
      <c r="C73" s="17" t="str">
        <f>IF('18'!C73="","",'18'!C73)</f>
        <v/>
      </c>
      <c r="D73" s="266" t="str">
        <f>IF('18'!D73="","",'18'!D73)</f>
        <v/>
      </c>
      <c r="E73" s="17" t="str">
        <f>IF('18'!E73="","",'18'!E73)</f>
        <v/>
      </c>
      <c r="F73" s="266" t="str">
        <f>IF('18'!F73="","",'18'!F73)</f>
        <v/>
      </c>
      <c r="G73" s="17" t="str">
        <f>IF('18'!G73="","",'18'!G73)</f>
        <v/>
      </c>
    </row>
  </sheetData>
  <dataConsolidate link="1"/>
  <mergeCells count="6">
    <mergeCell ref="G12:G13"/>
    <mergeCell ref="D8:F8"/>
    <mergeCell ref="A12:A13"/>
    <mergeCell ref="B12:B13"/>
    <mergeCell ref="C12:D12"/>
    <mergeCell ref="E12:F12"/>
  </mergeCells>
  <phoneticPr fontId="10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horizontalDpi="4294967293" verticalDpi="4294967292" r:id="rId1"/>
  <headerFooter alignWithMargins="0">
    <oddHeader>&amp;R&amp;P/&amp;N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8DBA3-320C-4CBD-9912-C54A012776F5}">
  <sheetPr codeName="Sheet15">
    <tabColor rgb="FF0070C0"/>
  </sheetPr>
  <dimension ref="A4:J16"/>
  <sheetViews>
    <sheetView view="pageBreakPreview" topLeftCell="A4" zoomScale="60" zoomScaleNormal="100" workbookViewId="0">
      <selection activeCell="D14" sqref="D14:E14"/>
    </sheetView>
  </sheetViews>
  <sheetFormatPr defaultColWidth="8.88671875" defaultRowHeight="30" customHeight="1"/>
  <cols>
    <col min="1" max="1" width="8.88671875" style="96"/>
    <col min="2" max="3" width="8.88671875" style="95"/>
    <col min="4" max="4" width="17" style="99" customWidth="1"/>
    <col min="5" max="5" width="13.33203125" style="95" bestFit="1" customWidth="1"/>
    <col min="6" max="16384" width="8.88671875" style="95"/>
  </cols>
  <sheetData>
    <row r="4" spans="1:10" ht="30" customHeight="1">
      <c r="A4" s="356" t="str">
        <f>'11_V70'!C7</f>
        <v>2026 Fuji Horse Show Autumn Grand Prix</v>
      </c>
      <c r="B4" s="356"/>
      <c r="C4" s="356"/>
      <c r="D4" s="356"/>
      <c r="E4" s="356"/>
      <c r="F4" s="356"/>
      <c r="G4" s="356"/>
      <c r="H4" s="356"/>
      <c r="I4" s="356"/>
      <c r="J4" s="356"/>
    </row>
    <row r="6" spans="1:10" ht="30" customHeight="1">
      <c r="A6" s="96" t="s">
        <v>42</v>
      </c>
      <c r="B6" s="97">
        <f>'19_中Ｂ'!B8</f>
        <v>19</v>
      </c>
      <c r="C6" s="95" t="s">
        <v>43</v>
      </c>
      <c r="D6" s="98" t="str">
        <f>'19_中Ｂ'!D8:F8</f>
        <v>CWD杯</v>
      </c>
    </row>
    <row r="8" spans="1:10" ht="30" customHeight="1">
      <c r="C8" s="95" t="s">
        <v>85</v>
      </c>
      <c r="E8" s="100">
        <v>0.64930555555555558</v>
      </c>
    </row>
    <row r="9" spans="1:10" ht="30" customHeight="1">
      <c r="C9" s="95" t="s">
        <v>86</v>
      </c>
      <c r="E9" s="100">
        <v>0.65972222222222221</v>
      </c>
      <c r="F9" s="95" t="s">
        <v>87</v>
      </c>
    </row>
    <row r="11" spans="1:10" ht="30" customHeight="1">
      <c r="C11" s="357" t="s">
        <v>88</v>
      </c>
      <c r="D11" s="357"/>
      <c r="E11" s="357"/>
      <c r="F11" s="357"/>
      <c r="G11" s="357"/>
    </row>
    <row r="12" spans="1:10" ht="30" customHeight="1">
      <c r="C12" s="95" t="s">
        <v>89</v>
      </c>
      <c r="D12" s="155">
        <v>40000</v>
      </c>
      <c r="E12" s="95" t="s">
        <v>143</v>
      </c>
      <c r="F12" s="99"/>
      <c r="G12" s="99"/>
    </row>
    <row r="13" spans="1:10" ht="30" customHeight="1">
      <c r="C13" s="95" t="s">
        <v>90</v>
      </c>
      <c r="D13" s="155">
        <v>24000</v>
      </c>
      <c r="E13" s="95" t="s">
        <v>143</v>
      </c>
      <c r="G13" s="99"/>
    </row>
    <row r="14" spans="1:10" ht="30" customHeight="1">
      <c r="C14" s="95" t="s">
        <v>91</v>
      </c>
      <c r="D14" s="155">
        <v>22000</v>
      </c>
      <c r="E14" s="95" t="s">
        <v>143</v>
      </c>
      <c r="G14" s="99"/>
    </row>
    <row r="15" spans="1:10" ht="30" customHeight="1">
      <c r="C15" s="95" t="s">
        <v>92</v>
      </c>
      <c r="D15" s="156">
        <v>20000</v>
      </c>
      <c r="E15" s="95" t="s">
        <v>143</v>
      </c>
      <c r="F15" s="98"/>
      <c r="G15" s="98"/>
    </row>
    <row r="16" spans="1:10" ht="30" customHeight="1">
      <c r="C16" s="95" t="s">
        <v>93</v>
      </c>
      <c r="D16" s="156">
        <v>18000</v>
      </c>
      <c r="E16" s="95" t="s">
        <v>143</v>
      </c>
    </row>
  </sheetData>
  <mergeCells count="2">
    <mergeCell ref="A4:J4"/>
    <mergeCell ref="C11:G11"/>
  </mergeCells>
  <phoneticPr fontId="10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>
    <tabColor rgb="FF0070C0"/>
  </sheetPr>
  <dimension ref="A1:G73"/>
  <sheetViews>
    <sheetView view="pageBreakPreview" topLeftCell="A6" zoomScaleNormal="100" zoomScaleSheetLayoutView="100" workbookViewId="0">
      <selection activeCell="G17" sqref="G17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41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'19'!C2</f>
        <v>0</v>
      </c>
      <c r="D6" s="3"/>
      <c r="F6" s="4" t="s">
        <v>2</v>
      </c>
      <c r="G6" s="6">
        <v>46277</v>
      </c>
    </row>
    <row r="7" spans="1:7" ht="24" customHeight="1">
      <c r="A7" s="7"/>
      <c r="B7" s="4" t="s">
        <v>4</v>
      </c>
      <c r="C7" s="8" t="str">
        <f>'19'!C3</f>
        <v>2026 Fuji Horse Show Autumn Grand Prix</v>
      </c>
      <c r="D7" s="9"/>
      <c r="E7" s="9"/>
      <c r="F7" s="9"/>
      <c r="G7" s="346" t="s">
        <v>732</v>
      </c>
    </row>
    <row r="8" spans="1:7" ht="21" customHeight="1">
      <c r="A8" s="10" t="s">
        <v>42</v>
      </c>
      <c r="B8" s="68">
        <f>'19'!C4</f>
        <v>19</v>
      </c>
      <c r="C8" s="4" t="s">
        <v>43</v>
      </c>
      <c r="D8" s="349" t="str">
        <f>'19'!F4</f>
        <v>CWD杯</v>
      </c>
      <c r="E8" s="349"/>
      <c r="F8" s="349"/>
    </row>
    <row r="9" spans="1:7" ht="18.75" customHeight="1">
      <c r="C9" s="11" t="s">
        <v>11</v>
      </c>
      <c r="D9" s="264">
        <f>'19'!D5</f>
        <v>7</v>
      </c>
      <c r="E9" s="4" t="s">
        <v>9</v>
      </c>
      <c r="F9" s="267" t="str">
        <f>'19'!K4</f>
        <v>中障害B</v>
      </c>
    </row>
    <row r="10" spans="1:7" ht="21" customHeight="1">
      <c r="A10" s="12" t="s">
        <v>44</v>
      </c>
      <c r="B10" s="12"/>
      <c r="C10" s="12"/>
      <c r="D10" s="265" t="str">
        <f>'19'!D6</f>
        <v>-</v>
      </c>
      <c r="E10" s="4" t="s">
        <v>12</v>
      </c>
      <c r="F10" s="268" t="str">
        <f>'19'!F5</f>
        <v>★★★</v>
      </c>
      <c r="G10" s="13" t="s">
        <v>45</v>
      </c>
    </row>
    <row r="11" spans="1:7" ht="5.0999999999999996" customHeight="1"/>
    <row r="12" spans="1:7" ht="15" customHeight="1">
      <c r="A12" s="350" t="s">
        <v>46</v>
      </c>
      <c r="B12" s="352" t="s">
        <v>47</v>
      </c>
      <c r="C12" s="354" t="s">
        <v>48</v>
      </c>
      <c r="D12" s="355"/>
      <c r="E12" s="347" t="s">
        <v>49</v>
      </c>
      <c r="F12" s="347"/>
      <c r="G12" s="347" t="s">
        <v>50</v>
      </c>
    </row>
    <row r="13" spans="1:7" ht="24" customHeight="1">
      <c r="A13" s="351"/>
      <c r="B13" s="353"/>
      <c r="C13" s="14" t="s">
        <v>53</v>
      </c>
      <c r="D13" s="15" t="s">
        <v>54</v>
      </c>
      <c r="E13" s="15" t="s">
        <v>55</v>
      </c>
      <c r="F13" s="15" t="s">
        <v>56</v>
      </c>
      <c r="G13" s="348"/>
    </row>
    <row r="14" spans="1:7" s="19" customFormat="1" ht="23.1" customHeight="1">
      <c r="A14" s="16" t="str">
        <f>IF('19'!A14="","",'19'!A14)</f>
        <v/>
      </c>
      <c r="B14" s="16">
        <f>IF('19'!B14="","",'19'!B14)</f>
        <v>1</v>
      </c>
      <c r="C14" s="17" t="str">
        <f>IF('19'!C14="","",'19'!C14)</f>
        <v>林　忠義</v>
      </c>
      <c r="D14" s="266">
        <f>IF('19'!D14="","",'19'!D14)</f>
        <v>1384</v>
      </c>
      <c r="E14" s="17" t="str">
        <f>IF('19'!E14="","",'19'!E14)</f>
        <v>レヴィノ</v>
      </c>
      <c r="F14" s="266">
        <f>IF('19'!F14="","",'19'!F14)</f>
        <v>61343</v>
      </c>
      <c r="G14" s="17" t="str">
        <f>IF('19'!G14="","",'19'!G14)</f>
        <v>北総乗馬クラブ</v>
      </c>
    </row>
    <row r="15" spans="1:7" s="19" customFormat="1" ht="23.1" customHeight="1">
      <c r="A15" s="16" t="str">
        <f>IF('19'!A15="","",'19'!A15)</f>
        <v/>
      </c>
      <c r="B15" s="16">
        <f>IF('19'!B15="","",'19'!B15)</f>
        <v>2</v>
      </c>
      <c r="C15" s="17" t="str">
        <f>IF('19'!C15="","",'19'!C15)</f>
        <v>藤本　光国</v>
      </c>
      <c r="D15" s="266">
        <f>IF('19'!D15="","",'19'!D15)</f>
        <v>18834</v>
      </c>
      <c r="E15" s="17" t="str">
        <f>IF('19'!E15="","",'19'!E15)</f>
        <v>ロードボス</v>
      </c>
      <c r="F15" s="266">
        <f>IF('19'!F15="","",'19'!F15)</f>
        <v>56066</v>
      </c>
      <c r="G15" s="17" t="str">
        <f>IF('19'!G15="","",'19'!G15)</f>
        <v>Horses' New Stage</v>
      </c>
    </row>
    <row r="16" spans="1:7" s="19" customFormat="1" ht="23.1" customHeight="1">
      <c r="A16" s="16" t="str">
        <f>IF('19'!A16="","",'19'!A16)</f>
        <v/>
      </c>
      <c r="B16" s="16">
        <f>IF('19'!B16="","",'19'!B16)</f>
        <v>3</v>
      </c>
      <c r="C16" s="17" t="str">
        <f>IF('19'!C16="","",'19'!C16)</f>
        <v>増山　誠倫</v>
      </c>
      <c r="D16" s="266">
        <f>IF('19'!D16="","",'19'!D16)</f>
        <v>8082</v>
      </c>
      <c r="E16" s="17" t="str">
        <f>IF('19'!E16="","",'19'!E16)</f>
        <v>メレリオ・ディ・メレー</v>
      </c>
      <c r="F16" s="266">
        <f>IF('19'!F16="","",'19'!F16)</f>
        <v>59855</v>
      </c>
      <c r="G16" s="17" t="str">
        <f>IF('19'!G16="","",'19'!G16)</f>
        <v>小山乗馬クラブ</v>
      </c>
    </row>
    <row r="17" spans="1:7" s="19" customFormat="1" ht="23.1" customHeight="1">
      <c r="A17" s="16" t="str">
        <f>IF('19'!A17="","",'19'!A17)</f>
        <v/>
      </c>
      <c r="B17" s="16">
        <f>IF('19'!B17="","",'19'!B17)</f>
        <v>4</v>
      </c>
      <c r="C17" s="17" t="str">
        <f>IF('19'!C17="","",'19'!C17)</f>
        <v>木村　茉里子</v>
      </c>
      <c r="D17" s="266">
        <f>IF('19'!D17="","",'19'!D17)</f>
        <v>12188</v>
      </c>
      <c r="E17" s="17" t="str">
        <f>IF('19'!E17="","",'19'!E17)</f>
        <v>ラフィーニャ</v>
      </c>
      <c r="F17" s="266">
        <f>IF('19'!F17="","",'19'!F17)</f>
        <v>60248</v>
      </c>
      <c r="G17" s="17" t="str">
        <f>IF('19'!G17="","",'19'!G17)</f>
        <v>NGK Horse Paz.</v>
      </c>
    </row>
    <row r="18" spans="1:7" s="19" customFormat="1" ht="23.1" customHeight="1">
      <c r="A18" s="16" t="str">
        <f>IF('19'!A18="","",'19'!A18)</f>
        <v/>
      </c>
      <c r="B18" s="16">
        <f>IF('19'!B18="","",'19'!B18)</f>
        <v>5</v>
      </c>
      <c r="C18" s="17" t="str">
        <f>IF('19'!C18="","",'19'!C18)</f>
        <v>二宮　裕哉</v>
      </c>
      <c r="D18" s="266">
        <f>IF('19'!D18="","",'19'!D18)</f>
        <v>14718</v>
      </c>
      <c r="E18" s="17" t="str">
        <f>IF('19'!E18="","",'19'!E18)</f>
        <v>インフィデル</v>
      </c>
      <c r="F18" s="266">
        <f>IF('19'!F18="","",'19'!F18)</f>
        <v>60418</v>
      </c>
      <c r="G18" s="17" t="str">
        <f>IF('19'!G18="","",'19'!G18)</f>
        <v>成田乗馬クラブ</v>
      </c>
    </row>
    <row r="19" spans="1:7" s="19" customFormat="1" ht="23.1" customHeight="1">
      <c r="A19" s="16" t="str">
        <f>IF('19'!A19="","",'19'!A19)</f>
        <v/>
      </c>
      <c r="B19" s="16">
        <f>IF('19'!B19="","",'19'!B19)</f>
        <v>6</v>
      </c>
      <c r="C19" s="17" t="str">
        <f>IF('19'!C19="","",'19'!C19)</f>
        <v>森　裕悟</v>
      </c>
      <c r="D19" s="266">
        <f>IF('19'!D19="","",'19'!D19)</f>
        <v>15169</v>
      </c>
      <c r="E19" s="17" t="str">
        <f>IF('19'!E19="","",'19'!E19)</f>
        <v>コンスタッカーラPS</v>
      </c>
      <c r="F19" s="266">
        <f>IF('19'!F19="","",'19'!F19)</f>
        <v>61438</v>
      </c>
      <c r="G19" s="17" t="str">
        <f>IF('19'!G19="","",'19'!G19)</f>
        <v>AOステーブル</v>
      </c>
    </row>
    <row r="20" spans="1:7" s="19" customFormat="1" ht="23.1" customHeight="1">
      <c r="A20" s="16" t="str">
        <f>IF('19'!A20="","",'19'!A20)</f>
        <v/>
      </c>
      <c r="B20" s="16">
        <f>IF('19'!B20="","",'19'!B20)</f>
        <v>7</v>
      </c>
      <c r="C20" s="17" t="str">
        <f>IF('19'!C20="","",'19'!C20)</f>
        <v>増山　久佳</v>
      </c>
      <c r="D20" s="266">
        <f>IF('19'!D20="","",'19'!D20)</f>
        <v>10571</v>
      </c>
      <c r="E20" s="17" t="str">
        <f>IF('19'!E20="","",'19'!E20)</f>
        <v>ベントレー・デ・キャステル</v>
      </c>
      <c r="F20" s="266">
        <f>IF('19'!F20="","",'19'!F20)</f>
        <v>61278</v>
      </c>
      <c r="G20" s="17" t="str">
        <f>IF('19'!G20="","",'19'!G20)</f>
        <v>小山乗馬クラブ</v>
      </c>
    </row>
    <row r="21" spans="1:7" s="19" customFormat="1" ht="23.1" customHeight="1">
      <c r="A21" s="16" t="str">
        <f>IF('19'!A21="","",'19'!A21)</f>
        <v/>
      </c>
      <c r="B21" s="16">
        <f>IF('19'!B21="","",'19'!B21)</f>
        <v>8</v>
      </c>
      <c r="C21" s="17" t="str">
        <f>IF('19'!C21="","",'19'!C21)</f>
        <v>紙本　萌々</v>
      </c>
      <c r="D21" s="266">
        <f>IF('19'!D21="","",'19'!D21)</f>
        <v>28066</v>
      </c>
      <c r="E21" s="17" t="str">
        <f>IF('19'!E21="","",'19'!E21)</f>
        <v>ヴィンセント</v>
      </c>
      <c r="F21" s="266">
        <f>IF('19'!F21="","",'19'!F21)</f>
        <v>59979</v>
      </c>
      <c r="G21" s="17" t="str">
        <f>IF('19'!G21="","",'19'!G21)</f>
        <v>北総乗馬クラブ</v>
      </c>
    </row>
    <row r="22" spans="1:7" s="19" customFormat="1" ht="23.1" customHeight="1">
      <c r="A22" s="16" t="str">
        <f>IF('19'!A22="","",'19'!A22)</f>
        <v/>
      </c>
      <c r="B22" s="16">
        <f>IF('19'!B22="","",'19'!B22)</f>
        <v>9</v>
      </c>
      <c r="C22" s="17" t="str">
        <f>IF('19'!C22="","",'19'!C22)</f>
        <v>北井　聖人</v>
      </c>
      <c r="D22" s="266">
        <f>IF('19'!D22="","",'19'!D22)</f>
        <v>32095</v>
      </c>
      <c r="E22" s="17" t="str">
        <f>IF('19'!E22="","",'19'!E22)</f>
        <v>カレア</v>
      </c>
      <c r="F22" s="266">
        <f>IF('19'!F22="","",'19'!F22)</f>
        <v>62036</v>
      </c>
      <c r="G22" s="17" t="str">
        <f>IF('19'!G22="","",'19'!G22)</f>
        <v>アシェンダ乗馬学校</v>
      </c>
    </row>
    <row r="23" spans="1:7" s="19" customFormat="1" ht="23.1" customHeight="1">
      <c r="A23" s="16" t="str">
        <f>IF('19'!A23="","",'19'!A23)</f>
        <v/>
      </c>
      <c r="B23" s="16">
        <f>IF('19'!B23="","",'19'!B23)</f>
        <v>10</v>
      </c>
      <c r="C23" s="17" t="str">
        <f>IF('19'!C23="","",'19'!C23)</f>
        <v>岡本　雅海</v>
      </c>
      <c r="D23" s="266">
        <f>IF('19'!D23="","",'19'!D23)</f>
        <v>19572</v>
      </c>
      <c r="E23" s="17" t="str">
        <f>IF('19'!E23="","",'19'!E23)</f>
        <v>サクソンブルー</v>
      </c>
      <c r="F23" s="266">
        <f>IF('19'!F23="","",'19'!F23)</f>
        <v>59650</v>
      </c>
      <c r="G23" s="17" t="str">
        <f>IF('19'!G23="","",'19'!G23)</f>
        <v>岡本ライディングクラブJAPAN</v>
      </c>
    </row>
    <row r="24" spans="1:7" s="19" customFormat="1" ht="23.1" customHeight="1">
      <c r="A24" s="16" t="str">
        <f>IF('19'!A24="","",'19'!A24)</f>
        <v/>
      </c>
      <c r="B24" s="16">
        <f>IF('19'!B24="","",'19'!B24)</f>
        <v>11</v>
      </c>
      <c r="C24" s="17" t="str">
        <f>IF('19'!C24="","",'19'!C24)</f>
        <v>古田　慶幸</v>
      </c>
      <c r="D24" s="266">
        <f>IF('19'!D24="","",'19'!D24)</f>
        <v>18386</v>
      </c>
      <c r="E24" s="17" t="str">
        <f>IF('19'!E24="","",'19'!E24)</f>
        <v>ライーズ</v>
      </c>
      <c r="F24" s="266">
        <f>IF('19'!F24="","",'19'!F24)</f>
        <v>60264</v>
      </c>
      <c r="G24" s="17" t="str">
        <f>IF('19'!G24="","",'19'!G24)</f>
        <v>riding team Regroup</v>
      </c>
    </row>
    <row r="25" spans="1:7" s="19" customFormat="1" ht="23.1" customHeight="1">
      <c r="A25" s="16" t="str">
        <f>IF('19'!A25="","",'19'!A25)</f>
        <v/>
      </c>
      <c r="B25" s="16">
        <f>IF('19'!B25="","",'19'!B25)</f>
        <v>12</v>
      </c>
      <c r="C25" s="17" t="str">
        <f>IF('19'!C25="","",'19'!C25)</f>
        <v>吉田　真理恵</v>
      </c>
      <c r="D25" s="266">
        <f>IF('19'!D25="","",'19'!D25)</f>
        <v>29957</v>
      </c>
      <c r="E25" s="17" t="str">
        <f>IF('19'!E25="","",'19'!E25)</f>
        <v>チャルーセム</v>
      </c>
      <c r="F25" s="266">
        <f>IF('19'!F25="","",'19'!F25)</f>
        <v>61353</v>
      </c>
      <c r="G25" s="17" t="str">
        <f>IF('19'!G25="","",'19'!G25)</f>
        <v>北総乗馬クラブ</v>
      </c>
    </row>
    <row r="26" spans="1:7" s="19" customFormat="1" ht="23.1" customHeight="1">
      <c r="A26" s="16" t="str">
        <f>IF('19'!A26="","",'19'!A26)</f>
        <v>WD</v>
      </c>
      <c r="B26" s="16">
        <f>IF('19'!B26="","",'19'!B26)</f>
        <v>13</v>
      </c>
      <c r="C26" s="17" t="str">
        <f>IF('19'!C26="","",'19'!C26)</f>
        <v>佃　日出彦</v>
      </c>
      <c r="D26" s="266">
        <f>IF('19'!D26="","",'19'!D26)</f>
        <v>5943</v>
      </c>
      <c r="E26" s="17" t="str">
        <f>IF('19'!E26="","",'19'!E26)</f>
        <v>アルデバランZ</v>
      </c>
      <c r="F26" s="266">
        <f>IF('19'!F26="","",'19'!F26)</f>
        <v>60218</v>
      </c>
      <c r="G26" s="17" t="str">
        <f>IF('19'!G26="","",'19'!G26)</f>
        <v>乗馬クラブ　リバーサイドステーブル浜北</v>
      </c>
    </row>
    <row r="27" spans="1:7" s="19" customFormat="1" ht="23.1" customHeight="1">
      <c r="A27" s="16" t="str">
        <f>IF('19'!A27="","",'19'!A27)</f>
        <v>WD</v>
      </c>
      <c r="B27" s="16">
        <f>IF('19'!B27="","",'19'!B27)</f>
        <v>14</v>
      </c>
      <c r="C27" s="17" t="str">
        <f>IF('19'!C27="","",'19'!C27)</f>
        <v>佃　日出彦</v>
      </c>
      <c r="D27" s="266">
        <f>IF('19'!D27="","",'19'!D27)</f>
        <v>5943</v>
      </c>
      <c r="E27" s="17" t="str">
        <f>IF('19'!E27="","",'19'!E27)</f>
        <v>武尊</v>
      </c>
      <c r="F27" s="266">
        <f>IF('19'!F27="","",'19'!F27)</f>
        <v>61733</v>
      </c>
      <c r="G27" s="17" t="str">
        <f>IF('19'!G27="","",'19'!G27)</f>
        <v>乗馬クラブ　リバーサイドステーブル浜北</v>
      </c>
    </row>
    <row r="28" spans="1:7" s="19" customFormat="1" ht="23.1" customHeight="1">
      <c r="A28" s="16" t="str">
        <f>IF('19'!A28="","",'19'!A28)</f>
        <v/>
      </c>
      <c r="B28" s="16">
        <f>IF('19'!B28="","",'19'!B28)</f>
        <v>15</v>
      </c>
      <c r="C28" s="17" t="str">
        <f>IF('19'!C28="","",'19'!C28)</f>
        <v/>
      </c>
      <c r="D28" s="266" t="str">
        <f>IF('19'!D28="","",'19'!D28)</f>
        <v/>
      </c>
      <c r="E28" s="17" t="str">
        <f>IF('19'!E28="","",'19'!E28)</f>
        <v/>
      </c>
      <c r="F28" s="266" t="str">
        <f>IF('19'!F28="","",'19'!F28)</f>
        <v/>
      </c>
      <c r="G28" s="17" t="str">
        <f>IF('19'!G28="","",'19'!G28)</f>
        <v/>
      </c>
    </row>
    <row r="29" spans="1:7" s="19" customFormat="1" ht="23.1" customHeight="1">
      <c r="A29" s="16" t="str">
        <f>IF('19'!A29="","",'19'!A29)</f>
        <v/>
      </c>
      <c r="B29" s="16">
        <f>IF('19'!B29="","",'19'!B29)</f>
        <v>16</v>
      </c>
      <c r="C29" s="17" t="str">
        <f>IF('19'!C29="","",'19'!C29)</f>
        <v/>
      </c>
      <c r="D29" s="266" t="str">
        <f>IF('19'!D29="","",'19'!D29)</f>
        <v/>
      </c>
      <c r="E29" s="17" t="str">
        <f>IF('19'!E29="","",'19'!E29)</f>
        <v/>
      </c>
      <c r="F29" s="266" t="str">
        <f>IF('19'!F29="","",'19'!F29)</f>
        <v/>
      </c>
      <c r="G29" s="17" t="str">
        <f>IF('19'!G29="","",'19'!G29)</f>
        <v/>
      </c>
    </row>
    <row r="30" spans="1:7" s="19" customFormat="1" ht="23.1" customHeight="1">
      <c r="A30" s="16" t="str">
        <f>IF('19'!A30="","",'19'!A30)</f>
        <v/>
      </c>
      <c r="B30" s="16">
        <f>IF('19'!B30="","",'19'!B30)</f>
        <v>17</v>
      </c>
      <c r="C30" s="17" t="str">
        <f>IF('19'!C30="","",'19'!C30)</f>
        <v/>
      </c>
      <c r="D30" s="266" t="str">
        <f>IF('19'!D30="","",'19'!D30)</f>
        <v/>
      </c>
      <c r="E30" s="17" t="str">
        <f>IF('19'!E30="","",'19'!E30)</f>
        <v/>
      </c>
      <c r="F30" s="266" t="str">
        <f>IF('19'!F30="","",'19'!F30)</f>
        <v/>
      </c>
      <c r="G30" s="17" t="str">
        <f>IF('19'!G30="","",'19'!G30)</f>
        <v/>
      </c>
    </row>
    <row r="31" spans="1:7" s="19" customFormat="1" ht="23.1" customHeight="1">
      <c r="A31" s="16" t="str">
        <f>IF('19'!A31="","",'19'!A31)</f>
        <v/>
      </c>
      <c r="B31" s="16">
        <f>IF('19'!B31="","",'19'!B31)</f>
        <v>18</v>
      </c>
      <c r="C31" s="17" t="str">
        <f>IF('19'!C31="","",'19'!C31)</f>
        <v/>
      </c>
      <c r="D31" s="266" t="str">
        <f>IF('19'!D31="","",'19'!D31)</f>
        <v/>
      </c>
      <c r="E31" s="17" t="str">
        <f>IF('19'!E31="","",'19'!E31)</f>
        <v/>
      </c>
      <c r="F31" s="266" t="str">
        <f>IF('19'!F31="","",'19'!F31)</f>
        <v/>
      </c>
      <c r="G31" s="17" t="str">
        <f>IF('19'!G31="","",'19'!G31)</f>
        <v/>
      </c>
    </row>
    <row r="32" spans="1:7" s="19" customFormat="1" ht="23.1" customHeight="1">
      <c r="A32" s="16" t="str">
        <f>IF('19'!A32="","",'19'!A32)</f>
        <v/>
      </c>
      <c r="B32" s="16">
        <f>IF('19'!B32="","",'19'!B32)</f>
        <v>19</v>
      </c>
      <c r="C32" s="17" t="str">
        <f>IF('19'!C32="","",'19'!C32)</f>
        <v/>
      </c>
      <c r="D32" s="266" t="str">
        <f>IF('19'!D32="","",'19'!D32)</f>
        <v/>
      </c>
      <c r="E32" s="17" t="str">
        <f>IF('19'!E32="","",'19'!E32)</f>
        <v/>
      </c>
      <c r="F32" s="266" t="str">
        <f>IF('19'!F32="","",'19'!F32)</f>
        <v/>
      </c>
      <c r="G32" s="17" t="str">
        <f>IF('19'!G32="","",'19'!G32)</f>
        <v/>
      </c>
    </row>
    <row r="33" spans="1:7" s="19" customFormat="1" ht="23.1" customHeight="1">
      <c r="A33" s="16" t="str">
        <f>IF('19'!A33="","",'19'!A33)</f>
        <v/>
      </c>
      <c r="B33" s="16">
        <f>IF('19'!B33="","",'19'!B33)</f>
        <v>20</v>
      </c>
      <c r="C33" s="17" t="str">
        <f>IF('19'!C33="","",'19'!C33)</f>
        <v/>
      </c>
      <c r="D33" s="266" t="str">
        <f>IF('19'!D33="","",'19'!D33)</f>
        <v/>
      </c>
      <c r="E33" s="17" t="str">
        <f>IF('19'!E33="","",'19'!E33)</f>
        <v/>
      </c>
      <c r="F33" s="266" t="str">
        <f>IF('19'!F33="","",'19'!F33)</f>
        <v/>
      </c>
      <c r="G33" s="17" t="str">
        <f>IF('19'!G33="","",'19'!G33)</f>
        <v/>
      </c>
    </row>
    <row r="34" spans="1:7" s="19" customFormat="1" ht="23.1" customHeight="1">
      <c r="A34" s="16" t="str">
        <f>IF('19'!A34="","",'19'!A34)</f>
        <v/>
      </c>
      <c r="B34" s="16">
        <f>IF('19'!B34="","",'19'!B34)</f>
        <v>21</v>
      </c>
      <c r="C34" s="17" t="str">
        <f>IF('19'!C34="","",'19'!C34)</f>
        <v/>
      </c>
      <c r="D34" s="266" t="str">
        <f>IF('19'!D34="","",'19'!D34)</f>
        <v/>
      </c>
      <c r="E34" s="17" t="str">
        <f>IF('19'!E34="","",'19'!E34)</f>
        <v/>
      </c>
      <c r="F34" s="266" t="str">
        <f>IF('19'!F34="","",'19'!F34)</f>
        <v/>
      </c>
      <c r="G34" s="17" t="str">
        <f>IF('19'!G34="","",'19'!G34)</f>
        <v/>
      </c>
    </row>
    <row r="35" spans="1:7" s="19" customFormat="1" ht="23.1" customHeight="1">
      <c r="A35" s="16" t="str">
        <f>IF('19'!A35="","",'19'!A35)</f>
        <v/>
      </c>
      <c r="B35" s="16">
        <f>IF('19'!B35="","",'19'!B35)</f>
        <v>22</v>
      </c>
      <c r="C35" s="17" t="str">
        <f>IF('19'!C35="","",'19'!C35)</f>
        <v/>
      </c>
      <c r="D35" s="266" t="str">
        <f>IF('19'!D35="","",'19'!D35)</f>
        <v/>
      </c>
      <c r="E35" s="17" t="str">
        <f>IF('19'!E35="","",'19'!E35)</f>
        <v/>
      </c>
      <c r="F35" s="266" t="str">
        <f>IF('19'!F35="","",'19'!F35)</f>
        <v/>
      </c>
      <c r="G35" s="17" t="str">
        <f>IF('19'!G35="","",'19'!G35)</f>
        <v/>
      </c>
    </row>
    <row r="36" spans="1:7" s="19" customFormat="1" ht="23.1" customHeight="1">
      <c r="A36" s="16" t="str">
        <f>IF('19'!A36="","",'19'!A36)</f>
        <v/>
      </c>
      <c r="B36" s="16">
        <f>IF('19'!B36="","",'19'!B36)</f>
        <v>23</v>
      </c>
      <c r="C36" s="17" t="str">
        <f>IF('19'!C36="","",'19'!C36)</f>
        <v/>
      </c>
      <c r="D36" s="266" t="str">
        <f>IF('19'!D36="","",'19'!D36)</f>
        <v/>
      </c>
      <c r="E36" s="17" t="str">
        <f>IF('19'!E36="","",'19'!E36)</f>
        <v/>
      </c>
      <c r="F36" s="266" t="str">
        <f>IF('19'!F36="","",'19'!F36)</f>
        <v/>
      </c>
      <c r="G36" s="17" t="str">
        <f>IF('19'!G36="","",'19'!G36)</f>
        <v/>
      </c>
    </row>
    <row r="37" spans="1:7" s="19" customFormat="1" ht="23.1" customHeight="1">
      <c r="A37" s="16" t="str">
        <f>IF('19'!A37="","",'19'!A37)</f>
        <v/>
      </c>
      <c r="B37" s="16">
        <f>IF('19'!B37="","",'19'!B37)</f>
        <v>24</v>
      </c>
      <c r="C37" s="17" t="str">
        <f>IF('19'!C37="","",'19'!C37)</f>
        <v/>
      </c>
      <c r="D37" s="266" t="str">
        <f>IF('19'!D37="","",'19'!D37)</f>
        <v/>
      </c>
      <c r="E37" s="17" t="str">
        <f>IF('19'!E37="","",'19'!E37)</f>
        <v/>
      </c>
      <c r="F37" s="266" t="str">
        <f>IF('19'!F37="","",'19'!F37)</f>
        <v/>
      </c>
      <c r="G37" s="17" t="str">
        <f>IF('19'!G37="","",'19'!G37)</f>
        <v/>
      </c>
    </row>
    <row r="38" spans="1:7" s="19" customFormat="1" ht="23.1" customHeight="1">
      <c r="A38" s="16" t="str">
        <f>IF('19'!A38="","",'19'!A38)</f>
        <v/>
      </c>
      <c r="B38" s="16">
        <f>IF('19'!B38="","",'19'!B38)</f>
        <v>25</v>
      </c>
      <c r="C38" s="17" t="str">
        <f>IF('19'!C38="","",'19'!C38)</f>
        <v/>
      </c>
      <c r="D38" s="266" t="str">
        <f>IF('19'!D38="","",'19'!D38)</f>
        <v/>
      </c>
      <c r="E38" s="17" t="str">
        <f>IF('19'!E38="","",'19'!E38)</f>
        <v/>
      </c>
      <c r="F38" s="266" t="str">
        <f>IF('19'!F38="","",'19'!F38)</f>
        <v/>
      </c>
      <c r="G38" s="17" t="str">
        <f>IF('19'!G38="","",'19'!G38)</f>
        <v/>
      </c>
    </row>
    <row r="39" spans="1:7" s="19" customFormat="1" ht="23.1" customHeight="1">
      <c r="A39" s="16" t="str">
        <f>IF('19'!A39="","",'19'!A39)</f>
        <v/>
      </c>
      <c r="B39" s="16">
        <f>IF('19'!B39="","",'19'!B39)</f>
        <v>26</v>
      </c>
      <c r="C39" s="17" t="str">
        <f>IF('19'!C39="","",'19'!C39)</f>
        <v/>
      </c>
      <c r="D39" s="266" t="str">
        <f>IF('19'!D39="","",'19'!D39)</f>
        <v/>
      </c>
      <c r="E39" s="17" t="str">
        <f>IF('19'!E39="","",'19'!E39)</f>
        <v/>
      </c>
      <c r="F39" s="266" t="str">
        <f>IF('19'!F39="","",'19'!F39)</f>
        <v/>
      </c>
      <c r="G39" s="17" t="str">
        <f>IF('19'!G39="","",'19'!G39)</f>
        <v/>
      </c>
    </row>
    <row r="40" spans="1:7" s="19" customFormat="1" ht="23.1" customHeight="1">
      <c r="A40" s="16" t="str">
        <f>IF('19'!A40="","",'19'!A40)</f>
        <v/>
      </c>
      <c r="B40" s="16">
        <f>IF('19'!B40="","",'19'!B40)</f>
        <v>27</v>
      </c>
      <c r="C40" s="17" t="str">
        <f>IF('19'!C40="","",'19'!C40)</f>
        <v/>
      </c>
      <c r="D40" s="266" t="str">
        <f>IF('19'!D40="","",'19'!D40)</f>
        <v/>
      </c>
      <c r="E40" s="17" t="str">
        <f>IF('19'!E40="","",'19'!E40)</f>
        <v/>
      </c>
      <c r="F40" s="266" t="str">
        <f>IF('19'!F40="","",'19'!F40)</f>
        <v/>
      </c>
      <c r="G40" s="17" t="str">
        <f>IF('19'!G40="","",'19'!G40)</f>
        <v/>
      </c>
    </row>
    <row r="41" spans="1:7" s="19" customFormat="1" ht="23.1" customHeight="1">
      <c r="A41" s="16" t="str">
        <f>IF('19'!A41="","",'19'!A41)</f>
        <v/>
      </c>
      <c r="B41" s="16">
        <f>IF('19'!B41="","",'19'!B41)</f>
        <v>28</v>
      </c>
      <c r="C41" s="17" t="str">
        <f>IF('19'!C41="","",'19'!C41)</f>
        <v/>
      </c>
      <c r="D41" s="266" t="str">
        <f>IF('19'!D41="","",'19'!D41)</f>
        <v/>
      </c>
      <c r="E41" s="17" t="str">
        <f>IF('19'!E41="","",'19'!E41)</f>
        <v/>
      </c>
      <c r="F41" s="266" t="str">
        <f>IF('19'!F41="","",'19'!F41)</f>
        <v/>
      </c>
      <c r="G41" s="17" t="str">
        <f>IF('19'!G41="","",'19'!G41)</f>
        <v/>
      </c>
    </row>
    <row r="42" spans="1:7" s="19" customFormat="1" ht="23.1" customHeight="1">
      <c r="A42" s="16" t="str">
        <f>IF('19'!A42="","",'19'!A42)</f>
        <v/>
      </c>
      <c r="B42" s="16">
        <f>IF('19'!B42="","",'19'!B42)</f>
        <v>29</v>
      </c>
      <c r="C42" s="17" t="str">
        <f>IF('19'!C42="","",'19'!C42)</f>
        <v/>
      </c>
      <c r="D42" s="266" t="str">
        <f>IF('19'!D42="","",'19'!D42)</f>
        <v/>
      </c>
      <c r="E42" s="17" t="str">
        <f>IF('19'!E42="","",'19'!E42)</f>
        <v/>
      </c>
      <c r="F42" s="266" t="str">
        <f>IF('19'!F42="","",'19'!F42)</f>
        <v/>
      </c>
      <c r="G42" s="17" t="str">
        <f>IF('19'!G42="","",'19'!G42)</f>
        <v/>
      </c>
    </row>
    <row r="43" spans="1:7" s="19" customFormat="1" ht="23.1" customHeight="1">
      <c r="A43" s="16" t="str">
        <f>IF('19'!A43="","",'19'!A43)</f>
        <v/>
      </c>
      <c r="B43" s="16">
        <f>IF('19'!B43="","",'19'!B43)</f>
        <v>30</v>
      </c>
      <c r="C43" s="17" t="str">
        <f>IF('19'!C43="","",'19'!C43)</f>
        <v/>
      </c>
      <c r="D43" s="266" t="str">
        <f>IF('19'!D43="","",'19'!D43)</f>
        <v/>
      </c>
      <c r="E43" s="17" t="str">
        <f>IF('19'!E43="","",'19'!E43)</f>
        <v/>
      </c>
      <c r="F43" s="266" t="str">
        <f>IF('19'!F43="","",'19'!F43)</f>
        <v/>
      </c>
      <c r="G43" s="17" t="str">
        <f>IF('19'!G43="","",'19'!G43)</f>
        <v/>
      </c>
    </row>
    <row r="44" spans="1:7" ht="23.1" customHeight="1">
      <c r="A44" s="16" t="str">
        <f>IF('19'!A44="","",'19'!A44)</f>
        <v/>
      </c>
      <c r="B44" s="16">
        <f>IF('19'!B44="","",'19'!B44)</f>
        <v>31</v>
      </c>
      <c r="C44" s="17" t="str">
        <f>IF('19'!C44="","",'19'!C44)</f>
        <v/>
      </c>
      <c r="D44" s="266" t="str">
        <f>IF('19'!D44="","",'19'!D44)</f>
        <v/>
      </c>
      <c r="E44" s="17" t="str">
        <f>IF('19'!E44="","",'19'!E44)</f>
        <v/>
      </c>
      <c r="F44" s="266" t="str">
        <f>IF('19'!F44="","",'19'!F44)</f>
        <v/>
      </c>
      <c r="G44" s="17" t="str">
        <f>IF('19'!G44="","",'19'!G44)</f>
        <v/>
      </c>
    </row>
    <row r="45" spans="1:7" ht="23.1" customHeight="1">
      <c r="A45" s="16" t="str">
        <f>IF('19'!A45="","",'19'!A45)</f>
        <v/>
      </c>
      <c r="B45" s="16">
        <f>IF('19'!B45="","",'19'!B45)</f>
        <v>32</v>
      </c>
      <c r="C45" s="17" t="str">
        <f>IF('19'!C45="","",'19'!C45)</f>
        <v/>
      </c>
      <c r="D45" s="266" t="str">
        <f>IF('19'!D45="","",'19'!D45)</f>
        <v/>
      </c>
      <c r="E45" s="17" t="str">
        <f>IF('19'!E45="","",'19'!E45)</f>
        <v/>
      </c>
      <c r="F45" s="266" t="str">
        <f>IF('19'!F45="","",'19'!F45)</f>
        <v/>
      </c>
      <c r="G45" s="17" t="str">
        <f>IF('19'!G45="","",'19'!G45)</f>
        <v/>
      </c>
    </row>
    <row r="46" spans="1:7" ht="23.1" customHeight="1">
      <c r="A46" s="16" t="str">
        <f>IF('19'!A46="","",'19'!A46)</f>
        <v/>
      </c>
      <c r="B46" s="16">
        <f>IF('19'!B46="","",'19'!B46)</f>
        <v>33</v>
      </c>
      <c r="C46" s="17" t="str">
        <f>IF('19'!C46="","",'19'!C46)</f>
        <v/>
      </c>
      <c r="D46" s="266" t="str">
        <f>IF('19'!D46="","",'19'!D46)</f>
        <v/>
      </c>
      <c r="E46" s="17" t="str">
        <f>IF('19'!E46="","",'19'!E46)</f>
        <v/>
      </c>
      <c r="F46" s="266" t="str">
        <f>IF('19'!F46="","",'19'!F46)</f>
        <v/>
      </c>
      <c r="G46" s="17" t="str">
        <f>IF('19'!G46="","",'19'!G46)</f>
        <v/>
      </c>
    </row>
    <row r="47" spans="1:7" ht="23.1" customHeight="1">
      <c r="A47" s="16" t="str">
        <f>IF('19'!A47="","",'19'!A47)</f>
        <v/>
      </c>
      <c r="B47" s="16">
        <f>IF('19'!B47="","",'19'!B47)</f>
        <v>34</v>
      </c>
      <c r="C47" s="17" t="str">
        <f>IF('19'!C47="","",'19'!C47)</f>
        <v/>
      </c>
      <c r="D47" s="266" t="str">
        <f>IF('19'!D47="","",'19'!D47)</f>
        <v/>
      </c>
      <c r="E47" s="17" t="str">
        <f>IF('19'!E47="","",'19'!E47)</f>
        <v/>
      </c>
      <c r="F47" s="266" t="str">
        <f>IF('19'!F47="","",'19'!F47)</f>
        <v/>
      </c>
      <c r="G47" s="17" t="str">
        <f>IF('19'!G47="","",'19'!G47)</f>
        <v/>
      </c>
    </row>
    <row r="48" spans="1:7" ht="23.1" customHeight="1">
      <c r="A48" s="16" t="str">
        <f>IF('19'!A48="","",'19'!A48)</f>
        <v/>
      </c>
      <c r="B48" s="16">
        <f>IF('19'!B48="","",'19'!B48)</f>
        <v>35</v>
      </c>
      <c r="C48" s="17" t="str">
        <f>IF('19'!C48="","",'19'!C48)</f>
        <v/>
      </c>
      <c r="D48" s="266" t="str">
        <f>IF('19'!D48="","",'19'!D48)</f>
        <v/>
      </c>
      <c r="E48" s="17" t="str">
        <f>IF('19'!E48="","",'19'!E48)</f>
        <v/>
      </c>
      <c r="F48" s="266" t="str">
        <f>IF('19'!F48="","",'19'!F48)</f>
        <v/>
      </c>
      <c r="G48" s="17" t="str">
        <f>IF('19'!G48="","",'19'!G48)</f>
        <v/>
      </c>
    </row>
    <row r="49" spans="1:7" ht="23.1" customHeight="1">
      <c r="A49" s="16" t="str">
        <f>IF('19'!A49="","",'19'!A49)</f>
        <v/>
      </c>
      <c r="B49" s="16">
        <f>IF('19'!B49="","",'19'!B49)</f>
        <v>36</v>
      </c>
      <c r="C49" s="17" t="str">
        <f>IF('19'!C49="","",'19'!C49)</f>
        <v/>
      </c>
      <c r="D49" s="266" t="str">
        <f>IF('19'!D49="","",'19'!D49)</f>
        <v/>
      </c>
      <c r="E49" s="17" t="str">
        <f>IF('19'!E49="","",'19'!E49)</f>
        <v/>
      </c>
      <c r="F49" s="266" t="str">
        <f>IF('19'!F49="","",'19'!F49)</f>
        <v/>
      </c>
      <c r="G49" s="17" t="str">
        <f>IF('19'!G49="","",'19'!G49)</f>
        <v/>
      </c>
    </row>
    <row r="50" spans="1:7" ht="23.1" customHeight="1">
      <c r="A50" s="16" t="str">
        <f>IF('19'!A50="","",'19'!A50)</f>
        <v/>
      </c>
      <c r="B50" s="16">
        <f>IF('19'!B50="","",'19'!B50)</f>
        <v>37</v>
      </c>
      <c r="C50" s="17" t="str">
        <f>IF('19'!C50="","",'19'!C50)</f>
        <v/>
      </c>
      <c r="D50" s="266" t="str">
        <f>IF('19'!D50="","",'19'!D50)</f>
        <v/>
      </c>
      <c r="E50" s="17" t="str">
        <f>IF('19'!E50="","",'19'!E50)</f>
        <v/>
      </c>
      <c r="F50" s="266" t="str">
        <f>IF('19'!F50="","",'19'!F50)</f>
        <v/>
      </c>
      <c r="G50" s="17" t="str">
        <f>IF('19'!G50="","",'19'!G50)</f>
        <v/>
      </c>
    </row>
    <row r="51" spans="1:7" ht="23.1" customHeight="1">
      <c r="A51" s="16" t="str">
        <f>IF('19'!A51="","",'19'!A51)</f>
        <v/>
      </c>
      <c r="B51" s="16">
        <f>IF('19'!B51="","",'19'!B51)</f>
        <v>38</v>
      </c>
      <c r="C51" s="17" t="str">
        <f>IF('19'!C51="","",'19'!C51)</f>
        <v/>
      </c>
      <c r="D51" s="266" t="str">
        <f>IF('19'!D51="","",'19'!D51)</f>
        <v/>
      </c>
      <c r="E51" s="17" t="str">
        <f>IF('19'!E51="","",'19'!E51)</f>
        <v/>
      </c>
      <c r="F51" s="266" t="str">
        <f>IF('19'!F51="","",'19'!F51)</f>
        <v/>
      </c>
      <c r="G51" s="17" t="str">
        <f>IF('19'!G51="","",'19'!G51)</f>
        <v/>
      </c>
    </row>
    <row r="52" spans="1:7" ht="23.1" customHeight="1">
      <c r="A52" s="16" t="str">
        <f>IF('19'!A52="","",'19'!A52)</f>
        <v/>
      </c>
      <c r="B52" s="16">
        <f>IF('19'!B52="","",'19'!B52)</f>
        <v>39</v>
      </c>
      <c r="C52" s="17" t="str">
        <f>IF('19'!C52="","",'19'!C52)</f>
        <v/>
      </c>
      <c r="D52" s="266" t="str">
        <f>IF('19'!D52="","",'19'!D52)</f>
        <v/>
      </c>
      <c r="E52" s="17" t="str">
        <f>IF('19'!E52="","",'19'!E52)</f>
        <v/>
      </c>
      <c r="F52" s="266" t="str">
        <f>IF('19'!F52="","",'19'!F52)</f>
        <v/>
      </c>
      <c r="G52" s="17" t="str">
        <f>IF('19'!G52="","",'19'!G52)</f>
        <v/>
      </c>
    </row>
    <row r="53" spans="1:7" ht="23.1" customHeight="1">
      <c r="A53" s="16" t="str">
        <f>IF('19'!A53="","",'19'!A53)</f>
        <v/>
      </c>
      <c r="B53" s="16">
        <f>IF('19'!B53="","",'19'!B53)</f>
        <v>40</v>
      </c>
      <c r="C53" s="17" t="str">
        <f>IF('19'!C53="","",'19'!C53)</f>
        <v/>
      </c>
      <c r="D53" s="266" t="str">
        <f>IF('19'!D53="","",'19'!D53)</f>
        <v/>
      </c>
      <c r="E53" s="17" t="str">
        <f>IF('19'!E53="","",'19'!E53)</f>
        <v/>
      </c>
      <c r="F53" s="266" t="str">
        <f>IF('19'!F53="","",'19'!F53)</f>
        <v/>
      </c>
      <c r="G53" s="17" t="str">
        <f>IF('19'!G53="","",'19'!G53)</f>
        <v/>
      </c>
    </row>
    <row r="54" spans="1:7" ht="23.1" customHeight="1">
      <c r="A54" s="16" t="str">
        <f>IF('19'!A54="","",'19'!A54)</f>
        <v/>
      </c>
      <c r="B54" s="16">
        <f>IF('19'!B54="","",'19'!B54)</f>
        <v>41</v>
      </c>
      <c r="C54" s="17" t="str">
        <f>IF('19'!C54="","",'19'!C54)</f>
        <v/>
      </c>
      <c r="D54" s="266" t="str">
        <f>IF('19'!D54="","",'19'!D54)</f>
        <v/>
      </c>
      <c r="E54" s="17" t="str">
        <f>IF('19'!E54="","",'19'!E54)</f>
        <v/>
      </c>
      <c r="F54" s="266" t="str">
        <f>IF('19'!F54="","",'19'!F54)</f>
        <v/>
      </c>
      <c r="G54" s="17" t="str">
        <f>IF('19'!G54="","",'19'!G54)</f>
        <v/>
      </c>
    </row>
    <row r="55" spans="1:7" ht="23.1" customHeight="1">
      <c r="A55" s="16" t="str">
        <f>IF('19'!A55="","",'19'!A55)</f>
        <v/>
      </c>
      <c r="B55" s="16">
        <f>IF('19'!B55="","",'19'!B55)</f>
        <v>42</v>
      </c>
      <c r="C55" s="17" t="str">
        <f>IF('19'!C55="","",'19'!C55)</f>
        <v/>
      </c>
      <c r="D55" s="266" t="str">
        <f>IF('19'!D55="","",'19'!D55)</f>
        <v/>
      </c>
      <c r="E55" s="17" t="str">
        <f>IF('19'!E55="","",'19'!E55)</f>
        <v/>
      </c>
      <c r="F55" s="266" t="str">
        <f>IF('19'!F55="","",'19'!F55)</f>
        <v/>
      </c>
      <c r="G55" s="17" t="str">
        <f>IF('19'!G55="","",'19'!G55)</f>
        <v/>
      </c>
    </row>
    <row r="56" spans="1:7" ht="23.1" customHeight="1">
      <c r="A56" s="16" t="str">
        <f>IF('19'!A56="","",'19'!A56)</f>
        <v/>
      </c>
      <c r="B56" s="16">
        <f>IF('19'!B56="","",'19'!B56)</f>
        <v>43</v>
      </c>
      <c r="C56" s="17" t="str">
        <f>IF('19'!C56="","",'19'!C56)</f>
        <v/>
      </c>
      <c r="D56" s="266" t="str">
        <f>IF('19'!D56="","",'19'!D56)</f>
        <v/>
      </c>
      <c r="E56" s="17" t="str">
        <f>IF('19'!E56="","",'19'!E56)</f>
        <v/>
      </c>
      <c r="F56" s="266" t="str">
        <f>IF('19'!F56="","",'19'!F56)</f>
        <v/>
      </c>
      <c r="G56" s="17" t="str">
        <f>IF('19'!G56="","",'19'!G56)</f>
        <v/>
      </c>
    </row>
    <row r="57" spans="1:7" ht="23.1" customHeight="1">
      <c r="A57" s="16" t="str">
        <f>IF('19'!A57="","",'19'!A57)</f>
        <v/>
      </c>
      <c r="B57" s="16">
        <f>IF('19'!B57="","",'19'!B57)</f>
        <v>44</v>
      </c>
      <c r="C57" s="17" t="str">
        <f>IF('19'!C57="","",'19'!C57)</f>
        <v/>
      </c>
      <c r="D57" s="266" t="str">
        <f>IF('19'!D57="","",'19'!D57)</f>
        <v/>
      </c>
      <c r="E57" s="17" t="str">
        <f>IF('19'!E57="","",'19'!E57)</f>
        <v/>
      </c>
      <c r="F57" s="266" t="str">
        <f>IF('19'!F57="","",'19'!F57)</f>
        <v/>
      </c>
      <c r="G57" s="17" t="str">
        <f>IF('19'!G57="","",'19'!G57)</f>
        <v/>
      </c>
    </row>
    <row r="58" spans="1:7" ht="23.1" customHeight="1">
      <c r="A58" s="16" t="str">
        <f>IF('19'!A58="","",'19'!A58)</f>
        <v/>
      </c>
      <c r="B58" s="16">
        <f>IF('19'!B58="","",'19'!B58)</f>
        <v>45</v>
      </c>
      <c r="C58" s="17" t="str">
        <f>IF('19'!C58="","",'19'!C58)</f>
        <v/>
      </c>
      <c r="D58" s="266" t="str">
        <f>IF('19'!D58="","",'19'!D58)</f>
        <v/>
      </c>
      <c r="E58" s="17" t="str">
        <f>IF('19'!E58="","",'19'!E58)</f>
        <v/>
      </c>
      <c r="F58" s="266" t="str">
        <f>IF('19'!F58="","",'19'!F58)</f>
        <v/>
      </c>
      <c r="G58" s="17" t="str">
        <f>IF('19'!G58="","",'19'!G58)</f>
        <v/>
      </c>
    </row>
    <row r="59" spans="1:7" ht="23.1" customHeight="1">
      <c r="A59" s="16" t="str">
        <f>IF('19'!A59="","",'19'!A59)</f>
        <v/>
      </c>
      <c r="B59" s="16">
        <f>IF('19'!B59="","",'19'!B59)</f>
        <v>46</v>
      </c>
      <c r="C59" s="17" t="str">
        <f>IF('19'!C59="","",'19'!C59)</f>
        <v/>
      </c>
      <c r="D59" s="266" t="str">
        <f>IF('19'!D59="","",'19'!D59)</f>
        <v/>
      </c>
      <c r="E59" s="17" t="str">
        <f>IF('19'!E59="","",'19'!E59)</f>
        <v/>
      </c>
      <c r="F59" s="266" t="str">
        <f>IF('19'!F59="","",'19'!F59)</f>
        <v/>
      </c>
      <c r="G59" s="17" t="str">
        <f>IF('19'!G59="","",'19'!G59)</f>
        <v/>
      </c>
    </row>
    <row r="60" spans="1:7" ht="23.1" customHeight="1">
      <c r="A60" s="16" t="str">
        <f>IF('19'!A60="","",'19'!A60)</f>
        <v/>
      </c>
      <c r="B60" s="16">
        <f>IF('19'!B60="","",'19'!B60)</f>
        <v>47</v>
      </c>
      <c r="C60" s="17" t="str">
        <f>IF('19'!C60="","",'19'!C60)</f>
        <v/>
      </c>
      <c r="D60" s="266" t="str">
        <f>IF('19'!D60="","",'19'!D60)</f>
        <v/>
      </c>
      <c r="E60" s="17" t="str">
        <f>IF('19'!E60="","",'19'!E60)</f>
        <v/>
      </c>
      <c r="F60" s="266" t="str">
        <f>IF('19'!F60="","",'19'!F60)</f>
        <v/>
      </c>
      <c r="G60" s="17" t="str">
        <f>IF('19'!G60="","",'19'!G60)</f>
        <v/>
      </c>
    </row>
    <row r="61" spans="1:7" ht="23.1" customHeight="1">
      <c r="A61" s="16" t="str">
        <f>IF('19'!A61="","",'19'!A61)</f>
        <v/>
      </c>
      <c r="B61" s="16">
        <f>IF('19'!B61="","",'19'!B61)</f>
        <v>48</v>
      </c>
      <c r="C61" s="17" t="str">
        <f>IF('19'!C61="","",'19'!C61)</f>
        <v/>
      </c>
      <c r="D61" s="266" t="str">
        <f>IF('19'!D61="","",'19'!D61)</f>
        <v/>
      </c>
      <c r="E61" s="17" t="str">
        <f>IF('19'!E61="","",'19'!E61)</f>
        <v/>
      </c>
      <c r="F61" s="266" t="str">
        <f>IF('19'!F61="","",'19'!F61)</f>
        <v/>
      </c>
      <c r="G61" s="17" t="str">
        <f>IF('19'!G61="","",'19'!G61)</f>
        <v/>
      </c>
    </row>
    <row r="62" spans="1:7" ht="23.1" customHeight="1">
      <c r="A62" s="16" t="str">
        <f>IF('19'!A62="","",'19'!A62)</f>
        <v/>
      </c>
      <c r="B62" s="16">
        <f>IF('19'!B62="","",'19'!B62)</f>
        <v>49</v>
      </c>
      <c r="C62" s="17" t="str">
        <f>IF('19'!C62="","",'19'!C62)</f>
        <v/>
      </c>
      <c r="D62" s="266" t="str">
        <f>IF('19'!D62="","",'19'!D62)</f>
        <v/>
      </c>
      <c r="E62" s="17" t="str">
        <f>IF('19'!E62="","",'19'!E62)</f>
        <v/>
      </c>
      <c r="F62" s="266" t="str">
        <f>IF('19'!F62="","",'19'!F62)</f>
        <v/>
      </c>
      <c r="G62" s="17" t="str">
        <f>IF('19'!G62="","",'19'!G62)</f>
        <v/>
      </c>
    </row>
    <row r="63" spans="1:7" ht="23.1" customHeight="1">
      <c r="A63" s="16" t="str">
        <f>IF('19'!A63="","",'19'!A63)</f>
        <v/>
      </c>
      <c r="B63" s="16">
        <f>IF('19'!B63="","",'19'!B63)</f>
        <v>50</v>
      </c>
      <c r="C63" s="17" t="str">
        <f>IF('19'!C63="","",'19'!C63)</f>
        <v/>
      </c>
      <c r="D63" s="266" t="str">
        <f>IF('19'!D63="","",'19'!D63)</f>
        <v/>
      </c>
      <c r="E63" s="17" t="str">
        <f>IF('19'!E63="","",'19'!E63)</f>
        <v/>
      </c>
      <c r="F63" s="266" t="str">
        <f>IF('19'!F63="","",'19'!F63)</f>
        <v/>
      </c>
      <c r="G63" s="17" t="str">
        <f>IF('19'!G63="","",'19'!G63)</f>
        <v/>
      </c>
    </row>
    <row r="64" spans="1:7" ht="23.1" customHeight="1">
      <c r="A64" s="16" t="str">
        <f>IF('19'!A64="","",'19'!A64)</f>
        <v/>
      </c>
      <c r="B64" s="16">
        <f>IF('19'!B64="","",'19'!B64)</f>
        <v>51</v>
      </c>
      <c r="C64" s="17" t="str">
        <f>IF('19'!C64="","",'19'!C64)</f>
        <v/>
      </c>
      <c r="D64" s="266" t="str">
        <f>IF('19'!D64="","",'19'!D64)</f>
        <v/>
      </c>
      <c r="E64" s="17" t="str">
        <f>IF('19'!E64="","",'19'!E64)</f>
        <v/>
      </c>
      <c r="F64" s="266" t="str">
        <f>IF('19'!F64="","",'19'!F64)</f>
        <v/>
      </c>
      <c r="G64" s="17" t="str">
        <f>IF('19'!G64="","",'19'!G64)</f>
        <v/>
      </c>
    </row>
    <row r="65" spans="1:7" ht="23.1" customHeight="1">
      <c r="A65" s="16" t="str">
        <f>IF('19'!A65="","",'19'!A65)</f>
        <v/>
      </c>
      <c r="B65" s="16">
        <f>IF('19'!B65="","",'19'!B65)</f>
        <v>52</v>
      </c>
      <c r="C65" s="17" t="str">
        <f>IF('19'!C65="","",'19'!C65)</f>
        <v/>
      </c>
      <c r="D65" s="266" t="str">
        <f>IF('19'!D65="","",'19'!D65)</f>
        <v/>
      </c>
      <c r="E65" s="17" t="str">
        <f>IF('19'!E65="","",'19'!E65)</f>
        <v/>
      </c>
      <c r="F65" s="266" t="str">
        <f>IF('19'!F65="","",'19'!F65)</f>
        <v/>
      </c>
      <c r="G65" s="17" t="str">
        <f>IF('19'!G65="","",'19'!G65)</f>
        <v/>
      </c>
    </row>
    <row r="66" spans="1:7" ht="23.1" customHeight="1">
      <c r="A66" s="16" t="str">
        <f>IF('19'!A66="","",'19'!A66)</f>
        <v/>
      </c>
      <c r="B66" s="16">
        <f>IF('19'!B66="","",'19'!B66)</f>
        <v>53</v>
      </c>
      <c r="C66" s="17" t="str">
        <f>IF('19'!C66="","",'19'!C66)</f>
        <v/>
      </c>
      <c r="D66" s="266" t="str">
        <f>IF('19'!D66="","",'19'!D66)</f>
        <v/>
      </c>
      <c r="E66" s="17" t="str">
        <f>IF('19'!E66="","",'19'!E66)</f>
        <v/>
      </c>
      <c r="F66" s="266" t="str">
        <f>IF('19'!F66="","",'19'!F66)</f>
        <v/>
      </c>
      <c r="G66" s="17" t="str">
        <f>IF('19'!G66="","",'19'!G66)</f>
        <v/>
      </c>
    </row>
    <row r="67" spans="1:7" ht="23.1" customHeight="1">
      <c r="A67" s="16" t="str">
        <f>IF('19'!A67="","",'19'!A67)</f>
        <v/>
      </c>
      <c r="B67" s="16">
        <f>IF('19'!B67="","",'19'!B67)</f>
        <v>54</v>
      </c>
      <c r="C67" s="17" t="str">
        <f>IF('19'!C67="","",'19'!C67)</f>
        <v/>
      </c>
      <c r="D67" s="266" t="str">
        <f>IF('19'!D67="","",'19'!D67)</f>
        <v/>
      </c>
      <c r="E67" s="17" t="str">
        <f>IF('19'!E67="","",'19'!E67)</f>
        <v/>
      </c>
      <c r="F67" s="266" t="str">
        <f>IF('19'!F67="","",'19'!F67)</f>
        <v/>
      </c>
      <c r="G67" s="17" t="str">
        <f>IF('19'!G67="","",'19'!G67)</f>
        <v/>
      </c>
    </row>
    <row r="68" spans="1:7" ht="23.1" customHeight="1">
      <c r="A68" s="16" t="str">
        <f>IF('19'!A68="","",'19'!A68)</f>
        <v/>
      </c>
      <c r="B68" s="16">
        <f>IF('19'!B68="","",'19'!B68)</f>
        <v>55</v>
      </c>
      <c r="C68" s="17" t="str">
        <f>IF('19'!C68="","",'19'!C68)</f>
        <v/>
      </c>
      <c r="D68" s="266" t="str">
        <f>IF('19'!D68="","",'19'!D68)</f>
        <v/>
      </c>
      <c r="E68" s="17" t="str">
        <f>IF('19'!E68="","",'19'!E68)</f>
        <v/>
      </c>
      <c r="F68" s="266" t="str">
        <f>IF('19'!F68="","",'19'!F68)</f>
        <v/>
      </c>
      <c r="G68" s="17" t="str">
        <f>IF('19'!G68="","",'19'!G68)</f>
        <v/>
      </c>
    </row>
    <row r="69" spans="1:7" ht="23.1" customHeight="1">
      <c r="A69" s="16" t="str">
        <f>IF('19'!A69="","",'19'!A69)</f>
        <v/>
      </c>
      <c r="B69" s="16">
        <f>IF('19'!B69="","",'19'!B69)</f>
        <v>56</v>
      </c>
      <c r="C69" s="17" t="str">
        <f>IF('19'!C69="","",'19'!C69)</f>
        <v/>
      </c>
      <c r="D69" s="266" t="str">
        <f>IF('19'!D69="","",'19'!D69)</f>
        <v/>
      </c>
      <c r="E69" s="17" t="str">
        <f>IF('19'!E69="","",'19'!E69)</f>
        <v/>
      </c>
      <c r="F69" s="266" t="str">
        <f>IF('19'!F69="","",'19'!F69)</f>
        <v/>
      </c>
      <c r="G69" s="17" t="str">
        <f>IF('19'!G69="","",'19'!G69)</f>
        <v/>
      </c>
    </row>
    <row r="70" spans="1:7" ht="23.1" customHeight="1">
      <c r="A70" s="16" t="str">
        <f>IF('19'!A70="","",'19'!A70)</f>
        <v/>
      </c>
      <c r="B70" s="16">
        <f>IF('19'!B70="","",'19'!B70)</f>
        <v>57</v>
      </c>
      <c r="C70" s="17" t="str">
        <f>IF('19'!C70="","",'19'!C70)</f>
        <v/>
      </c>
      <c r="D70" s="266" t="str">
        <f>IF('19'!D70="","",'19'!D70)</f>
        <v/>
      </c>
      <c r="E70" s="17" t="str">
        <f>IF('19'!E70="","",'19'!E70)</f>
        <v/>
      </c>
      <c r="F70" s="266" t="str">
        <f>IF('19'!F70="","",'19'!F70)</f>
        <v/>
      </c>
      <c r="G70" s="17" t="str">
        <f>IF('19'!G70="","",'19'!G70)</f>
        <v/>
      </c>
    </row>
    <row r="71" spans="1:7" ht="23.1" customHeight="1">
      <c r="A71" s="16" t="str">
        <f>IF('19'!A71="","",'19'!A71)</f>
        <v/>
      </c>
      <c r="B71" s="16">
        <f>IF('19'!B71="","",'19'!B71)</f>
        <v>58</v>
      </c>
      <c r="C71" s="17" t="str">
        <f>IF('19'!C71="","",'19'!C71)</f>
        <v/>
      </c>
      <c r="D71" s="266" t="str">
        <f>IF('19'!D71="","",'19'!D71)</f>
        <v/>
      </c>
      <c r="E71" s="17" t="str">
        <f>IF('19'!E71="","",'19'!E71)</f>
        <v/>
      </c>
      <c r="F71" s="266" t="str">
        <f>IF('19'!F71="","",'19'!F71)</f>
        <v/>
      </c>
      <c r="G71" s="17" t="str">
        <f>IF('19'!G71="","",'19'!G71)</f>
        <v/>
      </c>
    </row>
    <row r="72" spans="1:7" ht="23.1" customHeight="1">
      <c r="A72" s="16" t="str">
        <f>IF('19'!A72="","",'19'!A72)</f>
        <v/>
      </c>
      <c r="B72" s="16">
        <f>IF('19'!B72="","",'19'!B72)</f>
        <v>59</v>
      </c>
      <c r="C72" s="17" t="str">
        <f>IF('19'!C72="","",'19'!C72)</f>
        <v/>
      </c>
      <c r="D72" s="266" t="str">
        <f>IF('19'!D72="","",'19'!D72)</f>
        <v/>
      </c>
      <c r="E72" s="17" t="str">
        <f>IF('19'!E72="","",'19'!E72)</f>
        <v/>
      </c>
      <c r="F72" s="266" t="str">
        <f>IF('19'!F72="","",'19'!F72)</f>
        <v/>
      </c>
      <c r="G72" s="17" t="str">
        <f>IF('19'!G72="","",'19'!G72)</f>
        <v/>
      </c>
    </row>
    <row r="73" spans="1:7" ht="23.1" customHeight="1">
      <c r="A73" s="16" t="str">
        <f>IF('19'!A73="","",'19'!A73)</f>
        <v/>
      </c>
      <c r="B73" s="16">
        <f>IF('19'!B73="","",'19'!B73)</f>
        <v>60</v>
      </c>
      <c r="C73" s="17" t="str">
        <f>IF('19'!C73="","",'19'!C73)</f>
        <v/>
      </c>
      <c r="D73" s="266" t="str">
        <f>IF('19'!D73="","",'19'!D73)</f>
        <v/>
      </c>
      <c r="E73" s="17" t="str">
        <f>IF('19'!E73="","",'19'!E73)</f>
        <v/>
      </c>
      <c r="F73" s="266" t="str">
        <f>IF('19'!F73="","",'19'!F73)</f>
        <v/>
      </c>
      <c r="G73" s="17" t="str">
        <f>IF('19'!G73="","",'19'!G73)</f>
        <v/>
      </c>
    </row>
  </sheetData>
  <dataConsolidate link="1"/>
  <mergeCells count="6">
    <mergeCell ref="G12:G13"/>
    <mergeCell ref="D8:F8"/>
    <mergeCell ref="A12:A13"/>
    <mergeCell ref="B12:B13"/>
    <mergeCell ref="C12:D12"/>
    <mergeCell ref="E12:F12"/>
  </mergeCells>
  <phoneticPr fontId="10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horizontalDpi="4294967293" verticalDpi="4294967292" r:id="rId1"/>
  <headerFooter alignWithMargins="0">
    <oddHeader>&amp;R&amp;P/&amp;N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D28EA-A812-4879-8D65-5517290150A1}">
  <sheetPr codeName="Sheet17">
    <tabColor rgb="FF0070C0"/>
  </sheetPr>
  <dimension ref="A4:J16"/>
  <sheetViews>
    <sheetView view="pageBreakPreview" zoomScale="60" zoomScaleNormal="100" workbookViewId="0">
      <selection activeCell="D14" sqref="D14:E14"/>
    </sheetView>
  </sheetViews>
  <sheetFormatPr defaultColWidth="8.88671875" defaultRowHeight="30" customHeight="1"/>
  <cols>
    <col min="1" max="1" width="8.88671875" style="96"/>
    <col min="2" max="3" width="8.88671875" style="95"/>
    <col min="4" max="4" width="13.6640625" style="99" customWidth="1"/>
    <col min="5" max="5" width="13.33203125" style="95" bestFit="1" customWidth="1"/>
    <col min="6" max="16384" width="8.88671875" style="95"/>
  </cols>
  <sheetData>
    <row r="4" spans="1:10" ht="30" customHeight="1">
      <c r="A4" s="356" t="str">
        <f>'20_中Ａ'!C7</f>
        <v>2026 Fuji Horse Show Autumn Grand Prix</v>
      </c>
      <c r="B4" s="356"/>
      <c r="C4" s="356"/>
      <c r="D4" s="356"/>
      <c r="E4" s="356"/>
      <c r="F4" s="356"/>
      <c r="G4" s="356"/>
      <c r="H4" s="356"/>
      <c r="I4" s="356"/>
      <c r="J4" s="356"/>
    </row>
    <row r="6" spans="1:10" ht="30" customHeight="1">
      <c r="A6" s="96" t="s">
        <v>42</v>
      </c>
      <c r="B6" s="97">
        <f>'20_中Ａ'!B8</f>
        <v>20</v>
      </c>
      <c r="C6" s="95" t="s">
        <v>43</v>
      </c>
      <c r="D6" s="98" t="str">
        <f>'20_中Ａ'!D8:F8</f>
        <v>フジ中障害A飛越競技</v>
      </c>
    </row>
    <row r="8" spans="1:10" ht="30" customHeight="1">
      <c r="C8" s="95" t="s">
        <v>85</v>
      </c>
      <c r="E8" s="100">
        <v>0.68402777777777779</v>
      </c>
    </row>
    <row r="9" spans="1:10" ht="30" customHeight="1">
      <c r="C9" s="95" t="s">
        <v>86</v>
      </c>
      <c r="E9" s="100">
        <v>0.69444444444444442</v>
      </c>
      <c r="F9" s="95" t="s">
        <v>87</v>
      </c>
    </row>
    <row r="11" spans="1:10" ht="30" customHeight="1">
      <c r="B11" s="358" t="s">
        <v>94</v>
      </c>
      <c r="C11" s="358"/>
      <c r="D11" s="358"/>
      <c r="E11" s="358"/>
      <c r="F11" s="358"/>
      <c r="G11" s="358"/>
      <c r="H11" s="358"/>
      <c r="I11" s="358"/>
    </row>
    <row r="12" spans="1:10" ht="30" customHeight="1">
      <c r="D12" s="357"/>
      <c r="E12" s="357"/>
      <c r="F12" s="99"/>
      <c r="G12" s="99"/>
    </row>
    <row r="13" spans="1:10" ht="30" customHeight="1">
      <c r="D13" s="357"/>
      <c r="E13" s="357"/>
      <c r="F13" s="99"/>
      <c r="G13" s="99"/>
    </row>
    <row r="14" spans="1:10" ht="30" customHeight="1">
      <c r="D14" s="357"/>
      <c r="E14" s="357"/>
      <c r="G14" s="99"/>
    </row>
    <row r="15" spans="1:10" ht="30" customHeight="1">
      <c r="D15" s="357"/>
      <c r="E15" s="357"/>
      <c r="G15" s="99"/>
    </row>
    <row r="16" spans="1:10" ht="30" customHeight="1">
      <c r="D16" s="357"/>
      <c r="E16" s="357"/>
      <c r="F16" s="98"/>
      <c r="G16" s="98"/>
    </row>
  </sheetData>
  <mergeCells count="7">
    <mergeCell ref="D16:E16"/>
    <mergeCell ref="A4:J4"/>
    <mergeCell ref="D12:E12"/>
    <mergeCell ref="D13:E13"/>
    <mergeCell ref="D14:E14"/>
    <mergeCell ref="D15:E15"/>
    <mergeCell ref="B11:I11"/>
  </mergeCells>
  <phoneticPr fontId="10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8">
    <tabColor rgb="FF0070C0"/>
  </sheetPr>
  <dimension ref="A1:G73"/>
  <sheetViews>
    <sheetView view="pageBreakPreview" topLeftCell="A6" zoomScaleNormal="100" zoomScaleSheetLayoutView="100" workbookViewId="0">
      <selection activeCell="G17" sqref="G17"/>
    </sheetView>
  </sheetViews>
  <sheetFormatPr defaultColWidth="10.6640625" defaultRowHeight="10.8"/>
  <cols>
    <col min="1" max="2" width="6.6640625" style="1" customWidth="1"/>
    <col min="3" max="3" width="17.6640625" style="1" customWidth="1"/>
    <col min="4" max="4" width="7.88671875" style="1" customWidth="1"/>
    <col min="5" max="5" width="23.6640625" style="1" customWidth="1"/>
    <col min="6" max="6" width="7.88671875" style="1" customWidth="1"/>
    <col min="7" max="7" width="30.6640625" style="1" customWidth="1"/>
    <col min="8" max="16384" width="10.6640625" style="1"/>
  </cols>
  <sheetData>
    <row r="1" spans="1:7" hidden="1">
      <c r="C1" s="2"/>
    </row>
    <row r="2" spans="1:7" hidden="1">
      <c r="C2" s="2" t="s">
        <v>41</v>
      </c>
    </row>
    <row r="3" spans="1:7" hidden="1">
      <c r="C3" s="2"/>
    </row>
    <row r="4" spans="1:7" hidden="1"/>
    <row r="5" spans="1:7" hidden="1"/>
    <row r="6" spans="1:7" ht="20.100000000000001" customHeight="1">
      <c r="A6" s="3"/>
      <c r="B6" s="4" t="s">
        <v>1</v>
      </c>
      <c r="C6" s="5">
        <f>'20'!C2</f>
        <v>0</v>
      </c>
      <c r="D6" s="3"/>
      <c r="F6" s="4" t="s">
        <v>2</v>
      </c>
      <c r="G6" s="6">
        <v>46277</v>
      </c>
    </row>
    <row r="7" spans="1:7" ht="24" customHeight="1">
      <c r="A7" s="7"/>
      <c r="B7" s="4" t="s">
        <v>4</v>
      </c>
      <c r="C7" s="8" t="str">
        <f>'20'!C3</f>
        <v>2026 Fuji Horse Show Autumn Grand Prix</v>
      </c>
      <c r="D7" s="9"/>
      <c r="E7" s="9"/>
      <c r="F7" s="9"/>
      <c r="G7" s="345" t="s">
        <v>732</v>
      </c>
    </row>
    <row r="8" spans="1:7" ht="21" customHeight="1">
      <c r="A8" s="10" t="s">
        <v>42</v>
      </c>
      <c r="B8" s="68">
        <f>'20'!C4</f>
        <v>20</v>
      </c>
      <c r="C8" s="4" t="s">
        <v>43</v>
      </c>
      <c r="D8" s="349" t="str">
        <f>'20'!F4</f>
        <v>フジ中障害A飛越競技</v>
      </c>
      <c r="E8" s="349"/>
      <c r="F8" s="349"/>
    </row>
    <row r="9" spans="1:7" ht="18.75" customHeight="1">
      <c r="C9" s="11" t="s">
        <v>11</v>
      </c>
      <c r="D9" s="264">
        <f>'20'!D5</f>
        <v>8</v>
      </c>
      <c r="E9" s="4" t="s">
        <v>9</v>
      </c>
      <c r="F9" s="267" t="str">
        <f>'20'!K4</f>
        <v>中障害A</v>
      </c>
    </row>
    <row r="10" spans="1:7" ht="21" customHeight="1">
      <c r="A10" s="12" t="s">
        <v>44</v>
      </c>
      <c r="B10" s="12"/>
      <c r="C10" s="12"/>
      <c r="D10" s="265" t="str">
        <f>'20'!D6</f>
        <v>-</v>
      </c>
      <c r="E10" s="4" t="s">
        <v>12</v>
      </c>
      <c r="F10" s="268" t="str">
        <f>'20'!F5</f>
        <v>★★★</v>
      </c>
      <c r="G10" s="13" t="s">
        <v>45</v>
      </c>
    </row>
    <row r="11" spans="1:7" ht="5.0999999999999996" customHeight="1"/>
    <row r="12" spans="1:7" ht="15" customHeight="1">
      <c r="A12" s="350" t="s">
        <v>46</v>
      </c>
      <c r="B12" s="352" t="s">
        <v>47</v>
      </c>
      <c r="C12" s="354" t="s">
        <v>48</v>
      </c>
      <c r="D12" s="355"/>
      <c r="E12" s="347" t="s">
        <v>49</v>
      </c>
      <c r="F12" s="347"/>
      <c r="G12" s="347" t="s">
        <v>50</v>
      </c>
    </row>
    <row r="13" spans="1:7" ht="24" customHeight="1">
      <c r="A13" s="351"/>
      <c r="B13" s="353"/>
      <c r="C13" s="14" t="s">
        <v>53</v>
      </c>
      <c r="D13" s="15" t="s">
        <v>54</v>
      </c>
      <c r="E13" s="15" t="s">
        <v>55</v>
      </c>
      <c r="F13" s="15" t="s">
        <v>56</v>
      </c>
      <c r="G13" s="348"/>
    </row>
    <row r="14" spans="1:7" s="19" customFormat="1" ht="23.1" customHeight="1">
      <c r="A14" s="16" t="str">
        <f>IF('20'!A14="","",'20'!A14)</f>
        <v/>
      </c>
      <c r="B14" s="16">
        <f>IF('20'!B14="","",'20'!B14)</f>
        <v>1</v>
      </c>
      <c r="C14" s="17" t="str">
        <f>IF('20'!C14="","",'20'!C14)</f>
        <v>増山　誠倫</v>
      </c>
      <c r="D14" s="266">
        <f>IF('20'!D14="","",'20'!D14)</f>
        <v>8082</v>
      </c>
      <c r="E14" s="17" t="str">
        <f>IF('20'!E14="","",'20'!E14)</f>
        <v>廬山</v>
      </c>
      <c r="F14" s="266">
        <f>IF('20'!F14="","",'20'!F14)</f>
        <v>60750</v>
      </c>
      <c r="G14" s="17" t="str">
        <f>IF('20'!G14="","",'20'!G14)</f>
        <v>小山乗馬クラブ</v>
      </c>
    </row>
    <row r="15" spans="1:7" s="19" customFormat="1" ht="23.1" customHeight="1">
      <c r="A15" s="16" t="str">
        <f>IF('20'!A15="","",'20'!A15)</f>
        <v>WD</v>
      </c>
      <c r="B15" s="16">
        <f>IF('20'!B15="","",'20'!B15)</f>
        <v>2</v>
      </c>
      <c r="C15" s="17" t="str">
        <f>IF('20'!C15="","",'20'!C15)</f>
        <v>佃　日出彦</v>
      </c>
      <c r="D15" s="266">
        <f>IF('20'!D15="","",'20'!D15)</f>
        <v>5943</v>
      </c>
      <c r="E15" s="17" t="str">
        <f>IF('20'!E15="","",'20'!E15)</f>
        <v>富嶽</v>
      </c>
      <c r="F15" s="266">
        <f>IF('20'!F15="","",'20'!F15)</f>
        <v>59622</v>
      </c>
      <c r="G15" s="17" t="str">
        <f>IF('20'!G15="","",'20'!G15)</f>
        <v>乗馬クラブ　リバーサイドステーブル浜北</v>
      </c>
    </row>
    <row r="16" spans="1:7" s="19" customFormat="1" ht="23.1" customHeight="1">
      <c r="A16" s="16" t="str">
        <f>IF('20'!A16="","",'20'!A16)</f>
        <v/>
      </c>
      <c r="B16" s="16">
        <f>IF('20'!B16="","",'20'!B16)</f>
        <v>3</v>
      </c>
      <c r="C16" s="17" t="str">
        <f>IF('20'!C16="","",'20'!C16)</f>
        <v/>
      </c>
      <c r="D16" s="266" t="str">
        <f>IF('20'!D16="","",'20'!D16)</f>
        <v/>
      </c>
      <c r="E16" s="17" t="str">
        <f>IF('20'!E16="","",'20'!E16)</f>
        <v/>
      </c>
      <c r="F16" s="266" t="str">
        <f>IF('20'!F16="","",'20'!F16)</f>
        <v/>
      </c>
      <c r="G16" s="17" t="str">
        <f>IF('20'!G16="","",'20'!G16)</f>
        <v/>
      </c>
    </row>
    <row r="17" spans="1:7" s="19" customFormat="1" ht="23.1" customHeight="1">
      <c r="A17" s="16" t="str">
        <f>IF('20'!A17="","",'20'!A17)</f>
        <v/>
      </c>
      <c r="B17" s="16">
        <f>IF('20'!B17="","",'20'!B17)</f>
        <v>4</v>
      </c>
      <c r="C17" s="17" t="str">
        <f>IF('20'!C17="","",'20'!C17)</f>
        <v/>
      </c>
      <c r="D17" s="266" t="str">
        <f>IF('20'!D17="","",'20'!D17)</f>
        <v/>
      </c>
      <c r="E17" s="17" t="str">
        <f>IF('20'!E17="","",'20'!E17)</f>
        <v/>
      </c>
      <c r="F17" s="266" t="str">
        <f>IF('20'!F17="","",'20'!F17)</f>
        <v/>
      </c>
      <c r="G17" s="17" t="str">
        <f>IF('20'!G17="","",'20'!G17)</f>
        <v/>
      </c>
    </row>
    <row r="18" spans="1:7" s="19" customFormat="1" ht="23.1" customHeight="1">
      <c r="A18" s="16" t="str">
        <f>IF('20'!A18="","",'20'!A18)</f>
        <v/>
      </c>
      <c r="B18" s="16">
        <f>IF('20'!B18="","",'20'!B18)</f>
        <v>5</v>
      </c>
      <c r="C18" s="17" t="str">
        <f>IF('20'!C18="","",'20'!C18)</f>
        <v/>
      </c>
      <c r="D18" s="266" t="str">
        <f>IF('20'!D18="","",'20'!D18)</f>
        <v/>
      </c>
      <c r="E18" s="17" t="str">
        <f>IF('20'!E18="","",'20'!E18)</f>
        <v/>
      </c>
      <c r="F18" s="266" t="str">
        <f>IF('20'!F18="","",'20'!F18)</f>
        <v/>
      </c>
      <c r="G18" s="17" t="str">
        <f>IF('20'!G18="","",'20'!G18)</f>
        <v/>
      </c>
    </row>
    <row r="19" spans="1:7" s="19" customFormat="1" ht="23.1" customHeight="1">
      <c r="A19" s="16" t="str">
        <f>IF('20'!A19="","",'20'!A19)</f>
        <v/>
      </c>
      <c r="B19" s="16">
        <f>IF('20'!B19="","",'20'!B19)</f>
        <v>6</v>
      </c>
      <c r="C19" s="17" t="str">
        <f>IF('20'!C19="","",'20'!C19)</f>
        <v/>
      </c>
      <c r="D19" s="266" t="str">
        <f>IF('20'!D19="","",'20'!D19)</f>
        <v/>
      </c>
      <c r="E19" s="17" t="str">
        <f>IF('20'!E19="","",'20'!E19)</f>
        <v/>
      </c>
      <c r="F19" s="266" t="str">
        <f>IF('20'!F19="","",'20'!F19)</f>
        <v/>
      </c>
      <c r="G19" s="17" t="str">
        <f>IF('20'!G19="","",'20'!G19)</f>
        <v/>
      </c>
    </row>
    <row r="20" spans="1:7" s="19" customFormat="1" ht="23.1" customHeight="1">
      <c r="A20" s="16" t="str">
        <f>IF('20'!A20="","",'20'!A20)</f>
        <v/>
      </c>
      <c r="B20" s="16">
        <f>IF('20'!B20="","",'20'!B20)</f>
        <v>7</v>
      </c>
      <c r="C20" s="17" t="str">
        <f>IF('20'!C20="","",'20'!C20)</f>
        <v/>
      </c>
      <c r="D20" s="266" t="str">
        <f>IF('20'!D20="","",'20'!D20)</f>
        <v/>
      </c>
      <c r="E20" s="17" t="str">
        <f>IF('20'!E20="","",'20'!E20)</f>
        <v/>
      </c>
      <c r="F20" s="266" t="str">
        <f>IF('20'!F20="","",'20'!F20)</f>
        <v/>
      </c>
      <c r="G20" s="17" t="str">
        <f>IF('20'!G20="","",'20'!G20)</f>
        <v/>
      </c>
    </row>
    <row r="21" spans="1:7" s="19" customFormat="1" ht="23.1" customHeight="1">
      <c r="A21" s="16" t="str">
        <f>IF('20'!A21="","",'20'!A21)</f>
        <v/>
      </c>
      <c r="B21" s="16">
        <f>IF('20'!B21="","",'20'!B21)</f>
        <v>8</v>
      </c>
      <c r="C21" s="17" t="str">
        <f>IF('20'!C21="","",'20'!C21)</f>
        <v/>
      </c>
      <c r="D21" s="266" t="str">
        <f>IF('20'!D21="","",'20'!D21)</f>
        <v/>
      </c>
      <c r="E21" s="17" t="str">
        <f>IF('20'!E21="","",'20'!E21)</f>
        <v/>
      </c>
      <c r="F21" s="266" t="str">
        <f>IF('20'!F21="","",'20'!F21)</f>
        <v/>
      </c>
      <c r="G21" s="17" t="str">
        <f>IF('20'!G21="","",'20'!G21)</f>
        <v/>
      </c>
    </row>
    <row r="22" spans="1:7" s="19" customFormat="1" ht="23.1" customHeight="1">
      <c r="A22" s="16" t="str">
        <f>IF('20'!A22="","",'20'!A22)</f>
        <v/>
      </c>
      <c r="B22" s="16">
        <f>IF('20'!B22="","",'20'!B22)</f>
        <v>9</v>
      </c>
      <c r="C22" s="17" t="str">
        <f>IF('20'!C22="","",'20'!C22)</f>
        <v/>
      </c>
      <c r="D22" s="266" t="str">
        <f>IF('20'!D22="","",'20'!D22)</f>
        <v/>
      </c>
      <c r="E22" s="17" t="str">
        <f>IF('20'!E22="","",'20'!E22)</f>
        <v/>
      </c>
      <c r="F22" s="266" t="str">
        <f>IF('20'!F22="","",'20'!F22)</f>
        <v/>
      </c>
      <c r="G22" s="17" t="str">
        <f>IF('20'!G22="","",'20'!G22)</f>
        <v/>
      </c>
    </row>
    <row r="23" spans="1:7" s="19" customFormat="1" ht="23.1" customHeight="1">
      <c r="A23" s="16" t="str">
        <f>IF('20'!A23="","",'20'!A23)</f>
        <v/>
      </c>
      <c r="B23" s="16">
        <f>IF('20'!B23="","",'20'!B23)</f>
        <v>10</v>
      </c>
      <c r="C23" s="17" t="str">
        <f>IF('20'!C23="","",'20'!C23)</f>
        <v/>
      </c>
      <c r="D23" s="266" t="str">
        <f>IF('20'!D23="","",'20'!D23)</f>
        <v/>
      </c>
      <c r="E23" s="17" t="str">
        <f>IF('20'!E23="","",'20'!E23)</f>
        <v/>
      </c>
      <c r="F23" s="266" t="str">
        <f>IF('20'!F23="","",'20'!F23)</f>
        <v/>
      </c>
      <c r="G23" s="17" t="str">
        <f>IF('20'!G23="","",'20'!G23)</f>
        <v/>
      </c>
    </row>
    <row r="24" spans="1:7" s="19" customFormat="1" ht="23.1" customHeight="1">
      <c r="A24" s="16" t="str">
        <f>IF('20'!A24="","",'20'!A24)</f>
        <v/>
      </c>
      <c r="B24" s="16">
        <f>IF('20'!B24="","",'20'!B24)</f>
        <v>11</v>
      </c>
      <c r="C24" s="17" t="str">
        <f>IF('20'!C24="","",'20'!C24)</f>
        <v/>
      </c>
      <c r="D24" s="266" t="str">
        <f>IF('20'!D24="","",'20'!D24)</f>
        <v/>
      </c>
      <c r="E24" s="17" t="str">
        <f>IF('20'!E24="","",'20'!E24)</f>
        <v/>
      </c>
      <c r="F24" s="266" t="str">
        <f>IF('20'!F24="","",'20'!F24)</f>
        <v/>
      </c>
      <c r="G24" s="17" t="str">
        <f>IF('20'!G24="","",'20'!G24)</f>
        <v/>
      </c>
    </row>
    <row r="25" spans="1:7" s="19" customFormat="1" ht="23.1" customHeight="1">
      <c r="A25" s="16" t="str">
        <f>IF('20'!A25="","",'20'!A25)</f>
        <v/>
      </c>
      <c r="B25" s="16">
        <f>IF('20'!B25="","",'20'!B25)</f>
        <v>12</v>
      </c>
      <c r="C25" s="17" t="str">
        <f>IF('20'!C25="","",'20'!C25)</f>
        <v/>
      </c>
      <c r="D25" s="266" t="str">
        <f>IF('20'!D25="","",'20'!D25)</f>
        <v/>
      </c>
      <c r="E25" s="17" t="str">
        <f>IF('20'!E25="","",'20'!E25)</f>
        <v/>
      </c>
      <c r="F25" s="266" t="str">
        <f>IF('20'!F25="","",'20'!F25)</f>
        <v/>
      </c>
      <c r="G25" s="17" t="str">
        <f>IF('20'!G25="","",'20'!G25)</f>
        <v/>
      </c>
    </row>
    <row r="26" spans="1:7" s="19" customFormat="1" ht="23.1" customHeight="1">
      <c r="A26" s="16" t="str">
        <f>IF('20'!A26="","",'20'!A26)</f>
        <v/>
      </c>
      <c r="B26" s="16">
        <f>IF('20'!B26="","",'20'!B26)</f>
        <v>13</v>
      </c>
      <c r="C26" s="17" t="str">
        <f>IF('20'!C26="","",'20'!C26)</f>
        <v/>
      </c>
      <c r="D26" s="266" t="str">
        <f>IF('20'!D26="","",'20'!D26)</f>
        <v/>
      </c>
      <c r="E26" s="17" t="str">
        <f>IF('20'!E26="","",'20'!E26)</f>
        <v/>
      </c>
      <c r="F26" s="266" t="str">
        <f>IF('20'!F26="","",'20'!F26)</f>
        <v/>
      </c>
      <c r="G26" s="17" t="str">
        <f>IF('20'!G26="","",'20'!G26)</f>
        <v/>
      </c>
    </row>
    <row r="27" spans="1:7" s="19" customFormat="1" ht="23.1" customHeight="1">
      <c r="A27" s="16" t="str">
        <f>IF('20'!A27="","",'20'!A27)</f>
        <v/>
      </c>
      <c r="B27" s="16">
        <f>IF('20'!B27="","",'20'!B27)</f>
        <v>14</v>
      </c>
      <c r="C27" s="17" t="str">
        <f>IF('20'!C27="","",'20'!C27)</f>
        <v/>
      </c>
      <c r="D27" s="266" t="str">
        <f>IF('20'!D27="","",'20'!D27)</f>
        <v/>
      </c>
      <c r="E27" s="17" t="str">
        <f>IF('20'!E27="","",'20'!E27)</f>
        <v/>
      </c>
      <c r="F27" s="266" t="str">
        <f>IF('20'!F27="","",'20'!F27)</f>
        <v/>
      </c>
      <c r="G27" s="17" t="str">
        <f>IF('20'!G27="","",'20'!G27)</f>
        <v/>
      </c>
    </row>
    <row r="28" spans="1:7" s="19" customFormat="1" ht="23.1" customHeight="1">
      <c r="A28" s="16" t="str">
        <f>IF('20'!A28="","",'20'!A28)</f>
        <v/>
      </c>
      <c r="B28" s="16">
        <f>IF('20'!B28="","",'20'!B28)</f>
        <v>15</v>
      </c>
      <c r="C28" s="17" t="str">
        <f>IF('20'!C28="","",'20'!C28)</f>
        <v/>
      </c>
      <c r="D28" s="266" t="str">
        <f>IF('20'!D28="","",'20'!D28)</f>
        <v/>
      </c>
      <c r="E28" s="17" t="str">
        <f>IF('20'!E28="","",'20'!E28)</f>
        <v/>
      </c>
      <c r="F28" s="266" t="str">
        <f>IF('20'!F28="","",'20'!F28)</f>
        <v/>
      </c>
      <c r="G28" s="17" t="str">
        <f>IF('20'!G28="","",'20'!G28)</f>
        <v/>
      </c>
    </row>
    <row r="29" spans="1:7" s="19" customFormat="1" ht="23.1" customHeight="1">
      <c r="A29" s="16" t="str">
        <f>IF('20'!A29="","",'20'!A29)</f>
        <v/>
      </c>
      <c r="B29" s="16">
        <f>IF('20'!B29="","",'20'!B29)</f>
        <v>16</v>
      </c>
      <c r="C29" s="17" t="str">
        <f>IF('20'!C29="","",'20'!C29)</f>
        <v/>
      </c>
      <c r="D29" s="266" t="str">
        <f>IF('20'!D29="","",'20'!D29)</f>
        <v/>
      </c>
      <c r="E29" s="17" t="str">
        <f>IF('20'!E29="","",'20'!E29)</f>
        <v/>
      </c>
      <c r="F29" s="266" t="str">
        <f>IF('20'!F29="","",'20'!F29)</f>
        <v/>
      </c>
      <c r="G29" s="17" t="str">
        <f>IF('20'!G29="","",'20'!G29)</f>
        <v/>
      </c>
    </row>
    <row r="30" spans="1:7" s="19" customFormat="1" ht="23.1" customHeight="1">
      <c r="A30" s="16" t="str">
        <f>IF('20'!A30="","",'20'!A30)</f>
        <v/>
      </c>
      <c r="B30" s="16">
        <f>IF('20'!B30="","",'20'!B30)</f>
        <v>17</v>
      </c>
      <c r="C30" s="17" t="str">
        <f>IF('20'!C30="","",'20'!C30)</f>
        <v/>
      </c>
      <c r="D30" s="266" t="str">
        <f>IF('20'!D30="","",'20'!D30)</f>
        <v/>
      </c>
      <c r="E30" s="17" t="str">
        <f>IF('20'!E30="","",'20'!E30)</f>
        <v/>
      </c>
      <c r="F30" s="266" t="str">
        <f>IF('20'!F30="","",'20'!F30)</f>
        <v/>
      </c>
      <c r="G30" s="17" t="str">
        <f>IF('20'!G30="","",'20'!G30)</f>
        <v/>
      </c>
    </row>
    <row r="31" spans="1:7" s="19" customFormat="1" ht="23.1" customHeight="1">
      <c r="A31" s="16" t="str">
        <f>IF('20'!A31="","",'20'!A31)</f>
        <v/>
      </c>
      <c r="B31" s="16">
        <f>IF('20'!B31="","",'20'!B31)</f>
        <v>18</v>
      </c>
      <c r="C31" s="17" t="str">
        <f>IF('20'!C31="","",'20'!C31)</f>
        <v/>
      </c>
      <c r="D31" s="266" t="str">
        <f>IF('20'!D31="","",'20'!D31)</f>
        <v/>
      </c>
      <c r="E31" s="17" t="str">
        <f>IF('20'!E31="","",'20'!E31)</f>
        <v/>
      </c>
      <c r="F31" s="266" t="str">
        <f>IF('20'!F31="","",'20'!F31)</f>
        <v/>
      </c>
      <c r="G31" s="17" t="str">
        <f>IF('20'!G31="","",'20'!G31)</f>
        <v/>
      </c>
    </row>
    <row r="32" spans="1:7" s="19" customFormat="1" ht="23.1" customHeight="1">
      <c r="A32" s="16" t="str">
        <f>IF('20'!A32="","",'20'!A32)</f>
        <v/>
      </c>
      <c r="B32" s="16">
        <f>IF('20'!B32="","",'20'!B32)</f>
        <v>19</v>
      </c>
      <c r="C32" s="17" t="str">
        <f>IF('20'!C32="","",'20'!C32)</f>
        <v/>
      </c>
      <c r="D32" s="266" t="str">
        <f>IF('20'!D32="","",'20'!D32)</f>
        <v/>
      </c>
      <c r="E32" s="17" t="str">
        <f>IF('20'!E32="","",'20'!E32)</f>
        <v/>
      </c>
      <c r="F32" s="266" t="str">
        <f>IF('20'!F32="","",'20'!F32)</f>
        <v/>
      </c>
      <c r="G32" s="17" t="str">
        <f>IF('20'!G32="","",'20'!G32)</f>
        <v/>
      </c>
    </row>
    <row r="33" spans="1:7" s="19" customFormat="1" ht="23.1" customHeight="1">
      <c r="A33" s="16" t="str">
        <f>IF('20'!A33="","",'20'!A33)</f>
        <v/>
      </c>
      <c r="B33" s="16">
        <f>IF('20'!B33="","",'20'!B33)</f>
        <v>20</v>
      </c>
      <c r="C33" s="17" t="str">
        <f>IF('20'!C33="","",'20'!C33)</f>
        <v/>
      </c>
      <c r="D33" s="266" t="str">
        <f>IF('20'!D33="","",'20'!D33)</f>
        <v/>
      </c>
      <c r="E33" s="17" t="str">
        <f>IF('20'!E33="","",'20'!E33)</f>
        <v/>
      </c>
      <c r="F33" s="266" t="str">
        <f>IF('20'!F33="","",'20'!F33)</f>
        <v/>
      </c>
      <c r="G33" s="17" t="str">
        <f>IF('20'!G33="","",'20'!G33)</f>
        <v/>
      </c>
    </row>
    <row r="34" spans="1:7" s="19" customFormat="1" ht="23.1" customHeight="1">
      <c r="A34" s="16" t="str">
        <f>IF('20'!A34="","",'20'!A34)</f>
        <v/>
      </c>
      <c r="B34" s="16">
        <f>IF('20'!B34="","",'20'!B34)</f>
        <v>21</v>
      </c>
      <c r="C34" s="17" t="str">
        <f>IF('20'!C34="","",'20'!C34)</f>
        <v/>
      </c>
      <c r="D34" s="266" t="str">
        <f>IF('20'!D34="","",'20'!D34)</f>
        <v/>
      </c>
      <c r="E34" s="17" t="str">
        <f>IF('20'!E34="","",'20'!E34)</f>
        <v/>
      </c>
      <c r="F34" s="266" t="str">
        <f>IF('20'!F34="","",'20'!F34)</f>
        <v/>
      </c>
      <c r="G34" s="17" t="str">
        <f>IF('20'!G34="","",'20'!G34)</f>
        <v/>
      </c>
    </row>
    <row r="35" spans="1:7" s="19" customFormat="1" ht="23.1" customHeight="1">
      <c r="A35" s="16" t="str">
        <f>IF('20'!A35="","",'20'!A35)</f>
        <v/>
      </c>
      <c r="B35" s="16">
        <f>IF('20'!B35="","",'20'!B35)</f>
        <v>22</v>
      </c>
      <c r="C35" s="17" t="str">
        <f>IF('20'!C35="","",'20'!C35)</f>
        <v/>
      </c>
      <c r="D35" s="266" t="str">
        <f>IF('20'!D35="","",'20'!D35)</f>
        <v/>
      </c>
      <c r="E35" s="17" t="str">
        <f>IF('20'!E35="","",'20'!E35)</f>
        <v/>
      </c>
      <c r="F35" s="266" t="str">
        <f>IF('20'!F35="","",'20'!F35)</f>
        <v/>
      </c>
      <c r="G35" s="17" t="str">
        <f>IF('20'!G35="","",'20'!G35)</f>
        <v/>
      </c>
    </row>
    <row r="36" spans="1:7" s="19" customFormat="1" ht="23.1" customHeight="1">
      <c r="A36" s="16" t="str">
        <f>IF('20'!A36="","",'20'!A36)</f>
        <v/>
      </c>
      <c r="B36" s="16">
        <f>IF('20'!B36="","",'20'!B36)</f>
        <v>23</v>
      </c>
      <c r="C36" s="17" t="str">
        <f>IF('20'!C36="","",'20'!C36)</f>
        <v/>
      </c>
      <c r="D36" s="266" t="str">
        <f>IF('20'!D36="","",'20'!D36)</f>
        <v/>
      </c>
      <c r="E36" s="17" t="str">
        <f>IF('20'!E36="","",'20'!E36)</f>
        <v/>
      </c>
      <c r="F36" s="266" t="str">
        <f>IF('20'!F36="","",'20'!F36)</f>
        <v/>
      </c>
      <c r="G36" s="17" t="str">
        <f>IF('20'!G36="","",'20'!G36)</f>
        <v/>
      </c>
    </row>
    <row r="37" spans="1:7" s="19" customFormat="1" ht="23.1" customHeight="1">
      <c r="A37" s="16" t="str">
        <f>IF('20'!A37="","",'20'!A37)</f>
        <v/>
      </c>
      <c r="B37" s="16">
        <f>IF('20'!B37="","",'20'!B37)</f>
        <v>24</v>
      </c>
      <c r="C37" s="17" t="str">
        <f>IF('20'!C37="","",'20'!C37)</f>
        <v/>
      </c>
      <c r="D37" s="266" t="str">
        <f>IF('20'!D37="","",'20'!D37)</f>
        <v/>
      </c>
      <c r="E37" s="17" t="str">
        <f>IF('20'!E37="","",'20'!E37)</f>
        <v/>
      </c>
      <c r="F37" s="266" t="str">
        <f>IF('20'!F37="","",'20'!F37)</f>
        <v/>
      </c>
      <c r="G37" s="17" t="str">
        <f>IF('20'!G37="","",'20'!G37)</f>
        <v/>
      </c>
    </row>
    <row r="38" spans="1:7" s="19" customFormat="1" ht="23.1" customHeight="1">
      <c r="A38" s="16" t="str">
        <f>IF('20'!A38="","",'20'!A38)</f>
        <v/>
      </c>
      <c r="B38" s="16">
        <f>IF('20'!B38="","",'20'!B38)</f>
        <v>25</v>
      </c>
      <c r="C38" s="17" t="str">
        <f>IF('20'!C38="","",'20'!C38)</f>
        <v/>
      </c>
      <c r="D38" s="266" t="str">
        <f>IF('20'!D38="","",'20'!D38)</f>
        <v/>
      </c>
      <c r="E38" s="17" t="str">
        <f>IF('20'!E38="","",'20'!E38)</f>
        <v/>
      </c>
      <c r="F38" s="266" t="str">
        <f>IF('20'!F38="","",'20'!F38)</f>
        <v/>
      </c>
      <c r="G38" s="17" t="str">
        <f>IF('20'!G38="","",'20'!G38)</f>
        <v/>
      </c>
    </row>
    <row r="39" spans="1:7" s="19" customFormat="1" ht="23.1" customHeight="1">
      <c r="A39" s="16" t="str">
        <f>IF('20'!A39="","",'20'!A39)</f>
        <v/>
      </c>
      <c r="B39" s="16">
        <f>IF('20'!B39="","",'20'!B39)</f>
        <v>26</v>
      </c>
      <c r="C39" s="17" t="str">
        <f>IF('20'!C39="","",'20'!C39)</f>
        <v/>
      </c>
      <c r="D39" s="266" t="str">
        <f>IF('20'!D39="","",'20'!D39)</f>
        <v/>
      </c>
      <c r="E39" s="17" t="str">
        <f>IF('20'!E39="","",'20'!E39)</f>
        <v/>
      </c>
      <c r="F39" s="266" t="str">
        <f>IF('20'!F39="","",'20'!F39)</f>
        <v/>
      </c>
      <c r="G39" s="17" t="str">
        <f>IF('20'!G39="","",'20'!G39)</f>
        <v/>
      </c>
    </row>
    <row r="40" spans="1:7" s="19" customFormat="1" ht="23.1" customHeight="1">
      <c r="A40" s="16" t="str">
        <f>IF('20'!A40="","",'20'!A40)</f>
        <v/>
      </c>
      <c r="B40" s="16">
        <f>IF('20'!B40="","",'20'!B40)</f>
        <v>27</v>
      </c>
      <c r="C40" s="17" t="str">
        <f>IF('20'!C40="","",'20'!C40)</f>
        <v/>
      </c>
      <c r="D40" s="266" t="str">
        <f>IF('20'!D40="","",'20'!D40)</f>
        <v/>
      </c>
      <c r="E40" s="17" t="str">
        <f>IF('20'!E40="","",'20'!E40)</f>
        <v/>
      </c>
      <c r="F40" s="266" t="str">
        <f>IF('20'!F40="","",'20'!F40)</f>
        <v/>
      </c>
      <c r="G40" s="17" t="str">
        <f>IF('20'!G40="","",'20'!G40)</f>
        <v/>
      </c>
    </row>
    <row r="41" spans="1:7" s="19" customFormat="1" ht="23.1" customHeight="1">
      <c r="A41" s="16" t="str">
        <f>IF('20'!A41="","",'20'!A41)</f>
        <v/>
      </c>
      <c r="B41" s="16">
        <f>IF('20'!B41="","",'20'!B41)</f>
        <v>28</v>
      </c>
      <c r="C41" s="17" t="str">
        <f>IF('20'!C41="","",'20'!C41)</f>
        <v/>
      </c>
      <c r="D41" s="266" t="str">
        <f>IF('20'!D41="","",'20'!D41)</f>
        <v/>
      </c>
      <c r="E41" s="17" t="str">
        <f>IF('20'!E41="","",'20'!E41)</f>
        <v/>
      </c>
      <c r="F41" s="266" t="str">
        <f>IF('20'!F41="","",'20'!F41)</f>
        <v/>
      </c>
      <c r="G41" s="17" t="str">
        <f>IF('20'!G41="","",'20'!G41)</f>
        <v/>
      </c>
    </row>
    <row r="42" spans="1:7" s="19" customFormat="1" ht="23.1" customHeight="1">
      <c r="A42" s="16" t="str">
        <f>IF('20'!A42="","",'20'!A42)</f>
        <v/>
      </c>
      <c r="B42" s="16">
        <f>IF('20'!B42="","",'20'!B42)</f>
        <v>29</v>
      </c>
      <c r="C42" s="17" t="str">
        <f>IF('20'!C42="","",'20'!C42)</f>
        <v/>
      </c>
      <c r="D42" s="266" t="str">
        <f>IF('20'!D42="","",'20'!D42)</f>
        <v/>
      </c>
      <c r="E42" s="17" t="str">
        <f>IF('20'!E42="","",'20'!E42)</f>
        <v/>
      </c>
      <c r="F42" s="266" t="str">
        <f>IF('20'!F42="","",'20'!F42)</f>
        <v/>
      </c>
      <c r="G42" s="17" t="str">
        <f>IF('20'!G42="","",'20'!G42)</f>
        <v/>
      </c>
    </row>
    <row r="43" spans="1:7" s="19" customFormat="1" ht="23.1" customHeight="1">
      <c r="A43" s="16" t="str">
        <f>IF('20'!A43="","",'20'!A43)</f>
        <v/>
      </c>
      <c r="B43" s="16">
        <f>IF('20'!B43="","",'20'!B43)</f>
        <v>30</v>
      </c>
      <c r="C43" s="17" t="str">
        <f>IF('20'!C43="","",'20'!C43)</f>
        <v/>
      </c>
      <c r="D43" s="266" t="str">
        <f>IF('20'!D43="","",'20'!D43)</f>
        <v/>
      </c>
      <c r="E43" s="17" t="str">
        <f>IF('20'!E43="","",'20'!E43)</f>
        <v/>
      </c>
      <c r="F43" s="266" t="str">
        <f>IF('20'!F43="","",'20'!F43)</f>
        <v/>
      </c>
      <c r="G43" s="17" t="str">
        <f>IF('20'!G43="","",'20'!G43)</f>
        <v/>
      </c>
    </row>
    <row r="44" spans="1:7" ht="23.1" customHeight="1">
      <c r="A44" s="16" t="str">
        <f>IF('20'!A44="","",'20'!A44)</f>
        <v/>
      </c>
      <c r="B44" s="16" t="str">
        <f>IF('20'!B44="","",'20'!B44)</f>
        <v/>
      </c>
      <c r="C44" s="17" t="str">
        <f>IF('20'!C44="","",'20'!C44)</f>
        <v/>
      </c>
      <c r="D44" s="266" t="str">
        <f>IF('20'!D44="","",'20'!D44)</f>
        <v/>
      </c>
      <c r="E44" s="17" t="str">
        <f>IF('20'!E44="","",'20'!E44)</f>
        <v/>
      </c>
      <c r="F44" s="266" t="str">
        <f>IF('20'!F44="","",'20'!F44)</f>
        <v/>
      </c>
      <c r="G44" s="17" t="str">
        <f>IF('20'!G44="","",'20'!G44)</f>
        <v/>
      </c>
    </row>
    <row r="45" spans="1:7" ht="23.1" customHeight="1">
      <c r="A45" s="16" t="str">
        <f>IF('20'!A45="","",'20'!A45)</f>
        <v/>
      </c>
      <c r="B45" s="16" t="str">
        <f>IF('20'!B45="","",'20'!B45)</f>
        <v/>
      </c>
      <c r="C45" s="17" t="str">
        <f>IF('20'!C45="","",'20'!C45)</f>
        <v/>
      </c>
      <c r="D45" s="266" t="str">
        <f>IF('20'!D45="","",'20'!D45)</f>
        <v/>
      </c>
      <c r="E45" s="17" t="str">
        <f>IF('20'!E45="","",'20'!E45)</f>
        <v/>
      </c>
      <c r="F45" s="266" t="str">
        <f>IF('20'!F45="","",'20'!F45)</f>
        <v/>
      </c>
      <c r="G45" s="17" t="str">
        <f>IF('20'!G45="","",'20'!G45)</f>
        <v/>
      </c>
    </row>
    <row r="46" spans="1:7" ht="23.1" customHeight="1">
      <c r="A46" s="16" t="str">
        <f>IF('20'!A46="","",'20'!A46)</f>
        <v/>
      </c>
      <c r="B46" s="16" t="str">
        <f>IF('20'!B46="","",'20'!B46)</f>
        <v/>
      </c>
      <c r="C46" s="17" t="str">
        <f>IF('20'!C46="","",'20'!C46)</f>
        <v/>
      </c>
      <c r="D46" s="266" t="str">
        <f>IF('20'!D46="","",'20'!D46)</f>
        <v/>
      </c>
      <c r="E46" s="17" t="str">
        <f>IF('20'!E46="","",'20'!E46)</f>
        <v/>
      </c>
      <c r="F46" s="266" t="str">
        <f>IF('20'!F46="","",'20'!F46)</f>
        <v/>
      </c>
      <c r="G46" s="17" t="str">
        <f>IF('20'!G46="","",'20'!G46)</f>
        <v/>
      </c>
    </row>
    <row r="47" spans="1:7" ht="23.1" customHeight="1">
      <c r="A47" s="16" t="str">
        <f>IF('20'!A47="","",'20'!A47)</f>
        <v/>
      </c>
      <c r="B47" s="16" t="str">
        <f>IF('20'!B47="","",'20'!B47)</f>
        <v/>
      </c>
      <c r="C47" s="17" t="str">
        <f>IF('20'!C47="","",'20'!C47)</f>
        <v/>
      </c>
      <c r="D47" s="266" t="str">
        <f>IF('20'!D47="","",'20'!D47)</f>
        <v/>
      </c>
      <c r="E47" s="17" t="str">
        <f>IF('20'!E47="","",'20'!E47)</f>
        <v/>
      </c>
      <c r="F47" s="266" t="str">
        <f>IF('20'!F47="","",'20'!F47)</f>
        <v/>
      </c>
      <c r="G47" s="17" t="str">
        <f>IF('20'!G47="","",'20'!G47)</f>
        <v/>
      </c>
    </row>
    <row r="48" spans="1:7" ht="23.1" customHeight="1">
      <c r="A48" s="16" t="str">
        <f>IF('20'!A48="","",'20'!A48)</f>
        <v/>
      </c>
      <c r="B48" s="16" t="str">
        <f>IF('20'!B48="","",'20'!B48)</f>
        <v/>
      </c>
      <c r="C48" s="17" t="str">
        <f>IF('20'!C48="","",'20'!C48)</f>
        <v/>
      </c>
      <c r="D48" s="266" t="str">
        <f>IF('20'!D48="","",'20'!D48)</f>
        <v/>
      </c>
      <c r="E48" s="17" t="str">
        <f>IF('20'!E48="","",'20'!E48)</f>
        <v/>
      </c>
      <c r="F48" s="266" t="str">
        <f>IF('20'!F48="","",'20'!F48)</f>
        <v/>
      </c>
      <c r="G48" s="17" t="str">
        <f>IF('20'!G48="","",'20'!G48)</f>
        <v/>
      </c>
    </row>
    <row r="49" spans="1:7" ht="23.1" customHeight="1">
      <c r="A49" s="16" t="str">
        <f>IF('20'!A49="","",'20'!A49)</f>
        <v/>
      </c>
      <c r="B49" s="16" t="str">
        <f>IF('20'!B49="","",'20'!B49)</f>
        <v/>
      </c>
      <c r="C49" s="17" t="str">
        <f>IF('20'!C49="","",'20'!C49)</f>
        <v/>
      </c>
      <c r="D49" s="266" t="str">
        <f>IF('20'!D49="","",'20'!D49)</f>
        <v/>
      </c>
      <c r="E49" s="17" t="str">
        <f>IF('20'!E49="","",'20'!E49)</f>
        <v/>
      </c>
      <c r="F49" s="266" t="str">
        <f>IF('20'!F49="","",'20'!F49)</f>
        <v/>
      </c>
      <c r="G49" s="17" t="str">
        <f>IF('20'!G49="","",'20'!G49)</f>
        <v/>
      </c>
    </row>
    <row r="50" spans="1:7" ht="23.1" customHeight="1">
      <c r="A50" s="16" t="str">
        <f>IF('20'!A50="","",'20'!A50)</f>
        <v/>
      </c>
      <c r="B50" s="16" t="str">
        <f>IF('20'!B50="","",'20'!B50)</f>
        <v/>
      </c>
      <c r="C50" s="17" t="str">
        <f>IF('20'!C50="","",'20'!C50)</f>
        <v/>
      </c>
      <c r="D50" s="266" t="str">
        <f>IF('20'!D50="","",'20'!D50)</f>
        <v/>
      </c>
      <c r="E50" s="17" t="str">
        <f>IF('20'!E50="","",'20'!E50)</f>
        <v/>
      </c>
      <c r="F50" s="266" t="str">
        <f>IF('20'!F50="","",'20'!F50)</f>
        <v/>
      </c>
      <c r="G50" s="17" t="str">
        <f>IF('20'!G50="","",'20'!G50)</f>
        <v/>
      </c>
    </row>
    <row r="51" spans="1:7" ht="23.1" customHeight="1">
      <c r="A51" s="16" t="str">
        <f>IF('20'!A51="","",'20'!A51)</f>
        <v/>
      </c>
      <c r="B51" s="16" t="str">
        <f>IF('20'!B51="","",'20'!B51)</f>
        <v/>
      </c>
      <c r="C51" s="17" t="str">
        <f>IF('20'!C51="","",'20'!C51)</f>
        <v/>
      </c>
      <c r="D51" s="266" t="str">
        <f>IF('20'!D51="","",'20'!D51)</f>
        <v/>
      </c>
      <c r="E51" s="17" t="str">
        <f>IF('20'!E51="","",'20'!E51)</f>
        <v/>
      </c>
      <c r="F51" s="266" t="str">
        <f>IF('20'!F51="","",'20'!F51)</f>
        <v/>
      </c>
      <c r="G51" s="17" t="str">
        <f>IF('20'!G51="","",'20'!G51)</f>
        <v/>
      </c>
    </row>
    <row r="52" spans="1:7" ht="23.1" customHeight="1">
      <c r="A52" s="16" t="str">
        <f>IF('20'!A52="","",'20'!A52)</f>
        <v/>
      </c>
      <c r="B52" s="16" t="str">
        <f>IF('20'!B52="","",'20'!B52)</f>
        <v/>
      </c>
      <c r="C52" s="17" t="str">
        <f>IF('20'!C52="","",'20'!C52)</f>
        <v/>
      </c>
      <c r="D52" s="266" t="str">
        <f>IF('20'!D52="","",'20'!D52)</f>
        <v/>
      </c>
      <c r="E52" s="17" t="str">
        <f>IF('20'!E52="","",'20'!E52)</f>
        <v/>
      </c>
      <c r="F52" s="266" t="str">
        <f>IF('20'!F52="","",'20'!F52)</f>
        <v/>
      </c>
      <c r="G52" s="17" t="str">
        <f>IF('20'!G52="","",'20'!G52)</f>
        <v/>
      </c>
    </row>
    <row r="53" spans="1:7" ht="23.1" customHeight="1">
      <c r="A53" s="16" t="str">
        <f>IF('20'!A53="","",'20'!A53)</f>
        <v/>
      </c>
      <c r="B53" s="16" t="str">
        <f>IF('20'!B53="","",'20'!B53)</f>
        <v/>
      </c>
      <c r="C53" s="17" t="str">
        <f>IF('20'!C53="","",'20'!C53)</f>
        <v/>
      </c>
      <c r="D53" s="266" t="str">
        <f>IF('20'!D53="","",'20'!D53)</f>
        <v/>
      </c>
      <c r="E53" s="17" t="str">
        <f>IF('20'!E53="","",'20'!E53)</f>
        <v/>
      </c>
      <c r="F53" s="266" t="str">
        <f>IF('20'!F53="","",'20'!F53)</f>
        <v/>
      </c>
      <c r="G53" s="17" t="str">
        <f>IF('20'!G53="","",'20'!G53)</f>
        <v/>
      </c>
    </row>
    <row r="54" spans="1:7" ht="23.1" customHeight="1">
      <c r="A54" s="16" t="str">
        <f>IF('20'!A54="","",'20'!A54)</f>
        <v/>
      </c>
      <c r="B54" s="16" t="str">
        <f>IF('20'!B54="","",'20'!B54)</f>
        <v/>
      </c>
      <c r="C54" s="17" t="str">
        <f>IF('20'!C54="","",'20'!C54)</f>
        <v/>
      </c>
      <c r="D54" s="266" t="str">
        <f>IF('20'!D54="","",'20'!D54)</f>
        <v/>
      </c>
      <c r="E54" s="17" t="str">
        <f>IF('20'!E54="","",'20'!E54)</f>
        <v/>
      </c>
      <c r="F54" s="266" t="str">
        <f>IF('20'!F54="","",'20'!F54)</f>
        <v/>
      </c>
      <c r="G54" s="17" t="str">
        <f>IF('20'!G54="","",'20'!G54)</f>
        <v/>
      </c>
    </row>
    <row r="55" spans="1:7" ht="23.1" customHeight="1">
      <c r="A55" s="16" t="str">
        <f>IF('20'!A55="","",'20'!A55)</f>
        <v/>
      </c>
      <c r="B55" s="16" t="str">
        <f>IF('20'!B55="","",'20'!B55)</f>
        <v/>
      </c>
      <c r="C55" s="17" t="str">
        <f>IF('20'!C55="","",'20'!C55)</f>
        <v/>
      </c>
      <c r="D55" s="266" t="str">
        <f>IF('20'!D55="","",'20'!D55)</f>
        <v/>
      </c>
      <c r="E55" s="17" t="str">
        <f>IF('20'!E55="","",'20'!E55)</f>
        <v/>
      </c>
      <c r="F55" s="266" t="str">
        <f>IF('20'!F55="","",'20'!F55)</f>
        <v/>
      </c>
      <c r="G55" s="17" t="str">
        <f>IF('20'!G55="","",'20'!G55)</f>
        <v/>
      </c>
    </row>
    <row r="56" spans="1:7" ht="23.1" customHeight="1">
      <c r="A56" s="16" t="str">
        <f>IF('20'!A56="","",'20'!A56)</f>
        <v/>
      </c>
      <c r="B56" s="16" t="str">
        <f>IF('20'!B56="","",'20'!B56)</f>
        <v/>
      </c>
      <c r="C56" s="17" t="str">
        <f>IF('20'!C56="","",'20'!C56)</f>
        <v/>
      </c>
      <c r="D56" s="266" t="str">
        <f>IF('20'!D56="","",'20'!D56)</f>
        <v/>
      </c>
      <c r="E56" s="17" t="str">
        <f>IF('20'!E56="","",'20'!E56)</f>
        <v/>
      </c>
      <c r="F56" s="266" t="str">
        <f>IF('20'!F56="","",'20'!F56)</f>
        <v/>
      </c>
      <c r="G56" s="17" t="str">
        <f>IF('20'!G56="","",'20'!G56)</f>
        <v/>
      </c>
    </row>
    <row r="57" spans="1:7" ht="23.1" customHeight="1">
      <c r="A57" s="16" t="str">
        <f>IF('20'!A57="","",'20'!A57)</f>
        <v/>
      </c>
      <c r="B57" s="16" t="str">
        <f>IF('20'!B57="","",'20'!B57)</f>
        <v/>
      </c>
      <c r="C57" s="17" t="str">
        <f>IF('20'!C57="","",'20'!C57)</f>
        <v/>
      </c>
      <c r="D57" s="266" t="str">
        <f>IF('20'!D57="","",'20'!D57)</f>
        <v/>
      </c>
      <c r="E57" s="17" t="str">
        <f>IF('20'!E57="","",'20'!E57)</f>
        <v/>
      </c>
      <c r="F57" s="266" t="str">
        <f>IF('20'!F57="","",'20'!F57)</f>
        <v/>
      </c>
      <c r="G57" s="17" t="str">
        <f>IF('20'!G57="","",'20'!G57)</f>
        <v/>
      </c>
    </row>
    <row r="58" spans="1:7" ht="23.1" customHeight="1">
      <c r="A58" s="16" t="str">
        <f>IF('20'!A58="","",'20'!A58)</f>
        <v/>
      </c>
      <c r="B58" s="16" t="str">
        <f>IF('20'!B58="","",'20'!B58)</f>
        <v/>
      </c>
      <c r="C58" s="17" t="str">
        <f>IF('20'!C58="","",'20'!C58)</f>
        <v/>
      </c>
      <c r="D58" s="266" t="str">
        <f>IF('20'!D58="","",'20'!D58)</f>
        <v/>
      </c>
      <c r="E58" s="17" t="str">
        <f>IF('20'!E58="","",'20'!E58)</f>
        <v/>
      </c>
      <c r="F58" s="266" t="str">
        <f>IF('20'!F58="","",'20'!F58)</f>
        <v/>
      </c>
      <c r="G58" s="17" t="str">
        <f>IF('20'!G58="","",'20'!G58)</f>
        <v/>
      </c>
    </row>
    <row r="59" spans="1:7" ht="23.1" customHeight="1">
      <c r="A59" s="16" t="str">
        <f>IF('20'!A59="","",'20'!A59)</f>
        <v/>
      </c>
      <c r="B59" s="16" t="str">
        <f>IF('20'!B59="","",'20'!B59)</f>
        <v/>
      </c>
      <c r="C59" s="17" t="str">
        <f>IF('20'!C59="","",'20'!C59)</f>
        <v/>
      </c>
      <c r="D59" s="266" t="str">
        <f>IF('20'!D59="","",'20'!D59)</f>
        <v/>
      </c>
      <c r="E59" s="17" t="str">
        <f>IF('20'!E59="","",'20'!E59)</f>
        <v/>
      </c>
      <c r="F59" s="266" t="str">
        <f>IF('20'!F59="","",'20'!F59)</f>
        <v/>
      </c>
      <c r="G59" s="17" t="str">
        <f>IF('20'!G59="","",'20'!G59)</f>
        <v/>
      </c>
    </row>
    <row r="60" spans="1:7" ht="23.1" customHeight="1">
      <c r="A60" s="16" t="str">
        <f>IF('20'!A60="","",'20'!A60)</f>
        <v/>
      </c>
      <c r="B60" s="16" t="str">
        <f>IF('20'!B60="","",'20'!B60)</f>
        <v/>
      </c>
      <c r="C60" s="17" t="str">
        <f>IF('20'!C60="","",'20'!C60)</f>
        <v/>
      </c>
      <c r="D60" s="266" t="str">
        <f>IF('20'!D60="","",'20'!D60)</f>
        <v/>
      </c>
      <c r="E60" s="17" t="str">
        <f>IF('20'!E60="","",'20'!E60)</f>
        <v/>
      </c>
      <c r="F60" s="266" t="str">
        <f>IF('20'!F60="","",'20'!F60)</f>
        <v/>
      </c>
      <c r="G60" s="17" t="str">
        <f>IF('20'!G60="","",'20'!G60)</f>
        <v/>
      </c>
    </row>
    <row r="61" spans="1:7" ht="23.1" customHeight="1">
      <c r="A61" s="16" t="str">
        <f>IF('20'!A61="","",'20'!A61)</f>
        <v/>
      </c>
      <c r="B61" s="16" t="str">
        <f>IF('20'!B61="","",'20'!B61)</f>
        <v/>
      </c>
      <c r="C61" s="17" t="str">
        <f>IF('20'!C61="","",'20'!C61)</f>
        <v/>
      </c>
      <c r="D61" s="266" t="str">
        <f>IF('20'!D61="","",'20'!D61)</f>
        <v/>
      </c>
      <c r="E61" s="17" t="str">
        <f>IF('20'!E61="","",'20'!E61)</f>
        <v/>
      </c>
      <c r="F61" s="266" t="str">
        <f>IF('20'!F61="","",'20'!F61)</f>
        <v/>
      </c>
      <c r="G61" s="17" t="str">
        <f>IF('20'!G61="","",'20'!G61)</f>
        <v/>
      </c>
    </row>
    <row r="62" spans="1:7" ht="23.1" customHeight="1">
      <c r="A62" s="16" t="str">
        <f>IF('20'!A62="","",'20'!A62)</f>
        <v/>
      </c>
      <c r="B62" s="16" t="str">
        <f>IF('20'!B62="","",'20'!B62)</f>
        <v/>
      </c>
      <c r="C62" s="17" t="str">
        <f>IF('20'!C62="","",'20'!C62)</f>
        <v/>
      </c>
      <c r="D62" s="266" t="str">
        <f>IF('20'!D62="","",'20'!D62)</f>
        <v/>
      </c>
      <c r="E62" s="17" t="str">
        <f>IF('20'!E62="","",'20'!E62)</f>
        <v/>
      </c>
      <c r="F62" s="266" t="str">
        <f>IF('20'!F62="","",'20'!F62)</f>
        <v/>
      </c>
      <c r="G62" s="17" t="str">
        <f>IF('20'!G62="","",'20'!G62)</f>
        <v/>
      </c>
    </row>
    <row r="63" spans="1:7" ht="23.1" customHeight="1">
      <c r="A63" s="16" t="str">
        <f>IF('20'!A63="","",'20'!A63)</f>
        <v/>
      </c>
      <c r="B63" s="16" t="str">
        <f>IF('20'!B63="","",'20'!B63)</f>
        <v/>
      </c>
      <c r="C63" s="17" t="str">
        <f>IF('20'!C63="","",'20'!C63)</f>
        <v/>
      </c>
      <c r="D63" s="266" t="str">
        <f>IF('20'!D63="","",'20'!D63)</f>
        <v/>
      </c>
      <c r="E63" s="17" t="str">
        <f>IF('20'!E63="","",'20'!E63)</f>
        <v/>
      </c>
      <c r="F63" s="266" t="str">
        <f>IF('20'!F63="","",'20'!F63)</f>
        <v/>
      </c>
      <c r="G63" s="17" t="str">
        <f>IF('20'!G63="","",'20'!G63)</f>
        <v/>
      </c>
    </row>
    <row r="64" spans="1:7" ht="23.1" customHeight="1">
      <c r="A64" s="16" t="str">
        <f>IF('20'!A64="","",'20'!A64)</f>
        <v/>
      </c>
      <c r="B64" s="16" t="str">
        <f>IF('20'!B64="","",'20'!B64)</f>
        <v/>
      </c>
      <c r="C64" s="17" t="str">
        <f>IF('20'!C64="","",'20'!C64)</f>
        <v/>
      </c>
      <c r="D64" s="266" t="str">
        <f>IF('20'!D64="","",'20'!D64)</f>
        <v/>
      </c>
      <c r="E64" s="17" t="str">
        <f>IF('20'!E64="","",'20'!E64)</f>
        <v/>
      </c>
      <c r="F64" s="266" t="str">
        <f>IF('20'!F64="","",'20'!F64)</f>
        <v/>
      </c>
      <c r="G64" s="17" t="str">
        <f>IF('20'!G64="","",'20'!G64)</f>
        <v/>
      </c>
    </row>
    <row r="65" spans="1:7" ht="23.1" customHeight="1">
      <c r="A65" s="16" t="str">
        <f>IF('20'!A65="","",'20'!A65)</f>
        <v/>
      </c>
      <c r="B65" s="16" t="str">
        <f>IF('20'!B65="","",'20'!B65)</f>
        <v/>
      </c>
      <c r="C65" s="17" t="str">
        <f>IF('20'!C65="","",'20'!C65)</f>
        <v/>
      </c>
      <c r="D65" s="266" t="str">
        <f>IF('20'!D65="","",'20'!D65)</f>
        <v/>
      </c>
      <c r="E65" s="17" t="str">
        <f>IF('20'!E65="","",'20'!E65)</f>
        <v/>
      </c>
      <c r="F65" s="266" t="str">
        <f>IF('20'!F65="","",'20'!F65)</f>
        <v/>
      </c>
      <c r="G65" s="17" t="str">
        <f>IF('20'!G65="","",'20'!G65)</f>
        <v/>
      </c>
    </row>
    <row r="66" spans="1:7" ht="23.1" customHeight="1">
      <c r="A66" s="16" t="str">
        <f>IF('20'!A66="","",'20'!A66)</f>
        <v/>
      </c>
      <c r="B66" s="16" t="str">
        <f>IF('20'!B66="","",'20'!B66)</f>
        <v/>
      </c>
      <c r="C66" s="17" t="str">
        <f>IF('20'!C66="","",'20'!C66)</f>
        <v/>
      </c>
      <c r="D66" s="266" t="str">
        <f>IF('20'!D66="","",'20'!D66)</f>
        <v/>
      </c>
      <c r="E66" s="17" t="str">
        <f>IF('20'!E66="","",'20'!E66)</f>
        <v/>
      </c>
      <c r="F66" s="266" t="str">
        <f>IF('20'!F66="","",'20'!F66)</f>
        <v/>
      </c>
      <c r="G66" s="17" t="str">
        <f>IF('20'!G66="","",'20'!G66)</f>
        <v/>
      </c>
    </row>
    <row r="67" spans="1:7" ht="23.1" customHeight="1">
      <c r="A67" s="16" t="str">
        <f>IF('20'!A67="","",'20'!A67)</f>
        <v/>
      </c>
      <c r="B67" s="16" t="str">
        <f>IF('20'!B67="","",'20'!B67)</f>
        <v/>
      </c>
      <c r="C67" s="17" t="str">
        <f>IF('20'!C67="","",'20'!C67)</f>
        <v/>
      </c>
      <c r="D67" s="266" t="str">
        <f>IF('20'!D67="","",'20'!D67)</f>
        <v/>
      </c>
      <c r="E67" s="17" t="str">
        <f>IF('20'!E67="","",'20'!E67)</f>
        <v/>
      </c>
      <c r="F67" s="266" t="str">
        <f>IF('20'!F67="","",'20'!F67)</f>
        <v/>
      </c>
      <c r="G67" s="17" t="str">
        <f>IF('20'!G67="","",'20'!G67)</f>
        <v/>
      </c>
    </row>
    <row r="68" spans="1:7" ht="23.1" customHeight="1">
      <c r="A68" s="16" t="str">
        <f>IF('20'!A68="","",'20'!A68)</f>
        <v/>
      </c>
      <c r="B68" s="16" t="str">
        <f>IF('20'!B68="","",'20'!B68)</f>
        <v/>
      </c>
      <c r="C68" s="17" t="str">
        <f>IF('20'!C68="","",'20'!C68)</f>
        <v/>
      </c>
      <c r="D68" s="266" t="str">
        <f>IF('20'!D68="","",'20'!D68)</f>
        <v/>
      </c>
      <c r="E68" s="17" t="str">
        <f>IF('20'!E68="","",'20'!E68)</f>
        <v/>
      </c>
      <c r="F68" s="266" t="str">
        <f>IF('20'!F68="","",'20'!F68)</f>
        <v/>
      </c>
      <c r="G68" s="17" t="str">
        <f>IF('20'!G68="","",'20'!G68)</f>
        <v/>
      </c>
    </row>
    <row r="69" spans="1:7" ht="23.1" customHeight="1">
      <c r="A69" s="16" t="str">
        <f>IF('20'!A69="","",'20'!A69)</f>
        <v/>
      </c>
      <c r="B69" s="16" t="str">
        <f>IF('20'!B69="","",'20'!B69)</f>
        <v/>
      </c>
      <c r="C69" s="17" t="str">
        <f>IF('20'!C69="","",'20'!C69)</f>
        <v/>
      </c>
      <c r="D69" s="266" t="str">
        <f>IF('20'!D69="","",'20'!D69)</f>
        <v/>
      </c>
      <c r="E69" s="17" t="str">
        <f>IF('20'!E69="","",'20'!E69)</f>
        <v/>
      </c>
      <c r="F69" s="266" t="str">
        <f>IF('20'!F69="","",'20'!F69)</f>
        <v/>
      </c>
      <c r="G69" s="17" t="str">
        <f>IF('20'!G69="","",'20'!G69)</f>
        <v/>
      </c>
    </row>
    <row r="70" spans="1:7" ht="23.1" customHeight="1">
      <c r="A70" s="16" t="str">
        <f>IF('20'!A70="","",'20'!A70)</f>
        <v/>
      </c>
      <c r="B70" s="16" t="str">
        <f>IF('20'!B70="","",'20'!B70)</f>
        <v/>
      </c>
      <c r="C70" s="17" t="str">
        <f>IF('20'!C70="","",'20'!C70)</f>
        <v/>
      </c>
      <c r="D70" s="266" t="str">
        <f>IF('20'!D70="","",'20'!D70)</f>
        <v/>
      </c>
      <c r="E70" s="17" t="str">
        <f>IF('20'!E70="","",'20'!E70)</f>
        <v/>
      </c>
      <c r="F70" s="266" t="str">
        <f>IF('20'!F70="","",'20'!F70)</f>
        <v/>
      </c>
      <c r="G70" s="17" t="str">
        <f>IF('20'!G70="","",'20'!G70)</f>
        <v/>
      </c>
    </row>
    <row r="71" spans="1:7" ht="23.1" customHeight="1">
      <c r="A71" s="16" t="str">
        <f>IF('20'!A71="","",'20'!A71)</f>
        <v/>
      </c>
      <c r="B71" s="16" t="str">
        <f>IF('20'!B71="","",'20'!B71)</f>
        <v/>
      </c>
      <c r="C71" s="17" t="str">
        <f>IF('20'!C71="","",'20'!C71)</f>
        <v/>
      </c>
      <c r="D71" s="266" t="str">
        <f>IF('20'!D71="","",'20'!D71)</f>
        <v/>
      </c>
      <c r="E71" s="17" t="str">
        <f>IF('20'!E71="","",'20'!E71)</f>
        <v/>
      </c>
      <c r="F71" s="266" t="str">
        <f>IF('20'!F71="","",'20'!F71)</f>
        <v/>
      </c>
      <c r="G71" s="17" t="str">
        <f>IF('20'!G71="","",'20'!G71)</f>
        <v/>
      </c>
    </row>
    <row r="72" spans="1:7" ht="23.1" customHeight="1">
      <c r="A72" s="16" t="str">
        <f>IF('20'!A72="","",'20'!A72)</f>
        <v/>
      </c>
      <c r="B72" s="16" t="str">
        <f>IF('20'!B72="","",'20'!B72)</f>
        <v/>
      </c>
      <c r="C72" s="17" t="str">
        <f>IF('20'!C72="","",'20'!C72)</f>
        <v/>
      </c>
      <c r="D72" s="266" t="str">
        <f>IF('20'!D72="","",'20'!D72)</f>
        <v/>
      </c>
      <c r="E72" s="17" t="str">
        <f>IF('20'!E72="","",'20'!E72)</f>
        <v/>
      </c>
      <c r="F72" s="266" t="str">
        <f>IF('20'!F72="","",'20'!F72)</f>
        <v/>
      </c>
      <c r="G72" s="17" t="str">
        <f>IF('20'!G72="","",'20'!G72)</f>
        <v/>
      </c>
    </row>
    <row r="73" spans="1:7" ht="23.1" customHeight="1">
      <c r="A73" s="16" t="str">
        <f>IF('20'!A73="","",'20'!A73)</f>
        <v/>
      </c>
      <c r="B73" s="16" t="str">
        <f>IF('20'!B73="","",'20'!B73)</f>
        <v/>
      </c>
      <c r="C73" s="17" t="str">
        <f>IF('20'!C73="","",'20'!C73)</f>
        <v/>
      </c>
      <c r="D73" s="266" t="str">
        <f>IF('20'!D73="","",'20'!D73)</f>
        <v/>
      </c>
      <c r="E73" s="17" t="str">
        <f>IF('20'!E73="","",'20'!E73)</f>
        <v/>
      </c>
      <c r="F73" s="266" t="str">
        <f>IF('20'!F73="","",'20'!F73)</f>
        <v/>
      </c>
      <c r="G73" s="17" t="str">
        <f>IF('20'!G73="","",'20'!G73)</f>
        <v/>
      </c>
    </row>
  </sheetData>
  <dataConsolidate link="1"/>
  <mergeCells count="6">
    <mergeCell ref="G12:G13"/>
    <mergeCell ref="D8:F8"/>
    <mergeCell ref="A12:A13"/>
    <mergeCell ref="B12:B13"/>
    <mergeCell ref="C12:D12"/>
    <mergeCell ref="E12:F12"/>
  </mergeCells>
  <phoneticPr fontId="10"/>
  <printOptions horizontalCentered="1"/>
  <pageMargins left="0.39370078740157483" right="0.39370078740157483" top="0.39370078740157483" bottom="0.39370078740157483" header="0.39370078740157483" footer="0.19685039370078741"/>
  <pageSetup paperSize="9" orientation="portrait" verticalDpi="4294967292" r:id="rId1"/>
  <headerFooter alignWithMargins="0">
    <oddHeader>&amp;R&amp;P/&amp;N</oddHead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8">
    <tabColor rgb="FFFFC000"/>
  </sheetPr>
  <dimension ref="A1:AD201"/>
  <sheetViews>
    <sheetView topLeftCell="A34" zoomScale="86" zoomScaleNormal="86" workbookViewId="0">
      <selection activeCell="A14" sqref="A14:G54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24" width="9.6640625" style="20"/>
    <col min="31" max="16384" width="9.6640625" style="20"/>
  </cols>
  <sheetData>
    <row r="1" spans="1:30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Y1"/>
      <c r="Z1"/>
      <c r="AA1"/>
      <c r="AB1"/>
      <c r="AC1"/>
      <c r="AD1"/>
    </row>
    <row r="2" spans="1:30" s="25" customFormat="1" ht="18" customHeight="1">
      <c r="B2" s="26" t="s">
        <v>1</v>
      </c>
      <c r="C2" s="27"/>
      <c r="E2" s="26" t="s">
        <v>2</v>
      </c>
      <c r="F2" s="30"/>
      <c r="G2" s="175">
        <v>46277</v>
      </c>
      <c r="L2" s="28"/>
      <c r="N2" s="26" t="s">
        <v>3</v>
      </c>
      <c r="O2" s="29"/>
      <c r="P2" s="30"/>
      <c r="Q2" s="30"/>
      <c r="R2" s="30"/>
      <c r="S2" s="30"/>
      <c r="T2" s="30"/>
      <c r="Y2"/>
      <c r="Z2"/>
      <c r="AA2"/>
      <c r="AB2"/>
      <c r="AC2"/>
      <c r="AD2"/>
    </row>
    <row r="3" spans="1:30" s="25" customFormat="1" ht="18" customHeight="1">
      <c r="A3" s="31"/>
      <c r="B3" s="26" t="s">
        <v>4</v>
      </c>
      <c r="C3" s="71" t="s">
        <v>481</v>
      </c>
      <c r="D3" s="139"/>
      <c r="E3" s="139"/>
      <c r="F3" s="139"/>
      <c r="G3" s="139"/>
      <c r="Q3" s="26" t="s">
        <v>5</v>
      </c>
      <c r="R3" s="29"/>
      <c r="S3" s="30"/>
      <c r="T3" s="30"/>
      <c r="U3" s="32"/>
      <c r="Y3"/>
      <c r="Z3"/>
      <c r="AA3"/>
      <c r="AB3"/>
      <c r="AC3"/>
      <c r="AD3"/>
    </row>
    <row r="4" spans="1:30" s="25" customFormat="1" ht="18" customHeight="1">
      <c r="B4" s="26" t="s">
        <v>6</v>
      </c>
      <c r="C4" s="33">
        <v>11</v>
      </c>
      <c r="D4" s="25" t="s">
        <v>7</v>
      </c>
      <c r="E4" s="26" t="s">
        <v>8</v>
      </c>
      <c r="F4" s="276" t="s">
        <v>77</v>
      </c>
      <c r="G4" s="30"/>
      <c r="H4" s="72" t="s">
        <v>79</v>
      </c>
      <c r="J4" s="26" t="s">
        <v>9</v>
      </c>
      <c r="K4" s="34" t="s">
        <v>59</v>
      </c>
      <c r="N4" s="26" t="s">
        <v>10</v>
      </c>
      <c r="O4" s="35"/>
      <c r="Y4"/>
      <c r="Z4"/>
      <c r="AA4"/>
      <c r="AB4"/>
      <c r="AC4"/>
      <c r="AD4"/>
    </row>
    <row r="5" spans="1:30" s="25" customFormat="1" ht="18" customHeight="1">
      <c r="C5" s="26" t="s">
        <v>11</v>
      </c>
      <c r="D5" s="27" t="s">
        <v>59</v>
      </c>
      <c r="E5" s="26" t="s">
        <v>12</v>
      </c>
      <c r="F5" s="36" t="s">
        <v>59</v>
      </c>
      <c r="G5" s="26" t="s">
        <v>13</v>
      </c>
      <c r="H5" s="70"/>
      <c r="I5" s="36"/>
      <c r="J5" s="37" t="s">
        <v>14</v>
      </c>
      <c r="K5" s="38"/>
      <c r="L5" s="26" t="s">
        <v>15</v>
      </c>
      <c r="M5" s="39"/>
      <c r="O5" s="26" t="s">
        <v>61</v>
      </c>
      <c r="P5" s="39"/>
      <c r="R5" s="26" t="s">
        <v>17</v>
      </c>
      <c r="S5" s="39"/>
      <c r="Y5"/>
      <c r="Z5"/>
      <c r="AA5"/>
      <c r="AB5"/>
      <c r="AC5"/>
      <c r="AD5"/>
    </row>
    <row r="6" spans="1:30" s="25" customFormat="1" ht="35.1" customHeight="1">
      <c r="C6" s="40" t="s">
        <v>18</v>
      </c>
      <c r="D6" s="269" t="s">
        <v>40</v>
      </c>
      <c r="E6" s="26" t="s">
        <v>19</v>
      </c>
      <c r="F6" s="277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  <c r="Y6"/>
      <c r="Z6"/>
      <c r="AA6"/>
      <c r="AB6"/>
      <c r="AC6"/>
      <c r="AD6"/>
    </row>
    <row r="7" spans="1:30" s="25" customFormat="1" ht="15" customHeight="1">
      <c r="A7" s="26" t="s">
        <v>69</v>
      </c>
      <c r="B7" s="74" t="s">
        <v>0</v>
      </c>
      <c r="C7" s="77"/>
      <c r="D7" s="26" t="s">
        <v>70</v>
      </c>
      <c r="E7" s="75"/>
      <c r="F7" s="32"/>
      <c r="I7" s="26"/>
      <c r="J7" s="37"/>
      <c r="K7" s="32"/>
      <c r="L7" s="26"/>
      <c r="M7" s="32"/>
      <c r="N7" s="26"/>
      <c r="O7" s="42"/>
      <c r="Q7" s="26"/>
      <c r="R7" s="43"/>
      <c r="Y7"/>
      <c r="Z7"/>
      <c r="AA7"/>
      <c r="AB7"/>
      <c r="AC7"/>
      <c r="AD7"/>
    </row>
    <row r="8" spans="1:30" s="25" customFormat="1" ht="15" customHeight="1">
      <c r="A8" s="26" t="s">
        <v>71</v>
      </c>
      <c r="B8" s="74" t="s">
        <v>0</v>
      </c>
      <c r="C8" s="73"/>
      <c r="D8" s="26" t="s">
        <v>70</v>
      </c>
      <c r="E8" s="76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  <c r="Y8"/>
      <c r="Z8"/>
      <c r="AA8"/>
      <c r="AB8"/>
      <c r="AC8"/>
      <c r="AD8"/>
    </row>
    <row r="9" spans="1:30" s="25" customFormat="1" ht="15" customHeight="1">
      <c r="A9" s="26" t="s">
        <v>72</v>
      </c>
      <c r="B9" s="74" t="s">
        <v>0</v>
      </c>
      <c r="C9" s="73"/>
      <c r="D9" s="26" t="s">
        <v>70</v>
      </c>
      <c r="E9" s="76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  <c r="Y9"/>
      <c r="Z9"/>
      <c r="AA9"/>
      <c r="AB9"/>
      <c r="AC9"/>
      <c r="AD9"/>
    </row>
    <row r="10" spans="1:30" s="25" customFormat="1" ht="15" customHeight="1">
      <c r="A10" s="26" t="s">
        <v>73</v>
      </c>
      <c r="B10" s="74" t="s">
        <v>0</v>
      </c>
      <c r="C10" s="73"/>
      <c r="D10" s="26" t="s">
        <v>70</v>
      </c>
      <c r="E10" s="76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  <c r="Y10"/>
      <c r="Z10"/>
      <c r="AA10"/>
      <c r="AB10"/>
      <c r="AC10"/>
      <c r="AD10"/>
    </row>
    <row r="11" spans="1:30" s="25" customFormat="1" ht="15" customHeight="1">
      <c r="A11" s="26" t="s">
        <v>74</v>
      </c>
      <c r="B11" s="74" t="s">
        <v>0</v>
      </c>
      <c r="C11" s="73"/>
      <c r="D11" s="26" t="s">
        <v>70</v>
      </c>
      <c r="E11" s="76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  <c r="Y11"/>
      <c r="Z11"/>
      <c r="AA11"/>
      <c r="AB11"/>
      <c r="AC11"/>
      <c r="AD11"/>
    </row>
    <row r="12" spans="1:30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51</v>
      </c>
      <c r="W12" s="15" t="s">
        <v>52</v>
      </c>
    </row>
    <row r="13" spans="1:30" ht="35.1" customHeight="1">
      <c r="A13" s="52" t="s">
        <v>24</v>
      </c>
      <c r="B13" s="52" t="s">
        <v>25</v>
      </c>
      <c r="C13" s="53" t="s">
        <v>26</v>
      </c>
      <c r="D13" s="270" t="s">
        <v>0</v>
      </c>
      <c r="E13" s="53" t="s">
        <v>27</v>
      </c>
      <c r="F13" s="270" t="s">
        <v>28</v>
      </c>
      <c r="G13" s="53" t="s">
        <v>29</v>
      </c>
      <c r="H13" s="54" t="s">
        <v>30</v>
      </c>
      <c r="I13" s="53" t="s">
        <v>31</v>
      </c>
      <c r="J13" s="54" t="s">
        <v>32</v>
      </c>
      <c r="K13" s="54" t="s">
        <v>33</v>
      </c>
      <c r="L13" s="54" t="s">
        <v>34</v>
      </c>
      <c r="M13" s="53" t="s">
        <v>35</v>
      </c>
      <c r="N13" s="55" t="s">
        <v>30</v>
      </c>
      <c r="O13" s="56" t="s">
        <v>31</v>
      </c>
      <c r="P13" s="55" t="s">
        <v>32</v>
      </c>
      <c r="Q13" s="55" t="s">
        <v>33</v>
      </c>
      <c r="R13" s="57" t="s">
        <v>36</v>
      </c>
      <c r="S13" s="58" t="s">
        <v>37</v>
      </c>
      <c r="T13" s="59" t="s">
        <v>38</v>
      </c>
      <c r="V13" s="15" t="s">
        <v>57</v>
      </c>
      <c r="W13" s="15" t="s">
        <v>58</v>
      </c>
    </row>
    <row r="14" spans="1:30" s="67" customFormat="1" ht="18" customHeight="1">
      <c r="A14" s="108" t="s">
        <v>642</v>
      </c>
      <c r="B14" s="109">
        <v>1</v>
      </c>
      <c r="C14" s="229" t="s">
        <v>643</v>
      </c>
      <c r="D14" s="271">
        <v>21867</v>
      </c>
      <c r="E14" s="217" t="s">
        <v>583</v>
      </c>
      <c r="F14" s="271">
        <v>60192</v>
      </c>
      <c r="G14" s="105" t="s">
        <v>580</v>
      </c>
      <c r="H14" s="22"/>
      <c r="I14" s="22"/>
      <c r="J14" s="62" t="str">
        <f t="shared" ref="J14:J45" si="0">IF(H14="","",H14+I14)</f>
        <v/>
      </c>
      <c r="K14" s="63"/>
      <c r="L14" s="63"/>
      <c r="M14" s="64" t="str">
        <f t="shared" ref="M14:M45" si="1">IF(L14="","",K14+L14)</f>
        <v/>
      </c>
      <c r="N14" s="22"/>
      <c r="O14" s="22"/>
      <c r="P14" s="62" t="str">
        <f t="shared" ref="P14:P45" si="2">IF(N14="","",N14+O14)</f>
        <v/>
      </c>
      <c r="Q14" s="63"/>
      <c r="R14" s="63"/>
      <c r="S14" s="64" t="str">
        <f t="shared" ref="S14:S45" si="3">IF(R14="","",Q14+R14)</f>
        <v/>
      </c>
      <c r="T14" s="65"/>
      <c r="U14" s="66"/>
      <c r="V14" s="18" t="e">
        <f>IF($C14="","",VLOOKUP($C14,#REF!,4,FALSE))</f>
        <v>#REF!</v>
      </c>
      <c r="W14" s="69" t="e">
        <f>IF($E14="","",VLOOKUP($E14,#REF!,4,FALSE))</f>
        <v>#REF!</v>
      </c>
      <c r="Y14"/>
      <c r="Z14"/>
      <c r="AA14"/>
      <c r="AB14"/>
      <c r="AC14"/>
      <c r="AD14"/>
    </row>
    <row r="15" spans="1:30" s="67" customFormat="1" ht="18" customHeight="1">
      <c r="A15" s="108" t="s">
        <v>642</v>
      </c>
      <c r="B15" s="109">
        <v>2</v>
      </c>
      <c r="C15" s="231" t="s">
        <v>626</v>
      </c>
      <c r="D15" s="271">
        <v>14546</v>
      </c>
      <c r="E15" s="222" t="s">
        <v>576</v>
      </c>
      <c r="F15" s="271" t="s">
        <v>501</v>
      </c>
      <c r="G15" s="105" t="s">
        <v>574</v>
      </c>
      <c r="H15" s="22"/>
      <c r="I15" s="22"/>
      <c r="J15" s="62" t="str">
        <f t="shared" si="0"/>
        <v/>
      </c>
      <c r="K15" s="63"/>
      <c r="L15" s="63"/>
      <c r="M15" s="64" t="str">
        <f t="shared" si="1"/>
        <v/>
      </c>
      <c r="N15" s="22"/>
      <c r="O15" s="22"/>
      <c r="P15" s="62" t="str">
        <f t="shared" si="2"/>
        <v/>
      </c>
      <c r="Q15" s="63"/>
      <c r="R15" s="63"/>
      <c r="S15" s="64" t="str">
        <f t="shared" si="3"/>
        <v/>
      </c>
      <c r="T15" s="65"/>
      <c r="U15" s="66"/>
      <c r="V15" s="18" t="e">
        <f>IF($C15="","",VLOOKUP($C15,#REF!,4,FALSE))</f>
        <v>#REF!</v>
      </c>
      <c r="W15" s="69" t="e">
        <f>IF($E15="","",VLOOKUP($E15,#REF!,4,FALSE))</f>
        <v>#REF!</v>
      </c>
      <c r="Y15" t="s">
        <v>237</v>
      </c>
      <c r="Z15">
        <v>28711</v>
      </c>
      <c r="AA15" t="s">
        <v>150</v>
      </c>
      <c r="AB15" t="s">
        <v>131</v>
      </c>
      <c r="AC15">
        <v>58979</v>
      </c>
      <c r="AD15" t="s">
        <v>156</v>
      </c>
    </row>
    <row r="16" spans="1:30" s="67" customFormat="1" ht="18" customHeight="1">
      <c r="A16" s="108" t="s">
        <v>642</v>
      </c>
      <c r="B16" s="109">
        <v>3</v>
      </c>
      <c r="C16" s="87" t="s">
        <v>134</v>
      </c>
      <c r="D16" s="273">
        <v>13141</v>
      </c>
      <c r="E16" s="217" t="s">
        <v>644</v>
      </c>
      <c r="F16" s="280" t="s">
        <v>501</v>
      </c>
      <c r="G16" s="102" t="s">
        <v>607</v>
      </c>
      <c r="H16" s="22"/>
      <c r="I16" s="22"/>
      <c r="J16" s="62" t="str">
        <f t="shared" si="0"/>
        <v/>
      </c>
      <c r="K16" s="63"/>
      <c r="L16" s="63"/>
      <c r="M16" s="64" t="str">
        <f t="shared" si="1"/>
        <v/>
      </c>
      <c r="N16" s="22"/>
      <c r="O16" s="22"/>
      <c r="P16" s="62" t="str">
        <f t="shared" si="2"/>
        <v/>
      </c>
      <c r="Q16" s="63"/>
      <c r="R16" s="63"/>
      <c r="S16" s="64" t="str">
        <f t="shared" si="3"/>
        <v/>
      </c>
      <c r="T16" s="65"/>
      <c r="U16" s="66"/>
      <c r="V16" s="18" t="e">
        <f>IF($C16="","",VLOOKUP($C16,#REF!,4,FALSE))</f>
        <v>#REF!</v>
      </c>
      <c r="W16" s="69" t="e">
        <f>IF($E16="","",VLOOKUP($E16,#REF!,4,FALSE))</f>
        <v>#REF!</v>
      </c>
      <c r="Y16"/>
      <c r="Z16"/>
      <c r="AA16"/>
      <c r="AB16"/>
      <c r="AC16"/>
      <c r="AD16"/>
    </row>
    <row r="17" spans="1:30" s="67" customFormat="1" ht="18" customHeight="1">
      <c r="A17" s="108" t="s">
        <v>642</v>
      </c>
      <c r="B17" s="109">
        <v>4</v>
      </c>
      <c r="C17" s="112" t="s">
        <v>621</v>
      </c>
      <c r="D17" s="272">
        <v>26433</v>
      </c>
      <c r="E17" s="323" t="s">
        <v>577</v>
      </c>
      <c r="F17" s="272">
        <v>61240</v>
      </c>
      <c r="G17" s="151" t="s">
        <v>574</v>
      </c>
      <c r="H17" s="22"/>
      <c r="I17" s="22"/>
      <c r="J17" s="62" t="str">
        <f t="shared" si="0"/>
        <v/>
      </c>
      <c r="K17" s="63"/>
      <c r="L17" s="63"/>
      <c r="M17" s="64" t="str">
        <f t="shared" si="1"/>
        <v/>
      </c>
      <c r="N17" s="22"/>
      <c r="O17" s="22"/>
      <c r="P17" s="62" t="str">
        <f t="shared" si="2"/>
        <v/>
      </c>
      <c r="Q17" s="63"/>
      <c r="R17" s="63"/>
      <c r="S17" s="64" t="str">
        <f t="shared" si="3"/>
        <v/>
      </c>
      <c r="T17" s="65"/>
      <c r="U17" s="66"/>
      <c r="V17" s="18" t="e">
        <f>IF($C17="","",VLOOKUP($C17,#REF!,4,FALSE))</f>
        <v>#REF!</v>
      </c>
      <c r="W17" s="69" t="e">
        <f>IF($E17="","",VLOOKUP($E17,#REF!,4,FALSE))</f>
        <v>#REF!</v>
      </c>
      <c r="Y17"/>
      <c r="Z17"/>
      <c r="AA17"/>
      <c r="AB17"/>
      <c r="AC17"/>
      <c r="AD17"/>
    </row>
    <row r="18" spans="1:30" s="67" customFormat="1" ht="18" customHeight="1">
      <c r="A18" s="108"/>
      <c r="B18" s="109">
        <v>5</v>
      </c>
      <c r="C18" s="103" t="s">
        <v>645</v>
      </c>
      <c r="D18" s="271">
        <v>20359</v>
      </c>
      <c r="E18" s="210" t="s">
        <v>548</v>
      </c>
      <c r="F18" s="272" t="s">
        <v>501</v>
      </c>
      <c r="G18" s="151" t="s">
        <v>547</v>
      </c>
      <c r="H18" s="22"/>
      <c r="I18" s="22"/>
      <c r="J18" s="62" t="str">
        <f t="shared" si="0"/>
        <v/>
      </c>
      <c r="K18" s="63"/>
      <c r="L18" s="63"/>
      <c r="M18" s="64" t="str">
        <f t="shared" si="1"/>
        <v/>
      </c>
      <c r="N18" s="22"/>
      <c r="O18" s="22"/>
      <c r="P18" s="62" t="str">
        <f t="shared" si="2"/>
        <v/>
      </c>
      <c r="Q18" s="63"/>
      <c r="R18" s="63"/>
      <c r="S18" s="64" t="str">
        <f t="shared" si="3"/>
        <v/>
      </c>
      <c r="T18" s="65"/>
      <c r="U18" s="66"/>
      <c r="V18" s="18" t="e">
        <f>IF($C18="","",VLOOKUP($C18,#REF!,4,FALSE))</f>
        <v>#REF!</v>
      </c>
      <c r="W18" s="69" t="e">
        <f>IF($E18="","",VLOOKUP($E18,#REF!,4,FALSE))</f>
        <v>#REF!</v>
      </c>
      <c r="Y18"/>
      <c r="Z18"/>
      <c r="AA18"/>
      <c r="AB18"/>
      <c r="AC18"/>
      <c r="AD18"/>
    </row>
    <row r="19" spans="1:30" s="67" customFormat="1" ht="18" customHeight="1">
      <c r="A19" s="60"/>
      <c r="B19" s="109">
        <v>6</v>
      </c>
      <c r="C19" s="235" t="s">
        <v>646</v>
      </c>
      <c r="D19" s="271" t="s">
        <v>501</v>
      </c>
      <c r="E19" s="236" t="s">
        <v>583</v>
      </c>
      <c r="F19" s="278">
        <v>60192</v>
      </c>
      <c r="G19" s="225" t="s">
        <v>580</v>
      </c>
      <c r="H19" s="22"/>
      <c r="I19" s="22"/>
      <c r="J19" s="62" t="str">
        <f t="shared" si="0"/>
        <v/>
      </c>
      <c r="K19" s="63"/>
      <c r="L19" s="63"/>
      <c r="M19" s="64" t="str">
        <f t="shared" si="1"/>
        <v/>
      </c>
      <c r="N19" s="22"/>
      <c r="O19" s="22"/>
      <c r="P19" s="62" t="str">
        <f t="shared" si="2"/>
        <v/>
      </c>
      <c r="Q19" s="63"/>
      <c r="R19" s="63"/>
      <c r="S19" s="64" t="str">
        <f t="shared" si="3"/>
        <v/>
      </c>
      <c r="T19" s="65"/>
      <c r="U19" s="66"/>
      <c r="V19" s="18" t="e">
        <f>IF($C19="","",VLOOKUP($C19,#REF!,4,FALSE))</f>
        <v>#REF!</v>
      </c>
      <c r="W19" s="69" t="e">
        <f>IF($E19="","",VLOOKUP($E19,#REF!,4,FALSE))</f>
        <v>#REF!</v>
      </c>
      <c r="Y19"/>
      <c r="Z19"/>
      <c r="AA19"/>
      <c r="AB19"/>
      <c r="AC19"/>
      <c r="AD19"/>
    </row>
    <row r="20" spans="1:30" s="67" customFormat="1" ht="18" customHeight="1">
      <c r="A20" s="60" t="s">
        <v>642</v>
      </c>
      <c r="B20" s="109">
        <v>7</v>
      </c>
      <c r="C20" s="133" t="s">
        <v>236</v>
      </c>
      <c r="D20" s="271">
        <v>11976</v>
      </c>
      <c r="E20" s="238" t="s">
        <v>603</v>
      </c>
      <c r="F20" s="279">
        <v>58347</v>
      </c>
      <c r="G20" s="154" t="s">
        <v>604</v>
      </c>
      <c r="H20" s="22"/>
      <c r="I20" s="22"/>
      <c r="J20" s="62" t="str">
        <f t="shared" si="0"/>
        <v/>
      </c>
      <c r="K20" s="63"/>
      <c r="L20" s="63"/>
      <c r="M20" s="64" t="str">
        <f t="shared" si="1"/>
        <v/>
      </c>
      <c r="N20" s="22"/>
      <c r="O20" s="22"/>
      <c r="P20" s="62" t="str">
        <f t="shared" si="2"/>
        <v/>
      </c>
      <c r="Q20" s="63"/>
      <c r="R20" s="63"/>
      <c r="S20" s="64" t="str">
        <f t="shared" si="3"/>
        <v/>
      </c>
      <c r="T20" s="65"/>
      <c r="U20" s="66"/>
      <c r="V20" s="18" t="e">
        <f>IF($C20="","",VLOOKUP($C20,#REF!,4,FALSE))</f>
        <v>#REF!</v>
      </c>
      <c r="W20" s="69" t="e">
        <f>IF($E20="","",VLOOKUP($E20,#REF!,4,FALSE))</f>
        <v>#REF!</v>
      </c>
      <c r="Y20"/>
      <c r="Z20"/>
      <c r="AA20"/>
      <c r="AB20"/>
      <c r="AC20"/>
      <c r="AD20"/>
    </row>
    <row r="21" spans="1:30" s="67" customFormat="1" ht="18" customHeight="1">
      <c r="A21" s="108"/>
      <c r="B21" s="109">
        <v>8</v>
      </c>
      <c r="C21" s="131" t="s">
        <v>647</v>
      </c>
      <c r="D21" s="271" t="s">
        <v>501</v>
      </c>
      <c r="E21" s="211" t="s">
        <v>576</v>
      </c>
      <c r="F21" s="271" t="s">
        <v>501</v>
      </c>
      <c r="G21" s="169" t="s">
        <v>574</v>
      </c>
      <c r="H21" s="22"/>
      <c r="I21" s="22"/>
      <c r="J21" s="62" t="str">
        <f t="shared" si="0"/>
        <v/>
      </c>
      <c r="K21" s="63"/>
      <c r="L21" s="63"/>
      <c r="M21" s="64" t="str">
        <f t="shared" si="1"/>
        <v/>
      </c>
      <c r="N21" s="22"/>
      <c r="O21" s="22"/>
      <c r="P21" s="62" t="str">
        <f t="shared" si="2"/>
        <v/>
      </c>
      <c r="Q21" s="63"/>
      <c r="R21" s="63"/>
      <c r="S21" s="64" t="str">
        <f t="shared" si="3"/>
        <v/>
      </c>
      <c r="T21" s="65"/>
      <c r="U21" s="66"/>
      <c r="V21" s="18" t="e">
        <f>IF($C21="","",VLOOKUP($C21,#REF!,4,FALSE))</f>
        <v>#REF!</v>
      </c>
      <c r="W21" s="69" t="e">
        <f>IF($E21="","",VLOOKUP($E21,#REF!,4,FALSE))</f>
        <v>#REF!</v>
      </c>
      <c r="Y21" t="s">
        <v>240</v>
      </c>
      <c r="Z21">
        <v>33250</v>
      </c>
      <c r="AA21" t="s">
        <v>153</v>
      </c>
      <c r="AB21" t="s">
        <v>159</v>
      </c>
      <c r="AC21">
        <v>55129</v>
      </c>
      <c r="AD21" t="s">
        <v>158</v>
      </c>
    </row>
    <row r="22" spans="1:30" s="67" customFormat="1" ht="18" customHeight="1">
      <c r="A22" s="108"/>
      <c r="B22" s="109">
        <v>9</v>
      </c>
      <c r="C22" s="131" t="s">
        <v>648</v>
      </c>
      <c r="D22" s="271" t="s">
        <v>501</v>
      </c>
      <c r="E22" s="325" t="s">
        <v>644</v>
      </c>
      <c r="F22" s="271" t="s">
        <v>501</v>
      </c>
      <c r="G22" s="126" t="s">
        <v>607</v>
      </c>
      <c r="H22" s="22"/>
      <c r="I22" s="22"/>
      <c r="J22" s="62" t="str">
        <f t="shared" si="0"/>
        <v/>
      </c>
      <c r="K22" s="63"/>
      <c r="L22" s="63"/>
      <c r="M22" s="64" t="str">
        <f t="shared" si="1"/>
        <v/>
      </c>
      <c r="N22" s="22"/>
      <c r="O22" s="22"/>
      <c r="P22" s="62" t="str">
        <f t="shared" si="2"/>
        <v/>
      </c>
      <c r="Q22" s="63"/>
      <c r="R22" s="63"/>
      <c r="S22" s="64" t="str">
        <f t="shared" si="3"/>
        <v/>
      </c>
      <c r="T22" s="65"/>
      <c r="U22" s="66"/>
      <c r="V22" s="18" t="e">
        <f>IF($C22="","",VLOOKUP($C22,#REF!,4,FALSE))</f>
        <v>#REF!</v>
      </c>
      <c r="W22" s="69" t="e">
        <f>IF($E22="","",VLOOKUP($E22,#REF!,4,FALSE))</f>
        <v>#REF!</v>
      </c>
      <c r="Y22"/>
      <c r="Z22"/>
      <c r="AA22"/>
      <c r="AB22" t="s">
        <v>161</v>
      </c>
      <c r="AC22">
        <v>58659</v>
      </c>
      <c r="AD22" t="s">
        <v>160</v>
      </c>
    </row>
    <row r="23" spans="1:30" s="67" customFormat="1" ht="18" customHeight="1">
      <c r="A23" s="60"/>
      <c r="B23" s="109">
        <v>10</v>
      </c>
      <c r="C23" s="228" t="s">
        <v>649</v>
      </c>
      <c r="D23" s="271" t="s">
        <v>501</v>
      </c>
      <c r="E23" s="324" t="s">
        <v>577</v>
      </c>
      <c r="F23" s="279">
        <v>61240</v>
      </c>
      <c r="G23" s="154" t="s">
        <v>574</v>
      </c>
      <c r="H23" s="22"/>
      <c r="I23" s="22"/>
      <c r="J23" s="62" t="str">
        <f t="shared" si="0"/>
        <v/>
      </c>
      <c r="K23" s="63"/>
      <c r="L23" s="63"/>
      <c r="M23" s="64" t="str">
        <f t="shared" si="1"/>
        <v/>
      </c>
      <c r="N23" s="22"/>
      <c r="O23" s="22"/>
      <c r="P23" s="62" t="str">
        <f t="shared" si="2"/>
        <v/>
      </c>
      <c r="Q23" s="63"/>
      <c r="R23" s="63"/>
      <c r="S23" s="64" t="str">
        <f t="shared" si="3"/>
        <v/>
      </c>
      <c r="T23" s="65"/>
      <c r="U23" s="66"/>
      <c r="V23" s="18" t="e">
        <f>IF($C23="","",VLOOKUP($C23,#REF!,4,FALSE))</f>
        <v>#REF!</v>
      </c>
      <c r="W23" s="69" t="e">
        <f>IF($E23="","",VLOOKUP($E23,#REF!,4,FALSE))</f>
        <v>#REF!</v>
      </c>
      <c r="Y23"/>
      <c r="Z23"/>
      <c r="AA23"/>
      <c r="AB23"/>
      <c r="AC23"/>
      <c r="AD23"/>
    </row>
    <row r="24" spans="1:30" s="67" customFormat="1" ht="18" customHeight="1">
      <c r="A24" s="60"/>
      <c r="B24" s="109">
        <v>11</v>
      </c>
      <c r="C24" s="133" t="s">
        <v>650</v>
      </c>
      <c r="D24" s="271" t="s">
        <v>501</v>
      </c>
      <c r="E24" s="223" t="s">
        <v>583</v>
      </c>
      <c r="F24" s="279">
        <v>60192</v>
      </c>
      <c r="G24" s="154" t="s">
        <v>580</v>
      </c>
      <c r="H24" s="22"/>
      <c r="I24" s="22"/>
      <c r="J24" s="62" t="str">
        <f t="shared" si="0"/>
        <v/>
      </c>
      <c r="K24" s="63"/>
      <c r="L24" s="63"/>
      <c r="M24" s="64" t="str">
        <f t="shared" si="1"/>
        <v/>
      </c>
      <c r="N24" s="22"/>
      <c r="O24" s="22"/>
      <c r="P24" s="62" t="str">
        <f t="shared" si="2"/>
        <v/>
      </c>
      <c r="Q24" s="63"/>
      <c r="R24" s="63"/>
      <c r="S24" s="64" t="str">
        <f t="shared" si="3"/>
        <v/>
      </c>
      <c r="T24" s="65"/>
      <c r="U24" s="66"/>
      <c r="V24" s="18" t="e">
        <f>IF($C24="","",VLOOKUP($C24,#REF!,4,FALSE))</f>
        <v>#REF!</v>
      </c>
      <c r="W24" s="69" t="e">
        <f>IF($E24="","",VLOOKUP($E24,#REF!,4,FALSE))</f>
        <v>#REF!</v>
      </c>
      <c r="Y24"/>
      <c r="Z24"/>
      <c r="AA24"/>
      <c r="AB24"/>
      <c r="AC24"/>
      <c r="AD24"/>
    </row>
    <row r="25" spans="1:30" s="67" customFormat="1" ht="18" customHeight="1">
      <c r="A25" s="108" t="s">
        <v>642</v>
      </c>
      <c r="B25" s="109">
        <v>12</v>
      </c>
      <c r="C25" s="131" t="s">
        <v>643</v>
      </c>
      <c r="D25" s="271">
        <v>21867</v>
      </c>
      <c r="E25" s="211" t="s">
        <v>581</v>
      </c>
      <c r="F25" s="271" t="s">
        <v>501</v>
      </c>
      <c r="G25" s="190" t="s">
        <v>580</v>
      </c>
      <c r="H25" s="22"/>
      <c r="I25" s="22"/>
      <c r="J25" s="62" t="str">
        <f t="shared" si="0"/>
        <v/>
      </c>
      <c r="K25" s="63"/>
      <c r="L25" s="63"/>
      <c r="M25" s="64" t="str">
        <f t="shared" si="1"/>
        <v/>
      </c>
      <c r="N25" s="22"/>
      <c r="O25" s="22"/>
      <c r="P25" s="62" t="str">
        <f t="shared" si="2"/>
        <v/>
      </c>
      <c r="Q25" s="63"/>
      <c r="R25" s="63"/>
      <c r="S25" s="64" t="str">
        <f t="shared" si="3"/>
        <v/>
      </c>
      <c r="T25" s="65"/>
      <c r="U25" s="66"/>
      <c r="V25" s="18" t="e">
        <f>IF($C25="","",VLOOKUP($C25,#REF!,4,FALSE))</f>
        <v>#REF!</v>
      </c>
      <c r="W25" s="69" t="e">
        <f>IF($E25="","",VLOOKUP($E25,#REF!,4,FALSE))</f>
        <v>#REF!</v>
      </c>
      <c r="Y25"/>
      <c r="Z25"/>
      <c r="AA25"/>
      <c r="AB25" t="s">
        <v>131</v>
      </c>
      <c r="AC25">
        <v>58979</v>
      </c>
      <c r="AD25" t="s">
        <v>156</v>
      </c>
    </row>
    <row r="26" spans="1:30" s="67" customFormat="1" ht="18" customHeight="1">
      <c r="A26" s="108"/>
      <c r="B26" s="109">
        <v>13</v>
      </c>
      <c r="C26" s="103" t="s">
        <v>651</v>
      </c>
      <c r="D26" s="271">
        <v>32787</v>
      </c>
      <c r="E26" s="233" t="s">
        <v>603</v>
      </c>
      <c r="F26" s="280">
        <v>58347</v>
      </c>
      <c r="G26" s="182" t="s">
        <v>604</v>
      </c>
      <c r="H26" s="22"/>
      <c r="I26" s="22"/>
      <c r="J26" s="62" t="str">
        <f t="shared" si="0"/>
        <v/>
      </c>
      <c r="K26" s="63"/>
      <c r="L26" s="63"/>
      <c r="M26" s="64" t="str">
        <f t="shared" si="1"/>
        <v/>
      </c>
      <c r="N26" s="22"/>
      <c r="O26" s="22"/>
      <c r="P26" s="62" t="str">
        <f t="shared" si="2"/>
        <v/>
      </c>
      <c r="Q26" s="63"/>
      <c r="R26" s="63"/>
      <c r="S26" s="64" t="str">
        <f t="shared" si="3"/>
        <v/>
      </c>
      <c r="T26" s="65"/>
      <c r="U26" s="66"/>
      <c r="V26" s="18" t="e">
        <f>IF($C26="","",VLOOKUP($C26,#REF!,4,FALSE))</f>
        <v>#REF!</v>
      </c>
      <c r="W26" s="69" t="e">
        <f>IF($E26="","",VLOOKUP($E26,#REF!,4,FALSE))</f>
        <v>#REF!</v>
      </c>
      <c r="Y26"/>
      <c r="Z26"/>
      <c r="AA26"/>
      <c r="AB26"/>
      <c r="AC26"/>
      <c r="AD26"/>
    </row>
    <row r="27" spans="1:30" s="67" customFormat="1" ht="18" customHeight="1">
      <c r="A27" s="108"/>
      <c r="B27" s="109">
        <v>14</v>
      </c>
      <c r="C27" s="131" t="s">
        <v>652</v>
      </c>
      <c r="D27" s="271" t="s">
        <v>501</v>
      </c>
      <c r="E27" s="224" t="s">
        <v>576</v>
      </c>
      <c r="F27" s="271" t="s">
        <v>501</v>
      </c>
      <c r="G27" s="151" t="s">
        <v>574</v>
      </c>
      <c r="H27" s="22"/>
      <c r="I27" s="22"/>
      <c r="J27" s="62" t="str">
        <f t="shared" si="0"/>
        <v/>
      </c>
      <c r="K27" s="63"/>
      <c r="L27" s="63"/>
      <c r="M27" s="64" t="str">
        <f t="shared" si="1"/>
        <v/>
      </c>
      <c r="N27" s="22"/>
      <c r="O27" s="22"/>
      <c r="P27" s="62" t="str">
        <f t="shared" si="2"/>
        <v/>
      </c>
      <c r="Q27" s="63"/>
      <c r="R27" s="63"/>
      <c r="S27" s="64" t="str">
        <f t="shared" si="3"/>
        <v/>
      </c>
      <c r="T27" s="65"/>
      <c r="U27" s="66"/>
      <c r="V27" s="18" t="e">
        <f>IF($C27="","",VLOOKUP($C27,#REF!,4,FALSE))</f>
        <v>#REF!</v>
      </c>
      <c r="W27" s="69" t="e">
        <f>IF($E27="","",VLOOKUP($E27,#REF!,4,FALSE))</f>
        <v>#REF!</v>
      </c>
      <c r="Y27"/>
      <c r="Z27"/>
      <c r="AA27"/>
      <c r="AB27"/>
      <c r="AC27"/>
      <c r="AD27"/>
    </row>
    <row r="28" spans="1:30" s="67" customFormat="1" ht="18" customHeight="1">
      <c r="A28" s="60"/>
      <c r="B28" s="109">
        <v>15</v>
      </c>
      <c r="C28" s="137" t="s">
        <v>653</v>
      </c>
      <c r="D28" s="271">
        <v>33226</v>
      </c>
      <c r="E28" s="239" t="s">
        <v>548</v>
      </c>
      <c r="F28" s="279" t="s">
        <v>501</v>
      </c>
      <c r="G28" s="154" t="s">
        <v>547</v>
      </c>
      <c r="H28" s="22"/>
      <c r="I28" s="22"/>
      <c r="J28" s="62" t="str">
        <f t="shared" si="0"/>
        <v/>
      </c>
      <c r="K28" s="63"/>
      <c r="L28" s="63"/>
      <c r="M28" s="64" t="str">
        <f t="shared" si="1"/>
        <v/>
      </c>
      <c r="N28" s="22"/>
      <c r="O28" s="22"/>
      <c r="P28" s="62" t="str">
        <f t="shared" si="2"/>
        <v/>
      </c>
      <c r="Q28" s="63"/>
      <c r="R28" s="63"/>
      <c r="S28" s="64" t="str">
        <f t="shared" si="3"/>
        <v/>
      </c>
      <c r="T28" s="65"/>
      <c r="U28" s="66"/>
      <c r="V28" s="18" t="e">
        <f>IF($C28="","",VLOOKUP($C28,#REF!,4,FALSE))</f>
        <v>#REF!</v>
      </c>
      <c r="W28" s="69" t="e">
        <f>IF($E28="","",VLOOKUP($E28,#REF!,4,FALSE))</f>
        <v>#REF!</v>
      </c>
      <c r="Y28"/>
      <c r="Z28"/>
      <c r="AA28"/>
      <c r="AB28"/>
      <c r="AC28"/>
      <c r="AD28"/>
    </row>
    <row r="29" spans="1:30" s="67" customFormat="1" ht="18" customHeight="1">
      <c r="A29" s="60"/>
      <c r="B29" s="109">
        <v>16</v>
      </c>
      <c r="C29" s="81" t="s">
        <v>654</v>
      </c>
      <c r="D29" s="274" t="s">
        <v>501</v>
      </c>
      <c r="E29" s="82" t="s">
        <v>581</v>
      </c>
      <c r="F29" s="281" t="s">
        <v>501</v>
      </c>
      <c r="G29" s="83" t="s">
        <v>580</v>
      </c>
      <c r="H29" s="22"/>
      <c r="I29" s="22"/>
      <c r="J29" s="62" t="str">
        <f t="shared" si="0"/>
        <v/>
      </c>
      <c r="K29" s="63"/>
      <c r="L29" s="63"/>
      <c r="M29" s="64" t="str">
        <f t="shared" si="1"/>
        <v/>
      </c>
      <c r="N29" s="22"/>
      <c r="O29" s="22"/>
      <c r="P29" s="62" t="str">
        <f t="shared" si="2"/>
        <v/>
      </c>
      <c r="Q29" s="63"/>
      <c r="R29" s="63"/>
      <c r="S29" s="64" t="str">
        <f t="shared" si="3"/>
        <v/>
      </c>
      <c r="T29" s="65"/>
      <c r="U29" s="66"/>
      <c r="V29" s="18" t="e">
        <f>IF($C29="","",VLOOKUP($C29,#REF!,4,FALSE))</f>
        <v>#REF!</v>
      </c>
      <c r="W29" s="69" t="e">
        <f>IF($E29="","",VLOOKUP($E29,#REF!,4,FALSE))</f>
        <v>#REF!</v>
      </c>
      <c r="Y29"/>
      <c r="Z29"/>
      <c r="AA29"/>
      <c r="AB29"/>
      <c r="AC29"/>
      <c r="AD29"/>
    </row>
    <row r="30" spans="1:30" s="67" customFormat="1" ht="18" customHeight="1">
      <c r="A30" s="108"/>
      <c r="B30" s="109">
        <v>17</v>
      </c>
      <c r="C30" s="231" t="s">
        <v>655</v>
      </c>
      <c r="D30" s="273" t="s">
        <v>501</v>
      </c>
      <c r="E30" s="221" t="s">
        <v>603</v>
      </c>
      <c r="F30" s="280">
        <v>58347</v>
      </c>
      <c r="G30" s="149" t="s">
        <v>604</v>
      </c>
      <c r="H30" s="22"/>
      <c r="I30" s="22"/>
      <c r="J30" s="62" t="str">
        <f t="shared" si="0"/>
        <v/>
      </c>
      <c r="K30" s="63"/>
      <c r="L30" s="63"/>
      <c r="M30" s="64" t="str">
        <f t="shared" si="1"/>
        <v/>
      </c>
      <c r="N30" s="22"/>
      <c r="O30" s="22"/>
      <c r="P30" s="62" t="str">
        <f t="shared" si="2"/>
        <v/>
      </c>
      <c r="Q30" s="63"/>
      <c r="R30" s="63"/>
      <c r="S30" s="64" t="str">
        <f t="shared" si="3"/>
        <v/>
      </c>
      <c r="T30" s="65"/>
      <c r="U30" s="66"/>
      <c r="V30" s="18" t="e">
        <f>IF(#REF!="","",VLOOKUP(#REF!,#REF!,4,FALSE))</f>
        <v>#REF!</v>
      </c>
      <c r="W30" s="69" t="e">
        <f>IF(#REF!="","",VLOOKUP(#REF!,#REF!,4,FALSE))</f>
        <v>#REF!</v>
      </c>
      <c r="Y30" t="s">
        <v>239</v>
      </c>
      <c r="Z30">
        <v>32929</v>
      </c>
      <c r="AA30" t="s">
        <v>152</v>
      </c>
      <c r="AB30" t="s">
        <v>122</v>
      </c>
      <c r="AC30">
        <v>59796</v>
      </c>
      <c r="AD30" t="s">
        <v>157</v>
      </c>
    </row>
    <row r="31" spans="1:30" s="67" customFormat="1" ht="18" customHeight="1">
      <c r="A31" s="108" t="s">
        <v>642</v>
      </c>
      <c r="B31" s="109">
        <v>18</v>
      </c>
      <c r="C31" s="229" t="s">
        <v>656</v>
      </c>
      <c r="D31" s="271">
        <v>23921</v>
      </c>
      <c r="E31" s="213" t="s">
        <v>500</v>
      </c>
      <c r="F31" s="271" t="s">
        <v>501</v>
      </c>
      <c r="G31" s="105" t="s">
        <v>502</v>
      </c>
      <c r="H31" s="22"/>
      <c r="I31" s="22"/>
      <c r="J31" s="62" t="str">
        <f t="shared" si="0"/>
        <v/>
      </c>
      <c r="K31" s="63"/>
      <c r="L31" s="63"/>
      <c r="M31" s="64" t="str">
        <f t="shared" si="1"/>
        <v/>
      </c>
      <c r="N31" s="22"/>
      <c r="O31" s="22"/>
      <c r="P31" s="62" t="str">
        <f t="shared" si="2"/>
        <v/>
      </c>
      <c r="Q31" s="63"/>
      <c r="R31" s="63"/>
      <c r="S31" s="64" t="str">
        <f t="shared" si="3"/>
        <v/>
      </c>
      <c r="T31" s="65"/>
      <c r="U31" s="66"/>
      <c r="V31" s="18" t="e">
        <f>IF($C31="","",VLOOKUP($C31,#REF!,4,FALSE))</f>
        <v>#REF!</v>
      </c>
      <c r="W31" s="69" t="e">
        <f>IF($E31="","",VLOOKUP($E31,#REF!,4,FALSE))</f>
        <v>#REF!</v>
      </c>
      <c r="Y31"/>
      <c r="Z31"/>
      <c r="AA31"/>
      <c r="AB31"/>
      <c r="AC31"/>
      <c r="AD31"/>
    </row>
    <row r="32" spans="1:30" s="67" customFormat="1" ht="18" customHeight="1">
      <c r="A32" s="108" t="s">
        <v>642</v>
      </c>
      <c r="B32" s="109">
        <v>19</v>
      </c>
      <c r="C32" s="87" t="s">
        <v>134</v>
      </c>
      <c r="D32" s="271">
        <v>13141</v>
      </c>
      <c r="E32" s="215" t="s">
        <v>611</v>
      </c>
      <c r="F32" s="271" t="s">
        <v>531</v>
      </c>
      <c r="G32" s="87" t="s">
        <v>607</v>
      </c>
      <c r="H32" s="22"/>
      <c r="I32" s="22"/>
      <c r="J32" s="62" t="str">
        <f t="shared" si="0"/>
        <v/>
      </c>
      <c r="K32" s="63"/>
      <c r="L32" s="63"/>
      <c r="M32" s="64" t="str">
        <f t="shared" si="1"/>
        <v/>
      </c>
      <c r="N32" s="22"/>
      <c r="O32" s="22"/>
      <c r="P32" s="62" t="str">
        <f t="shared" si="2"/>
        <v/>
      </c>
      <c r="Q32" s="63"/>
      <c r="R32" s="63"/>
      <c r="S32" s="64" t="str">
        <f t="shared" si="3"/>
        <v/>
      </c>
      <c r="T32" s="65"/>
      <c r="U32" s="66"/>
      <c r="V32" s="18" t="e">
        <f>IF($C32="","",VLOOKUP($C32,#REF!,4,FALSE))</f>
        <v>#REF!</v>
      </c>
      <c r="W32" s="69" t="e">
        <f>IF($E32="","",VLOOKUP($E32,#REF!,4,FALSE))</f>
        <v>#REF!</v>
      </c>
      <c r="Y32"/>
      <c r="Z32"/>
      <c r="AA32"/>
      <c r="AB32"/>
      <c r="AC32"/>
      <c r="AD32"/>
    </row>
    <row r="33" spans="1:30" s="67" customFormat="1" ht="18" customHeight="1">
      <c r="A33" s="108" t="s">
        <v>642</v>
      </c>
      <c r="B33" s="109">
        <v>20</v>
      </c>
      <c r="C33" s="87" t="s">
        <v>626</v>
      </c>
      <c r="D33" s="273">
        <v>14546</v>
      </c>
      <c r="E33" s="88" t="s">
        <v>575</v>
      </c>
      <c r="F33" s="280" t="s">
        <v>501</v>
      </c>
      <c r="G33" s="102" t="s">
        <v>574</v>
      </c>
      <c r="H33" s="22"/>
      <c r="I33" s="22"/>
      <c r="J33" s="62" t="str">
        <f t="shared" si="0"/>
        <v/>
      </c>
      <c r="K33" s="63"/>
      <c r="L33" s="63"/>
      <c r="M33" s="64" t="str">
        <f t="shared" si="1"/>
        <v/>
      </c>
      <c r="N33" s="22"/>
      <c r="O33" s="22"/>
      <c r="P33" s="62" t="str">
        <f t="shared" si="2"/>
        <v/>
      </c>
      <c r="Q33" s="63"/>
      <c r="R33" s="63"/>
      <c r="S33" s="64" t="str">
        <f t="shared" si="3"/>
        <v/>
      </c>
      <c r="T33" s="65"/>
      <c r="U33" s="66"/>
      <c r="V33" s="18" t="e">
        <f>IF($C33="","",VLOOKUP($C33,#REF!,4,FALSE))</f>
        <v>#REF!</v>
      </c>
      <c r="W33" s="69" t="e">
        <f>IF($E33="","",VLOOKUP($E33,#REF!,4,FALSE))</f>
        <v>#REF!</v>
      </c>
      <c r="Y33" t="s">
        <v>236</v>
      </c>
      <c r="Z33">
        <v>11976</v>
      </c>
      <c r="AA33" t="s">
        <v>149</v>
      </c>
      <c r="AB33"/>
      <c r="AC33"/>
      <c r="AD33"/>
    </row>
    <row r="34" spans="1:30" s="67" customFormat="1" ht="18" customHeight="1">
      <c r="A34" s="60" t="s">
        <v>642</v>
      </c>
      <c r="B34" s="109">
        <v>21</v>
      </c>
      <c r="C34" s="21" t="s">
        <v>643</v>
      </c>
      <c r="D34" s="275">
        <v>21867</v>
      </c>
      <c r="E34" s="21" t="s">
        <v>579</v>
      </c>
      <c r="F34" s="282" t="s">
        <v>501</v>
      </c>
      <c r="G34" s="23" t="s">
        <v>580</v>
      </c>
      <c r="H34" s="22"/>
      <c r="I34" s="22"/>
      <c r="J34" s="62" t="str">
        <f t="shared" si="0"/>
        <v/>
      </c>
      <c r="K34" s="63"/>
      <c r="L34" s="63"/>
      <c r="M34" s="64" t="str">
        <f t="shared" si="1"/>
        <v/>
      </c>
      <c r="N34" s="22"/>
      <c r="O34" s="22"/>
      <c r="P34" s="62" t="str">
        <f t="shared" si="2"/>
        <v/>
      </c>
      <c r="Q34" s="63"/>
      <c r="R34" s="63"/>
      <c r="S34" s="64" t="str">
        <f t="shared" si="3"/>
        <v/>
      </c>
      <c r="T34" s="65"/>
      <c r="U34" s="66"/>
      <c r="V34" s="18" t="e">
        <f>IF($C34="","",VLOOKUP($C34,#REF!,4,FALSE))</f>
        <v>#REF!</v>
      </c>
      <c r="W34" s="69" t="e">
        <f>IF($E34="","",VLOOKUP($E34,#REF!,4,FALSE))</f>
        <v>#REF!</v>
      </c>
      <c r="Y34"/>
      <c r="Z34"/>
      <c r="AA34"/>
      <c r="AB34"/>
      <c r="AC34"/>
      <c r="AD34"/>
    </row>
    <row r="35" spans="1:30" s="67" customFormat="1" ht="18" customHeight="1">
      <c r="A35" s="108"/>
      <c r="B35" s="109">
        <v>22</v>
      </c>
      <c r="C35" s="87" t="s">
        <v>657</v>
      </c>
      <c r="D35" s="271" t="s">
        <v>501</v>
      </c>
      <c r="E35" s="221" t="s">
        <v>581</v>
      </c>
      <c r="F35" s="271" t="s">
        <v>501</v>
      </c>
      <c r="G35" s="105" t="s">
        <v>580</v>
      </c>
      <c r="H35" s="22"/>
      <c r="I35" s="22"/>
      <c r="J35" s="62" t="str">
        <f t="shared" si="0"/>
        <v/>
      </c>
      <c r="K35" s="63"/>
      <c r="L35" s="63"/>
      <c r="M35" s="64" t="str">
        <f t="shared" si="1"/>
        <v/>
      </c>
      <c r="N35" s="22"/>
      <c r="O35" s="22"/>
      <c r="P35" s="62" t="str">
        <f t="shared" si="2"/>
        <v/>
      </c>
      <c r="Q35" s="63"/>
      <c r="R35" s="63"/>
      <c r="S35" s="64" t="str">
        <f t="shared" si="3"/>
        <v/>
      </c>
      <c r="T35" s="65"/>
      <c r="U35" s="66"/>
      <c r="V35" s="18" t="e">
        <f>IF($C35="","",VLOOKUP($C35,#REF!,4,FALSE))</f>
        <v>#REF!</v>
      </c>
      <c r="W35" s="69" t="e">
        <f>IF($E35="","",VLOOKUP($E35,#REF!,4,FALSE))</f>
        <v>#REF!</v>
      </c>
      <c r="Y35"/>
      <c r="Z35"/>
      <c r="AA35"/>
      <c r="AB35"/>
      <c r="AC35"/>
      <c r="AD35"/>
    </row>
    <row r="36" spans="1:30" s="67" customFormat="1" ht="18" customHeight="1">
      <c r="A36" s="108"/>
      <c r="B36" s="109">
        <v>23</v>
      </c>
      <c r="C36" s="125" t="s">
        <v>241</v>
      </c>
      <c r="D36" s="271">
        <v>30373</v>
      </c>
      <c r="E36" s="214" t="s">
        <v>512</v>
      </c>
      <c r="F36" s="271">
        <v>59173</v>
      </c>
      <c r="G36" s="124" t="s">
        <v>658</v>
      </c>
      <c r="H36" s="22"/>
      <c r="I36" s="22"/>
      <c r="J36" s="62" t="str">
        <f t="shared" si="0"/>
        <v/>
      </c>
      <c r="K36" s="63"/>
      <c r="L36" s="63"/>
      <c r="M36" s="64" t="str">
        <f t="shared" si="1"/>
        <v/>
      </c>
      <c r="N36" s="22"/>
      <c r="O36" s="22"/>
      <c r="P36" s="62" t="str">
        <f t="shared" si="2"/>
        <v/>
      </c>
      <c r="Q36" s="63"/>
      <c r="R36" s="63"/>
      <c r="S36" s="64" t="str">
        <f t="shared" si="3"/>
        <v/>
      </c>
      <c r="T36" s="65"/>
      <c r="U36" s="66"/>
      <c r="V36" s="18" t="e">
        <f>IF($C36="","",VLOOKUP($C36,#REF!,4,FALSE))</f>
        <v>#REF!</v>
      </c>
      <c r="W36" s="69" t="e">
        <f>IF($E36="","",VLOOKUP($E36,#REF!,4,FALSE))</f>
        <v>#REF!</v>
      </c>
      <c r="Y36"/>
      <c r="Z36"/>
      <c r="AA36"/>
      <c r="AB36"/>
      <c r="AC36"/>
      <c r="AD36"/>
    </row>
    <row r="37" spans="1:30" s="67" customFormat="1" ht="18" customHeight="1">
      <c r="A37" s="108"/>
      <c r="B37" s="109">
        <v>24</v>
      </c>
      <c r="C37" s="125" t="s">
        <v>659</v>
      </c>
      <c r="D37" s="271" t="s">
        <v>501</v>
      </c>
      <c r="E37" s="125" t="s">
        <v>611</v>
      </c>
      <c r="F37" s="271" t="s">
        <v>531</v>
      </c>
      <c r="G37" s="124" t="s">
        <v>607</v>
      </c>
      <c r="H37" s="22"/>
      <c r="I37" s="22"/>
      <c r="J37" s="62" t="str">
        <f t="shared" si="0"/>
        <v/>
      </c>
      <c r="K37" s="63"/>
      <c r="L37" s="63"/>
      <c r="M37" s="64" t="str">
        <f t="shared" si="1"/>
        <v/>
      </c>
      <c r="N37" s="22"/>
      <c r="O37" s="22"/>
      <c r="P37" s="62" t="str">
        <f t="shared" si="2"/>
        <v/>
      </c>
      <c r="Q37" s="63"/>
      <c r="R37" s="63"/>
      <c r="S37" s="64" t="str">
        <f t="shared" si="3"/>
        <v/>
      </c>
      <c r="T37" s="65"/>
      <c r="U37" s="66"/>
      <c r="V37" s="18" t="e">
        <f>IF($C37="","",VLOOKUP($C37,#REF!,4,FALSE))</f>
        <v>#REF!</v>
      </c>
      <c r="W37" s="69" t="e">
        <f>IF($E37="","",VLOOKUP($E37,#REF!,4,FALSE))</f>
        <v>#REF!</v>
      </c>
      <c r="Y37" t="s">
        <v>242</v>
      </c>
      <c r="Z37">
        <v>31710</v>
      </c>
      <c r="AA37" t="s">
        <v>155</v>
      </c>
      <c r="AB37"/>
      <c r="AC37"/>
      <c r="AD37"/>
    </row>
    <row r="38" spans="1:30" s="67" customFormat="1" ht="18" customHeight="1">
      <c r="A38" s="60"/>
      <c r="B38" s="109">
        <v>25</v>
      </c>
      <c r="C38" s="227" t="s">
        <v>660</v>
      </c>
      <c r="D38" s="271" t="s">
        <v>501</v>
      </c>
      <c r="E38" s="218" t="s">
        <v>575</v>
      </c>
      <c r="F38" s="279" t="s">
        <v>501</v>
      </c>
      <c r="G38" s="138" t="s">
        <v>574</v>
      </c>
      <c r="H38" s="22"/>
      <c r="I38" s="22"/>
      <c r="J38" s="62" t="str">
        <f t="shared" si="0"/>
        <v/>
      </c>
      <c r="K38" s="63"/>
      <c r="L38" s="63"/>
      <c r="M38" s="64" t="str">
        <f t="shared" si="1"/>
        <v/>
      </c>
      <c r="N38" s="22"/>
      <c r="O38" s="22"/>
      <c r="P38" s="62" t="str">
        <f t="shared" si="2"/>
        <v/>
      </c>
      <c r="Q38" s="63"/>
      <c r="R38" s="63"/>
      <c r="S38" s="64" t="str">
        <f t="shared" si="3"/>
        <v/>
      </c>
      <c r="T38" s="65"/>
      <c r="U38" s="66"/>
      <c r="V38" s="18" t="e">
        <f>IF($C38="","",VLOOKUP($C38,#REF!,4,FALSE))</f>
        <v>#REF!</v>
      </c>
      <c r="W38" s="69" t="e">
        <f>IF($E38="","",VLOOKUP($E38,#REF!,4,FALSE))</f>
        <v>#REF!</v>
      </c>
      <c r="Y38"/>
      <c r="Z38"/>
      <c r="AA38"/>
      <c r="AB38"/>
      <c r="AC38"/>
      <c r="AD38"/>
    </row>
    <row r="39" spans="1:30" s="67" customFormat="1" ht="18" customHeight="1">
      <c r="A39" s="108"/>
      <c r="B39" s="109">
        <v>26</v>
      </c>
      <c r="C39" s="125" t="s">
        <v>661</v>
      </c>
      <c r="D39" s="271" t="s">
        <v>501</v>
      </c>
      <c r="E39" s="131" t="s">
        <v>579</v>
      </c>
      <c r="F39" s="283" t="s">
        <v>501</v>
      </c>
      <c r="G39" s="226" t="s">
        <v>580</v>
      </c>
      <c r="H39" s="22"/>
      <c r="I39" s="22"/>
      <c r="J39" s="62" t="str">
        <f t="shared" si="0"/>
        <v/>
      </c>
      <c r="K39" s="63"/>
      <c r="L39" s="63"/>
      <c r="M39" s="64" t="str">
        <f t="shared" si="1"/>
        <v/>
      </c>
      <c r="N39" s="22"/>
      <c r="O39" s="22"/>
      <c r="P39" s="62" t="str">
        <f t="shared" si="2"/>
        <v/>
      </c>
      <c r="Q39" s="63"/>
      <c r="R39" s="63"/>
      <c r="S39" s="64" t="str">
        <f t="shared" si="3"/>
        <v/>
      </c>
      <c r="T39" s="65"/>
      <c r="U39" s="66"/>
      <c r="V39" s="18" t="e">
        <f>IF($C39="","",VLOOKUP($C39,#REF!,4,FALSE))</f>
        <v>#REF!</v>
      </c>
      <c r="W39" s="69" t="e">
        <f>IF($E39="","",VLOOKUP($E39,#REF!,4,FALSE))</f>
        <v>#REF!</v>
      </c>
      <c r="Y39" t="s">
        <v>238</v>
      </c>
      <c r="Z39">
        <v>30169</v>
      </c>
      <c r="AA39" t="s">
        <v>151</v>
      </c>
      <c r="AB39"/>
      <c r="AC39"/>
      <c r="AD39"/>
    </row>
    <row r="40" spans="1:30" s="67" customFormat="1" ht="18" customHeight="1">
      <c r="A40" s="108"/>
      <c r="B40" s="109">
        <v>27</v>
      </c>
      <c r="C40" s="125" t="s">
        <v>662</v>
      </c>
      <c r="D40" s="271" t="s">
        <v>501</v>
      </c>
      <c r="E40" s="221" t="s">
        <v>634</v>
      </c>
      <c r="F40" s="271" t="s">
        <v>501</v>
      </c>
      <c r="G40" s="105" t="s">
        <v>521</v>
      </c>
      <c r="H40" s="22"/>
      <c r="I40" s="22"/>
      <c r="J40" s="62" t="str">
        <f t="shared" si="0"/>
        <v/>
      </c>
      <c r="K40" s="63"/>
      <c r="L40" s="63"/>
      <c r="M40" s="64" t="str">
        <f t="shared" si="1"/>
        <v/>
      </c>
      <c r="N40" s="22"/>
      <c r="O40" s="22"/>
      <c r="P40" s="62" t="str">
        <f t="shared" si="2"/>
        <v/>
      </c>
      <c r="Q40" s="63"/>
      <c r="R40" s="63"/>
      <c r="S40" s="64" t="str">
        <f t="shared" si="3"/>
        <v/>
      </c>
      <c r="T40" s="65"/>
      <c r="U40" s="66"/>
      <c r="V40" s="18" t="e">
        <f>IF($C40="","",VLOOKUP($C40,#REF!,4,FALSE))</f>
        <v>#REF!</v>
      </c>
      <c r="W40" s="69" t="e">
        <f>IF($E40="","",VLOOKUP($E40,#REF!,4,FALSE))</f>
        <v>#REF!</v>
      </c>
      <c r="Y40" t="s">
        <v>241</v>
      </c>
      <c r="Z40">
        <v>30373</v>
      </c>
      <c r="AA40" t="s">
        <v>154</v>
      </c>
      <c r="AB40"/>
      <c r="AC40"/>
      <c r="AD40"/>
    </row>
    <row r="41" spans="1:30" s="67" customFormat="1" ht="18" customHeight="1">
      <c r="A41" s="108" t="s">
        <v>642</v>
      </c>
      <c r="B41" s="109">
        <v>28</v>
      </c>
      <c r="C41" s="229" t="s">
        <v>236</v>
      </c>
      <c r="D41" s="273">
        <v>11976</v>
      </c>
      <c r="E41" s="216" t="s">
        <v>605</v>
      </c>
      <c r="F41" s="280" t="s">
        <v>501</v>
      </c>
      <c r="G41" s="102" t="s">
        <v>604</v>
      </c>
      <c r="H41" s="22"/>
      <c r="I41" s="22"/>
      <c r="J41" s="62" t="str">
        <f t="shared" si="0"/>
        <v/>
      </c>
      <c r="K41" s="63"/>
      <c r="L41" s="63"/>
      <c r="M41" s="64" t="str">
        <f t="shared" si="1"/>
        <v/>
      </c>
      <c r="N41" s="22"/>
      <c r="O41" s="22"/>
      <c r="P41" s="62" t="str">
        <f t="shared" si="2"/>
        <v/>
      </c>
      <c r="Q41" s="63"/>
      <c r="R41" s="63"/>
      <c r="S41" s="64" t="str">
        <f t="shared" si="3"/>
        <v/>
      </c>
      <c r="T41" s="65"/>
      <c r="U41" s="66"/>
      <c r="V41" s="18" t="e">
        <f>IF($C41="","",VLOOKUP($C41,#REF!,4,FALSE))</f>
        <v>#REF!</v>
      </c>
      <c r="W41" s="69" t="e">
        <f>IF($E41="","",VLOOKUP($E41,#REF!,4,FALSE))</f>
        <v>#REF!</v>
      </c>
      <c r="Y41"/>
      <c r="Z41"/>
      <c r="AA41"/>
      <c r="AB41"/>
      <c r="AC41"/>
      <c r="AD41"/>
    </row>
    <row r="42" spans="1:30" s="67" customFormat="1" ht="18" customHeight="1">
      <c r="A42" s="60"/>
      <c r="B42" s="109">
        <v>29</v>
      </c>
      <c r="C42" s="21" t="s">
        <v>663</v>
      </c>
      <c r="D42" s="275" t="s">
        <v>501</v>
      </c>
      <c r="E42" s="21" t="s">
        <v>500</v>
      </c>
      <c r="F42" s="282" t="s">
        <v>501</v>
      </c>
      <c r="G42" s="23" t="s">
        <v>502</v>
      </c>
      <c r="H42" s="22"/>
      <c r="I42" s="22"/>
      <c r="J42" s="62" t="str">
        <f t="shared" si="0"/>
        <v/>
      </c>
      <c r="K42" s="63"/>
      <c r="L42" s="63"/>
      <c r="M42" s="64" t="str">
        <f t="shared" si="1"/>
        <v/>
      </c>
      <c r="N42" s="22"/>
      <c r="O42" s="22"/>
      <c r="P42" s="62" t="str">
        <f t="shared" si="2"/>
        <v/>
      </c>
      <c r="Q42" s="63"/>
      <c r="R42" s="63"/>
      <c r="S42" s="64" t="str">
        <f t="shared" si="3"/>
        <v/>
      </c>
      <c r="T42" s="65"/>
      <c r="U42" s="66"/>
      <c r="V42" s="18" t="e">
        <f>IF($C42="","",VLOOKUP($C42,#REF!,4,FALSE))</f>
        <v>#REF!</v>
      </c>
      <c r="W42" s="69" t="e">
        <f>IF($E42="","",VLOOKUP($E42,#REF!,4,FALSE))</f>
        <v>#REF!</v>
      </c>
      <c r="Y42"/>
      <c r="Z42"/>
      <c r="AA42"/>
      <c r="AB42"/>
      <c r="AC42"/>
      <c r="AD42"/>
    </row>
    <row r="43" spans="1:30" s="67" customFormat="1" ht="18" customHeight="1">
      <c r="A43" s="111"/>
      <c r="B43" s="109">
        <v>30</v>
      </c>
      <c r="C43" s="87" t="s">
        <v>664</v>
      </c>
      <c r="D43" s="271" t="s">
        <v>501</v>
      </c>
      <c r="E43" s="213" t="s">
        <v>575</v>
      </c>
      <c r="F43" s="271" t="s">
        <v>501</v>
      </c>
      <c r="G43" s="102" t="s">
        <v>574</v>
      </c>
      <c r="H43" s="22"/>
      <c r="I43" s="22"/>
      <c r="J43" s="62" t="str">
        <f t="shared" si="0"/>
        <v/>
      </c>
      <c r="K43" s="63"/>
      <c r="L43" s="63"/>
      <c r="M43" s="64" t="str">
        <f t="shared" si="1"/>
        <v/>
      </c>
      <c r="N43" s="22"/>
      <c r="O43" s="22"/>
      <c r="P43" s="62" t="str">
        <f t="shared" si="2"/>
        <v/>
      </c>
      <c r="Q43" s="63"/>
      <c r="R43" s="63"/>
      <c r="S43" s="64" t="str">
        <f t="shared" si="3"/>
        <v/>
      </c>
      <c r="T43" s="65"/>
      <c r="U43" s="66"/>
      <c r="V43" s="18" t="e">
        <f>IF($C43="","",VLOOKUP($C43,#REF!,4,FALSE))</f>
        <v>#REF!</v>
      </c>
      <c r="W43" s="69" t="e">
        <f>IF($E43="","",VLOOKUP($E43,#REF!,4,FALSE))</f>
        <v>#REF!</v>
      </c>
      <c r="Y43"/>
      <c r="Z43"/>
      <c r="AA43"/>
      <c r="AB43"/>
      <c r="AC43"/>
      <c r="AD43"/>
    </row>
    <row r="44" spans="1:30" s="67" customFormat="1" ht="18" customHeight="1">
      <c r="A44" s="108" t="s">
        <v>642</v>
      </c>
      <c r="B44" s="109">
        <v>31</v>
      </c>
      <c r="C44" s="232" t="s">
        <v>643</v>
      </c>
      <c r="D44" s="271">
        <v>21867</v>
      </c>
      <c r="E44" s="220" t="s">
        <v>582</v>
      </c>
      <c r="F44" s="271" t="s">
        <v>501</v>
      </c>
      <c r="G44" s="124" t="s">
        <v>580</v>
      </c>
      <c r="H44" s="22"/>
      <c r="I44" s="22"/>
      <c r="J44" s="62" t="str">
        <f t="shared" si="0"/>
        <v/>
      </c>
      <c r="K44" s="63"/>
      <c r="L44" s="63"/>
      <c r="M44" s="64" t="str">
        <f t="shared" si="1"/>
        <v/>
      </c>
      <c r="N44" s="22"/>
      <c r="O44" s="22"/>
      <c r="P44" s="62" t="str">
        <f t="shared" si="2"/>
        <v/>
      </c>
      <c r="Q44" s="63"/>
      <c r="R44" s="63"/>
      <c r="S44" s="64" t="str">
        <f t="shared" si="3"/>
        <v/>
      </c>
      <c r="T44" s="65"/>
      <c r="U44" s="66"/>
      <c r="V44" s="18" t="e">
        <f>IF($C44="","",VLOOKUP($C44,#REF!,4,FALSE))</f>
        <v>#REF!</v>
      </c>
      <c r="W44" s="69" t="e">
        <f>IF($E44="","",VLOOKUP($E44,#REF!,4,FALSE))</f>
        <v>#REF!</v>
      </c>
      <c r="Y44" t="s">
        <v>236</v>
      </c>
      <c r="Z44">
        <v>11976</v>
      </c>
      <c r="AA44" t="s">
        <v>149</v>
      </c>
      <c r="AB44"/>
      <c r="AC44"/>
      <c r="AD44"/>
    </row>
    <row r="45" spans="1:30" s="67" customFormat="1" ht="18" customHeight="1">
      <c r="A45" s="60" t="s">
        <v>642</v>
      </c>
      <c r="B45" s="109">
        <v>32</v>
      </c>
      <c r="C45" s="81" t="s">
        <v>134</v>
      </c>
      <c r="D45" s="275">
        <v>13141</v>
      </c>
      <c r="E45" s="219" t="s">
        <v>612</v>
      </c>
      <c r="F45" s="275" t="s">
        <v>531</v>
      </c>
      <c r="G45" s="110" t="s">
        <v>607</v>
      </c>
      <c r="H45" s="22"/>
      <c r="I45" s="22"/>
      <c r="J45" s="62" t="str">
        <f t="shared" si="0"/>
        <v/>
      </c>
      <c r="K45" s="63"/>
      <c r="L45" s="63"/>
      <c r="M45" s="64" t="str">
        <f t="shared" si="1"/>
        <v/>
      </c>
      <c r="N45" s="22"/>
      <c r="O45" s="22"/>
      <c r="P45" s="62" t="str">
        <f t="shared" si="2"/>
        <v/>
      </c>
      <c r="Q45" s="63"/>
      <c r="R45" s="63"/>
      <c r="S45" s="64" t="str">
        <f t="shared" si="3"/>
        <v/>
      </c>
      <c r="T45" s="65"/>
      <c r="U45" s="66"/>
      <c r="V45" s="18" t="e">
        <f>IF($C45="","",VLOOKUP($C45,#REF!,4,FALSE))</f>
        <v>#REF!</v>
      </c>
      <c r="W45" s="69" t="e">
        <f>IF($E45="","",VLOOKUP($E45,#REF!,4,FALSE))</f>
        <v>#REF!</v>
      </c>
      <c r="Y45"/>
      <c r="Z45"/>
      <c r="AA45"/>
      <c r="AB45"/>
      <c r="AC45"/>
      <c r="AD45"/>
    </row>
    <row r="46" spans="1:30" s="67" customFormat="1" ht="18" customHeight="1">
      <c r="A46" s="108"/>
      <c r="B46" s="109">
        <v>33</v>
      </c>
      <c r="C46" s="87" t="s">
        <v>665</v>
      </c>
      <c r="D46" s="271">
        <v>6200</v>
      </c>
      <c r="E46" s="125" t="s">
        <v>579</v>
      </c>
      <c r="F46" s="271" t="s">
        <v>501</v>
      </c>
      <c r="G46" s="124" t="s">
        <v>580</v>
      </c>
      <c r="H46" s="22"/>
      <c r="I46" s="22"/>
      <c r="J46" s="62" t="str">
        <f t="shared" ref="J46:J73" si="4">IF(H46="","",H46+I46)</f>
        <v/>
      </c>
      <c r="K46" s="63"/>
      <c r="L46" s="63"/>
      <c r="M46" s="64" t="str">
        <f t="shared" ref="M46:M73" si="5">IF(L46="","",K46+L46)</f>
        <v/>
      </c>
      <c r="N46" s="22"/>
      <c r="O46" s="22"/>
      <c r="P46" s="62" t="str">
        <f t="shared" ref="P46:P73" si="6">IF(N46="","",N46+O46)</f>
        <v/>
      </c>
      <c r="Q46" s="63"/>
      <c r="R46" s="63"/>
      <c r="S46" s="64" t="str">
        <f t="shared" ref="S46:S73" si="7">IF(R46="","",Q46+R46)</f>
        <v/>
      </c>
      <c r="T46" s="65"/>
      <c r="U46" s="66"/>
      <c r="V46" s="18" t="e">
        <f>IF($C46="","",VLOOKUP($C46,#REF!,4,FALSE))</f>
        <v>#REF!</v>
      </c>
      <c r="W46" s="69" t="e">
        <f>IF($E46="","",VLOOKUP($E46,#REF!,4,FALSE))</f>
        <v>#REF!</v>
      </c>
      <c r="Y46"/>
      <c r="Z46"/>
      <c r="AA46"/>
      <c r="AB46"/>
      <c r="AC46"/>
      <c r="AD46"/>
    </row>
    <row r="47" spans="1:30" s="67" customFormat="1" ht="18" customHeight="1">
      <c r="A47" s="108" t="s">
        <v>642</v>
      </c>
      <c r="B47" s="109">
        <v>34</v>
      </c>
      <c r="C47" s="87" t="s">
        <v>626</v>
      </c>
      <c r="D47" s="271">
        <v>14546</v>
      </c>
      <c r="E47" s="216" t="s">
        <v>666</v>
      </c>
      <c r="F47" s="271" t="s">
        <v>501</v>
      </c>
      <c r="G47" s="87" t="s">
        <v>574</v>
      </c>
      <c r="H47" s="22"/>
      <c r="I47" s="22"/>
      <c r="J47" s="62" t="str">
        <f t="shared" si="4"/>
        <v/>
      </c>
      <c r="K47" s="63"/>
      <c r="L47" s="63"/>
      <c r="M47" s="64" t="str">
        <f t="shared" si="5"/>
        <v/>
      </c>
      <c r="N47" s="22"/>
      <c r="O47" s="22"/>
      <c r="P47" s="62" t="str">
        <f t="shared" si="6"/>
        <v/>
      </c>
      <c r="Q47" s="63"/>
      <c r="R47" s="63"/>
      <c r="S47" s="64" t="str">
        <f t="shared" si="7"/>
        <v/>
      </c>
      <c r="T47" s="65"/>
      <c r="U47" s="66"/>
      <c r="V47" s="18" t="e">
        <f>IF($C47="","",VLOOKUP($C47,#REF!,4,FALSE))</f>
        <v>#REF!</v>
      </c>
      <c r="W47" s="69" t="e">
        <f>IF($E47="","",VLOOKUP($E47,#REF!,4,FALSE))</f>
        <v>#REF!</v>
      </c>
      <c r="Y47"/>
      <c r="Z47"/>
      <c r="AA47"/>
      <c r="AB47"/>
      <c r="AC47"/>
      <c r="AD47"/>
    </row>
    <row r="48" spans="1:30" s="67" customFormat="1" ht="18" customHeight="1">
      <c r="A48" s="60"/>
      <c r="B48" s="109">
        <v>35</v>
      </c>
      <c r="C48" s="21" t="s">
        <v>667</v>
      </c>
      <c r="D48" s="275" t="s">
        <v>501</v>
      </c>
      <c r="E48" s="21" t="s">
        <v>605</v>
      </c>
      <c r="F48" s="282" t="s">
        <v>501</v>
      </c>
      <c r="G48" s="23" t="s">
        <v>604</v>
      </c>
      <c r="H48" s="22"/>
      <c r="I48" s="22"/>
      <c r="J48" s="62" t="str">
        <f t="shared" si="4"/>
        <v/>
      </c>
      <c r="K48" s="63"/>
      <c r="L48" s="63"/>
      <c r="M48" s="64" t="str">
        <f t="shared" si="5"/>
        <v/>
      </c>
      <c r="N48" s="22"/>
      <c r="O48" s="22"/>
      <c r="P48" s="62" t="str">
        <f t="shared" si="6"/>
        <v/>
      </c>
      <c r="Q48" s="63"/>
      <c r="R48" s="63"/>
      <c r="S48" s="64" t="str">
        <f t="shared" si="7"/>
        <v/>
      </c>
      <c r="T48" s="65"/>
      <c r="U48" s="66"/>
      <c r="V48" s="18" t="e">
        <f>IF($C48="","",VLOOKUP($C48,#REF!,4,FALSE))</f>
        <v>#REF!</v>
      </c>
      <c r="W48" s="69" t="e">
        <f>IF($E48="","",VLOOKUP($E48,#REF!,4,FALSE))</f>
        <v>#REF!</v>
      </c>
      <c r="Y48"/>
      <c r="Z48"/>
      <c r="AA48"/>
      <c r="AB48"/>
      <c r="AC48"/>
      <c r="AD48"/>
    </row>
    <row r="49" spans="1:30" s="67" customFormat="1" ht="18" customHeight="1">
      <c r="A49" s="60"/>
      <c r="B49" s="109">
        <v>36</v>
      </c>
      <c r="C49" s="137" t="s">
        <v>668</v>
      </c>
      <c r="D49" s="271" t="s">
        <v>501</v>
      </c>
      <c r="E49" s="220" t="s">
        <v>524</v>
      </c>
      <c r="F49" s="271" t="s">
        <v>501</v>
      </c>
      <c r="G49" s="124" t="s">
        <v>521</v>
      </c>
      <c r="H49" s="22"/>
      <c r="I49" s="22"/>
      <c r="J49" s="62" t="str">
        <f t="shared" si="4"/>
        <v/>
      </c>
      <c r="K49" s="63"/>
      <c r="L49" s="63"/>
      <c r="M49" s="64" t="str">
        <f t="shared" si="5"/>
        <v/>
      </c>
      <c r="N49" s="22"/>
      <c r="O49" s="22"/>
      <c r="P49" s="62" t="str">
        <f t="shared" si="6"/>
        <v/>
      </c>
      <c r="Q49" s="63"/>
      <c r="R49" s="63"/>
      <c r="S49" s="64" t="str">
        <f t="shared" si="7"/>
        <v/>
      </c>
      <c r="T49" s="65"/>
      <c r="U49" s="66"/>
      <c r="V49" s="18" t="e">
        <f>IF($C49="","",VLOOKUP($C49,#REF!,4,FALSE))</f>
        <v>#REF!</v>
      </c>
      <c r="W49" s="69" t="e">
        <f>IF($E49="","",VLOOKUP($E49,#REF!,4,FALSE))</f>
        <v>#REF!</v>
      </c>
      <c r="Y49"/>
      <c r="Z49"/>
      <c r="AA49"/>
      <c r="AB49"/>
      <c r="AC49"/>
      <c r="AD49"/>
    </row>
    <row r="50" spans="1:30" s="67" customFormat="1" ht="18" customHeight="1">
      <c r="A50" s="108"/>
      <c r="B50" s="109">
        <v>37</v>
      </c>
      <c r="C50" s="125" t="s">
        <v>669</v>
      </c>
      <c r="D50" s="271" t="s">
        <v>501</v>
      </c>
      <c r="E50" s="216" t="s">
        <v>582</v>
      </c>
      <c r="F50" s="271" t="s">
        <v>501</v>
      </c>
      <c r="G50" s="87" t="s">
        <v>580</v>
      </c>
      <c r="H50" s="22"/>
      <c r="I50" s="22"/>
      <c r="J50" s="62" t="str">
        <f t="shared" si="4"/>
        <v/>
      </c>
      <c r="K50" s="63"/>
      <c r="L50" s="63"/>
      <c r="M50" s="64" t="str">
        <f t="shared" si="5"/>
        <v/>
      </c>
      <c r="N50" s="22"/>
      <c r="O50" s="22"/>
      <c r="P50" s="62" t="str">
        <f t="shared" si="6"/>
        <v/>
      </c>
      <c r="Q50" s="63"/>
      <c r="R50" s="63"/>
      <c r="S50" s="64" t="str">
        <f t="shared" si="7"/>
        <v/>
      </c>
      <c r="T50" s="65"/>
      <c r="U50" s="66"/>
      <c r="V50" s="18" t="e">
        <f>IF($C50="","",VLOOKUP($C50,#REF!,4,FALSE))</f>
        <v>#REF!</v>
      </c>
      <c r="W50" s="69" t="e">
        <f>IF($E50="","",VLOOKUP($E50,#REF!,4,FALSE))</f>
        <v>#REF!</v>
      </c>
      <c r="Y50"/>
      <c r="Z50"/>
      <c r="AA50"/>
      <c r="AB50"/>
      <c r="AC50"/>
      <c r="AD50"/>
    </row>
    <row r="51" spans="1:30" s="67" customFormat="1" ht="18" customHeight="1">
      <c r="A51" s="60"/>
      <c r="B51" s="109">
        <v>38</v>
      </c>
      <c r="C51" s="21" t="s">
        <v>659</v>
      </c>
      <c r="D51" s="275" t="s">
        <v>501</v>
      </c>
      <c r="E51" s="21" t="s">
        <v>612</v>
      </c>
      <c r="F51" s="282" t="s">
        <v>531</v>
      </c>
      <c r="G51" s="23" t="s">
        <v>607</v>
      </c>
      <c r="H51" s="22"/>
      <c r="I51" s="22"/>
      <c r="J51" s="62" t="str">
        <f t="shared" si="4"/>
        <v/>
      </c>
      <c r="K51" s="63"/>
      <c r="L51" s="63"/>
      <c r="M51" s="64" t="str">
        <f t="shared" si="5"/>
        <v/>
      </c>
      <c r="N51" s="22"/>
      <c r="O51" s="22"/>
      <c r="P51" s="62" t="str">
        <f t="shared" si="6"/>
        <v/>
      </c>
      <c r="Q51" s="63"/>
      <c r="R51" s="63"/>
      <c r="S51" s="64" t="str">
        <f t="shared" si="7"/>
        <v/>
      </c>
      <c r="T51" s="65"/>
      <c r="U51" s="66"/>
      <c r="V51" s="18" t="e">
        <f>IF($C51="","",VLOOKUP($C51,#REF!,4,FALSE))</f>
        <v>#REF!</v>
      </c>
      <c r="W51" s="69" t="e">
        <f>IF($E51="","",VLOOKUP($E51,#REF!,4,FALSE))</f>
        <v>#REF!</v>
      </c>
      <c r="Y51"/>
      <c r="Z51"/>
      <c r="AA51"/>
      <c r="AB51"/>
      <c r="AC51"/>
      <c r="AD51"/>
    </row>
    <row r="52" spans="1:30" s="67" customFormat="1" ht="18" customHeight="1">
      <c r="A52" s="60"/>
      <c r="B52" s="109">
        <v>39</v>
      </c>
      <c r="C52" s="21" t="s">
        <v>670</v>
      </c>
      <c r="D52" s="275" t="s">
        <v>501</v>
      </c>
      <c r="E52" s="21" t="s">
        <v>666</v>
      </c>
      <c r="F52" s="282" t="s">
        <v>501</v>
      </c>
      <c r="G52" s="23" t="s">
        <v>574</v>
      </c>
      <c r="H52" s="22"/>
      <c r="I52" s="22"/>
      <c r="J52" s="62" t="str">
        <f t="shared" si="4"/>
        <v/>
      </c>
      <c r="K52" s="63"/>
      <c r="L52" s="63"/>
      <c r="M52" s="64" t="str">
        <f t="shared" si="5"/>
        <v/>
      </c>
      <c r="N52" s="22"/>
      <c r="O52" s="22"/>
      <c r="P52" s="62" t="str">
        <f t="shared" si="6"/>
        <v/>
      </c>
      <c r="Q52" s="63"/>
      <c r="R52" s="63"/>
      <c r="S52" s="64" t="str">
        <f t="shared" si="7"/>
        <v/>
      </c>
      <c r="T52" s="65"/>
      <c r="U52" s="66"/>
      <c r="V52" s="18" t="e">
        <f>IF($C52="","",VLOOKUP($C52,#REF!,4,FALSE))</f>
        <v>#REF!</v>
      </c>
      <c r="W52" s="69" t="e">
        <f>IF($E52="","",VLOOKUP($E52,#REF!,4,FALSE))</f>
        <v>#REF!</v>
      </c>
      <c r="Y52"/>
      <c r="Z52"/>
      <c r="AA52"/>
      <c r="AB52"/>
      <c r="AC52"/>
      <c r="AD52"/>
    </row>
    <row r="53" spans="1:30" s="67" customFormat="1" ht="18" customHeight="1">
      <c r="A53" s="60"/>
      <c r="B53" s="109">
        <v>40</v>
      </c>
      <c r="C53" s="21" t="s">
        <v>241</v>
      </c>
      <c r="D53" s="275">
        <v>30373</v>
      </c>
      <c r="E53" s="21" t="s">
        <v>671</v>
      </c>
      <c r="F53" s="282">
        <v>56664</v>
      </c>
      <c r="G53" s="23" t="s">
        <v>658</v>
      </c>
      <c r="H53" s="22"/>
      <c r="I53" s="22"/>
      <c r="J53" s="62" t="str">
        <f t="shared" si="4"/>
        <v/>
      </c>
      <c r="K53" s="63"/>
      <c r="L53" s="63"/>
      <c r="M53" s="64" t="str">
        <f t="shared" si="5"/>
        <v/>
      </c>
      <c r="N53" s="22"/>
      <c r="O53" s="22"/>
      <c r="P53" s="62" t="str">
        <f t="shared" si="6"/>
        <v/>
      </c>
      <c r="Q53" s="63"/>
      <c r="R53" s="63"/>
      <c r="S53" s="64" t="str">
        <f t="shared" si="7"/>
        <v/>
      </c>
      <c r="T53" s="65"/>
      <c r="U53" s="66"/>
      <c r="V53" s="18" t="e">
        <f>IF($C53="","",VLOOKUP($C53,#REF!,4,FALSE))</f>
        <v>#REF!</v>
      </c>
      <c r="W53" s="69" t="e">
        <f>IF($E53="","",VLOOKUP($E53,#REF!,4,FALSE))</f>
        <v>#REF!</v>
      </c>
      <c r="Y53"/>
      <c r="Z53"/>
      <c r="AA53"/>
      <c r="AB53"/>
      <c r="AC53"/>
      <c r="AD53"/>
    </row>
    <row r="54" spans="1:30" s="67" customFormat="1" ht="18" customHeight="1">
      <c r="A54" s="60"/>
      <c r="B54" s="109">
        <v>41</v>
      </c>
      <c r="C54" s="21" t="s">
        <v>672</v>
      </c>
      <c r="D54" s="275" t="s">
        <v>501</v>
      </c>
      <c r="E54" s="21" t="s">
        <v>582</v>
      </c>
      <c r="F54" s="282" t="s">
        <v>501</v>
      </c>
      <c r="G54" s="23" t="s">
        <v>580</v>
      </c>
      <c r="H54" s="22"/>
      <c r="I54" s="22"/>
      <c r="J54" s="62" t="str">
        <f t="shared" si="4"/>
        <v/>
      </c>
      <c r="K54" s="63"/>
      <c r="L54" s="63"/>
      <c r="M54" s="64" t="str">
        <f t="shared" si="5"/>
        <v/>
      </c>
      <c r="N54" s="22"/>
      <c r="O54" s="22"/>
      <c r="P54" s="62" t="str">
        <f t="shared" si="6"/>
        <v/>
      </c>
      <c r="Q54" s="63"/>
      <c r="R54" s="63"/>
      <c r="S54" s="64" t="str">
        <f t="shared" si="7"/>
        <v/>
      </c>
      <c r="T54" s="65"/>
      <c r="U54" s="66"/>
      <c r="V54" s="18" t="e">
        <f>IF($C54="","",VLOOKUP($C54,#REF!,4,FALSE))</f>
        <v>#REF!</v>
      </c>
      <c r="W54" s="69" t="e">
        <f>IF($E54="","",VLOOKUP($E54,#REF!,4,FALSE))</f>
        <v>#REF!</v>
      </c>
      <c r="Y54"/>
      <c r="Z54"/>
      <c r="AA54"/>
      <c r="AB54"/>
      <c r="AC54"/>
      <c r="AD54"/>
    </row>
    <row r="55" spans="1:30" s="67" customFormat="1" ht="18" customHeight="1">
      <c r="A55" s="60"/>
      <c r="B55" s="109">
        <v>42</v>
      </c>
      <c r="C55" s="21"/>
      <c r="D55" s="275" t="s">
        <v>76</v>
      </c>
      <c r="E55" s="21"/>
      <c r="F55" s="282" t="s">
        <v>76</v>
      </c>
      <c r="G55" s="23"/>
      <c r="H55" s="22"/>
      <c r="I55" s="22"/>
      <c r="J55" s="62" t="str">
        <f t="shared" si="4"/>
        <v/>
      </c>
      <c r="K55" s="63"/>
      <c r="L55" s="63"/>
      <c r="M55" s="64" t="str">
        <f t="shared" si="5"/>
        <v/>
      </c>
      <c r="N55" s="22"/>
      <c r="O55" s="22"/>
      <c r="P55" s="62" t="str">
        <f t="shared" si="6"/>
        <v/>
      </c>
      <c r="Q55" s="63"/>
      <c r="R55" s="63"/>
      <c r="S55" s="64" t="str">
        <f t="shared" si="7"/>
        <v/>
      </c>
      <c r="T55" s="65"/>
      <c r="U55" s="66"/>
      <c r="V55" s="18" t="str">
        <f>IF($C55="","",VLOOKUP($C55,#REF!,4,FALSE))</f>
        <v/>
      </c>
      <c r="W55" s="69" t="str">
        <f>IF($E55="","",VLOOKUP($E55,#REF!,4,FALSE))</f>
        <v/>
      </c>
      <c r="Y55"/>
      <c r="Z55"/>
      <c r="AA55"/>
      <c r="AB55"/>
      <c r="AC55"/>
      <c r="AD55"/>
    </row>
    <row r="56" spans="1:30" s="67" customFormat="1" ht="18" customHeight="1">
      <c r="A56" s="60"/>
      <c r="B56" s="109">
        <v>43</v>
      </c>
      <c r="C56" s="21"/>
      <c r="D56" s="275" t="s">
        <v>76</v>
      </c>
      <c r="E56" s="21"/>
      <c r="F56" s="282" t="s">
        <v>76</v>
      </c>
      <c r="G56" s="23"/>
      <c r="H56" s="22"/>
      <c r="I56" s="22"/>
      <c r="J56" s="62" t="str">
        <f t="shared" si="4"/>
        <v/>
      </c>
      <c r="K56" s="63"/>
      <c r="L56" s="63"/>
      <c r="M56" s="64" t="str">
        <f t="shared" si="5"/>
        <v/>
      </c>
      <c r="N56" s="22"/>
      <c r="O56" s="22"/>
      <c r="P56" s="62" t="str">
        <f t="shared" si="6"/>
        <v/>
      </c>
      <c r="Q56" s="63"/>
      <c r="R56" s="63"/>
      <c r="S56" s="64" t="str">
        <f t="shared" si="7"/>
        <v/>
      </c>
      <c r="T56" s="65"/>
      <c r="U56" s="66"/>
      <c r="V56" s="18" t="str">
        <f>IF($C56="","",VLOOKUP($C56,#REF!,4,FALSE))</f>
        <v/>
      </c>
      <c r="W56" s="69" t="str">
        <f>IF($E56="","",VLOOKUP($E56,#REF!,4,FALSE))</f>
        <v/>
      </c>
      <c r="Y56"/>
      <c r="Z56"/>
      <c r="AA56"/>
      <c r="AB56"/>
      <c r="AC56"/>
      <c r="AD56"/>
    </row>
    <row r="57" spans="1:30" s="67" customFormat="1" ht="18" customHeight="1">
      <c r="A57" s="60"/>
      <c r="B57" s="109">
        <v>44</v>
      </c>
      <c r="C57" s="21"/>
      <c r="D57" s="275" t="s">
        <v>76</v>
      </c>
      <c r="E57" s="21"/>
      <c r="F57" s="282" t="s">
        <v>76</v>
      </c>
      <c r="G57" s="23"/>
      <c r="H57" s="22"/>
      <c r="I57" s="22"/>
      <c r="J57" s="62" t="str">
        <f t="shared" si="4"/>
        <v/>
      </c>
      <c r="K57" s="63"/>
      <c r="L57" s="63"/>
      <c r="M57" s="64" t="str">
        <f t="shared" si="5"/>
        <v/>
      </c>
      <c r="N57" s="22"/>
      <c r="O57" s="22"/>
      <c r="P57" s="62" t="str">
        <f t="shared" si="6"/>
        <v/>
      </c>
      <c r="Q57" s="63"/>
      <c r="R57" s="63"/>
      <c r="S57" s="64" t="str">
        <f t="shared" si="7"/>
        <v/>
      </c>
      <c r="T57" s="65"/>
      <c r="U57" s="66"/>
      <c r="V57" s="18" t="str">
        <f>IF($C57="","",VLOOKUP($C57,#REF!,4,FALSE))</f>
        <v/>
      </c>
      <c r="W57" s="69" t="str">
        <f>IF($E57="","",VLOOKUP($E57,#REF!,4,FALSE))</f>
        <v/>
      </c>
      <c r="Y57"/>
      <c r="Z57"/>
      <c r="AA57"/>
      <c r="AB57"/>
      <c r="AC57"/>
      <c r="AD57"/>
    </row>
    <row r="58" spans="1:30" s="67" customFormat="1" ht="18" customHeight="1">
      <c r="A58" s="60"/>
      <c r="B58" s="109">
        <v>45</v>
      </c>
      <c r="C58" s="21"/>
      <c r="D58" s="275" t="s">
        <v>76</v>
      </c>
      <c r="E58" s="21"/>
      <c r="F58" s="282" t="s">
        <v>76</v>
      </c>
      <c r="G58" s="23"/>
      <c r="H58" s="22"/>
      <c r="I58" s="22"/>
      <c r="J58" s="62" t="str">
        <f t="shared" si="4"/>
        <v/>
      </c>
      <c r="K58" s="63"/>
      <c r="L58" s="63"/>
      <c r="M58" s="64" t="str">
        <f t="shared" si="5"/>
        <v/>
      </c>
      <c r="N58" s="22"/>
      <c r="O58" s="22"/>
      <c r="P58" s="62" t="str">
        <f t="shared" si="6"/>
        <v/>
      </c>
      <c r="Q58" s="63"/>
      <c r="R58" s="63"/>
      <c r="S58" s="64" t="str">
        <f t="shared" si="7"/>
        <v/>
      </c>
      <c r="T58" s="65"/>
      <c r="U58" s="66"/>
      <c r="V58" s="18" t="str">
        <f>IF($C58="","",VLOOKUP($C58,#REF!,4,FALSE))</f>
        <v/>
      </c>
      <c r="W58" s="69" t="str">
        <f>IF($E58="","",VLOOKUP($E58,#REF!,4,FALSE))</f>
        <v/>
      </c>
      <c r="Y58"/>
      <c r="Z58"/>
      <c r="AA58"/>
      <c r="AB58"/>
      <c r="AC58"/>
      <c r="AD58"/>
    </row>
    <row r="59" spans="1:30" s="67" customFormat="1" ht="18" customHeight="1">
      <c r="A59" s="60"/>
      <c r="B59" s="109">
        <v>46</v>
      </c>
      <c r="C59" s="21"/>
      <c r="D59" s="275" t="s">
        <v>76</v>
      </c>
      <c r="E59" s="21"/>
      <c r="F59" s="282" t="s">
        <v>76</v>
      </c>
      <c r="G59" s="23"/>
      <c r="H59" s="22"/>
      <c r="I59" s="22"/>
      <c r="J59" s="62" t="str">
        <f t="shared" si="4"/>
        <v/>
      </c>
      <c r="K59" s="63"/>
      <c r="L59" s="63"/>
      <c r="M59" s="64" t="str">
        <f t="shared" si="5"/>
        <v/>
      </c>
      <c r="N59" s="22"/>
      <c r="O59" s="22"/>
      <c r="P59" s="62" t="str">
        <f t="shared" si="6"/>
        <v/>
      </c>
      <c r="Q59" s="63"/>
      <c r="R59" s="63"/>
      <c r="S59" s="64" t="str">
        <f t="shared" si="7"/>
        <v/>
      </c>
      <c r="T59" s="65"/>
      <c r="U59" s="66"/>
      <c r="V59" s="18" t="str">
        <f>IF($C59="","",VLOOKUP($C59,#REF!,4,FALSE))</f>
        <v/>
      </c>
      <c r="W59" s="69" t="str">
        <f>IF($E59="","",VLOOKUP($E59,#REF!,4,FALSE))</f>
        <v/>
      </c>
      <c r="Y59"/>
      <c r="Z59"/>
      <c r="AA59"/>
      <c r="AB59"/>
      <c r="AC59"/>
      <c r="AD59"/>
    </row>
    <row r="60" spans="1:30" s="67" customFormat="1" ht="18" customHeight="1">
      <c r="A60" s="60"/>
      <c r="B60" s="109">
        <v>47</v>
      </c>
      <c r="C60" s="21"/>
      <c r="D60" s="275" t="s">
        <v>76</v>
      </c>
      <c r="E60" s="21"/>
      <c r="F60" s="282" t="s">
        <v>76</v>
      </c>
      <c r="G60" s="23"/>
      <c r="H60" s="22"/>
      <c r="I60" s="22"/>
      <c r="J60" s="62" t="str">
        <f t="shared" si="4"/>
        <v/>
      </c>
      <c r="K60" s="63"/>
      <c r="L60" s="63"/>
      <c r="M60" s="64" t="str">
        <f t="shared" si="5"/>
        <v/>
      </c>
      <c r="N60" s="22"/>
      <c r="O60" s="22"/>
      <c r="P60" s="62" t="str">
        <f t="shared" si="6"/>
        <v/>
      </c>
      <c r="Q60" s="63"/>
      <c r="R60" s="63"/>
      <c r="S60" s="64" t="str">
        <f t="shared" si="7"/>
        <v/>
      </c>
      <c r="T60" s="65"/>
      <c r="U60" s="66"/>
      <c r="V60" s="18" t="str">
        <f>IF($C60="","",VLOOKUP($C60,#REF!,4,FALSE))</f>
        <v/>
      </c>
      <c r="W60" s="69" t="str">
        <f>IF($E60="","",VLOOKUP($E60,#REF!,4,FALSE))</f>
        <v/>
      </c>
      <c r="Y60"/>
      <c r="Z60"/>
      <c r="AA60"/>
      <c r="AB60"/>
      <c r="AC60"/>
      <c r="AD60"/>
    </row>
    <row r="61" spans="1:30" s="67" customFormat="1" ht="18" customHeight="1">
      <c r="A61" s="60"/>
      <c r="B61" s="109">
        <v>48</v>
      </c>
      <c r="C61" s="21"/>
      <c r="D61" s="275" t="s">
        <v>76</v>
      </c>
      <c r="E61" s="21"/>
      <c r="F61" s="282" t="s">
        <v>76</v>
      </c>
      <c r="G61" s="23"/>
      <c r="H61" s="22"/>
      <c r="I61" s="22"/>
      <c r="J61" s="62" t="str">
        <f t="shared" si="4"/>
        <v/>
      </c>
      <c r="K61" s="63"/>
      <c r="L61" s="63"/>
      <c r="M61" s="64" t="str">
        <f t="shared" si="5"/>
        <v/>
      </c>
      <c r="N61" s="22"/>
      <c r="O61" s="22"/>
      <c r="P61" s="62" t="str">
        <f t="shared" si="6"/>
        <v/>
      </c>
      <c r="Q61" s="63"/>
      <c r="R61" s="63"/>
      <c r="S61" s="64" t="str">
        <f t="shared" si="7"/>
        <v/>
      </c>
      <c r="T61" s="65"/>
      <c r="U61" s="66"/>
      <c r="V61" s="18" t="str">
        <f>IF($C61="","",VLOOKUP($C61,#REF!,4,FALSE))</f>
        <v/>
      </c>
      <c r="W61" s="69" t="str">
        <f>IF($E61="","",VLOOKUP($E61,#REF!,4,FALSE))</f>
        <v/>
      </c>
      <c r="Y61"/>
      <c r="Z61"/>
      <c r="AA61"/>
      <c r="AB61"/>
      <c r="AC61"/>
      <c r="AD61"/>
    </row>
    <row r="62" spans="1:30" s="67" customFormat="1" ht="18" customHeight="1">
      <c r="A62" s="60"/>
      <c r="B62" s="109">
        <v>49</v>
      </c>
      <c r="C62" s="21"/>
      <c r="D62" s="275" t="s">
        <v>76</v>
      </c>
      <c r="E62" s="21"/>
      <c r="F62" s="282" t="s">
        <v>76</v>
      </c>
      <c r="G62" s="23"/>
      <c r="H62" s="22"/>
      <c r="I62" s="22"/>
      <c r="J62" s="62" t="str">
        <f t="shared" si="4"/>
        <v/>
      </c>
      <c r="K62" s="63"/>
      <c r="L62" s="63"/>
      <c r="M62" s="64" t="str">
        <f t="shared" si="5"/>
        <v/>
      </c>
      <c r="N62" s="22"/>
      <c r="O62" s="22"/>
      <c r="P62" s="62" t="str">
        <f t="shared" si="6"/>
        <v/>
      </c>
      <c r="Q62" s="63"/>
      <c r="R62" s="63"/>
      <c r="S62" s="64" t="str">
        <f t="shared" si="7"/>
        <v/>
      </c>
      <c r="T62" s="65"/>
      <c r="U62" s="66"/>
      <c r="V62" s="18" t="str">
        <f>IF($C62="","",VLOOKUP($C62,#REF!,4,FALSE))</f>
        <v/>
      </c>
      <c r="W62" s="69" t="str">
        <f>IF($E62="","",VLOOKUP($E62,#REF!,4,FALSE))</f>
        <v/>
      </c>
      <c r="Y62"/>
      <c r="Z62"/>
      <c r="AA62"/>
      <c r="AB62"/>
      <c r="AC62"/>
      <c r="AD62"/>
    </row>
    <row r="63" spans="1:30" s="67" customFormat="1" ht="18" customHeight="1">
      <c r="A63" s="60"/>
      <c r="B63" s="109">
        <v>50</v>
      </c>
      <c r="C63" s="21"/>
      <c r="D63" s="275" t="s">
        <v>76</v>
      </c>
      <c r="E63" s="21"/>
      <c r="F63" s="282" t="s">
        <v>76</v>
      </c>
      <c r="G63" s="23"/>
      <c r="H63" s="22"/>
      <c r="I63" s="22"/>
      <c r="J63" s="62" t="str">
        <f t="shared" si="4"/>
        <v/>
      </c>
      <c r="K63" s="63"/>
      <c r="L63" s="63"/>
      <c r="M63" s="64" t="str">
        <f t="shared" si="5"/>
        <v/>
      </c>
      <c r="N63" s="22"/>
      <c r="O63" s="22"/>
      <c r="P63" s="62" t="str">
        <f t="shared" si="6"/>
        <v/>
      </c>
      <c r="Q63" s="63"/>
      <c r="R63" s="63"/>
      <c r="S63" s="64" t="str">
        <f t="shared" si="7"/>
        <v/>
      </c>
      <c r="T63" s="65"/>
      <c r="U63" s="66"/>
      <c r="V63" s="18" t="str">
        <f>IF($C63="","",VLOOKUP($C63,#REF!,4,FALSE))</f>
        <v/>
      </c>
      <c r="W63" s="69" t="str">
        <f>IF($E63="","",VLOOKUP($E63,#REF!,4,FALSE))</f>
        <v/>
      </c>
      <c r="Y63"/>
      <c r="Z63"/>
      <c r="AA63"/>
      <c r="AB63"/>
      <c r="AC63"/>
      <c r="AD63"/>
    </row>
    <row r="64" spans="1:30" s="67" customFormat="1" ht="18" customHeight="1">
      <c r="A64" s="60"/>
      <c r="B64" s="61"/>
      <c r="C64" s="21"/>
      <c r="D64" s="275" t="s">
        <v>76</v>
      </c>
      <c r="E64" s="21"/>
      <c r="F64" s="282" t="s">
        <v>76</v>
      </c>
      <c r="G64" s="23"/>
      <c r="H64" s="22"/>
      <c r="I64" s="22"/>
      <c r="J64" s="62" t="str">
        <f t="shared" si="4"/>
        <v/>
      </c>
      <c r="K64" s="63"/>
      <c r="L64" s="63"/>
      <c r="M64" s="64" t="str">
        <f t="shared" si="5"/>
        <v/>
      </c>
      <c r="N64" s="22"/>
      <c r="O64" s="22"/>
      <c r="P64" s="62" t="str">
        <f t="shared" si="6"/>
        <v/>
      </c>
      <c r="Q64" s="63"/>
      <c r="R64" s="63"/>
      <c r="S64" s="64" t="str">
        <f t="shared" si="7"/>
        <v/>
      </c>
      <c r="T64" s="65"/>
      <c r="U64" s="66"/>
      <c r="V64" s="18" t="str">
        <f>IF($C64="","",VLOOKUP($C64,#REF!,4,FALSE))</f>
        <v/>
      </c>
      <c r="W64" s="69" t="str">
        <f>IF($E64="","",VLOOKUP($E64,#REF!,4,FALSE))</f>
        <v/>
      </c>
      <c r="Y64"/>
      <c r="Z64"/>
      <c r="AA64"/>
      <c r="AB64"/>
      <c r="AC64"/>
      <c r="AD64"/>
    </row>
    <row r="65" spans="1:30" s="67" customFormat="1" ht="18" customHeight="1">
      <c r="A65" s="60"/>
      <c r="B65" s="61"/>
      <c r="C65" s="21"/>
      <c r="D65" s="275" t="s">
        <v>76</v>
      </c>
      <c r="E65" s="21"/>
      <c r="F65" s="282" t="s">
        <v>76</v>
      </c>
      <c r="G65" s="23"/>
      <c r="H65" s="22"/>
      <c r="I65" s="22"/>
      <c r="J65" s="62" t="str">
        <f t="shared" si="4"/>
        <v/>
      </c>
      <c r="K65" s="63"/>
      <c r="L65" s="63"/>
      <c r="M65" s="64" t="str">
        <f t="shared" si="5"/>
        <v/>
      </c>
      <c r="N65" s="22"/>
      <c r="O65" s="22"/>
      <c r="P65" s="62" t="str">
        <f t="shared" si="6"/>
        <v/>
      </c>
      <c r="Q65" s="63"/>
      <c r="R65" s="63"/>
      <c r="S65" s="64" t="str">
        <f t="shared" si="7"/>
        <v/>
      </c>
      <c r="T65" s="65"/>
      <c r="U65" s="66"/>
      <c r="V65" s="18" t="str">
        <f>IF($C65="","",VLOOKUP($C65,#REF!,4,FALSE))</f>
        <v/>
      </c>
      <c r="W65" s="69" t="str">
        <f>IF($E65="","",VLOOKUP($E65,#REF!,4,FALSE))</f>
        <v/>
      </c>
      <c r="Y65"/>
      <c r="Z65"/>
      <c r="AA65"/>
      <c r="AB65"/>
      <c r="AC65"/>
      <c r="AD65"/>
    </row>
    <row r="66" spans="1:30" s="67" customFormat="1" ht="18" customHeight="1">
      <c r="A66" s="60"/>
      <c r="B66" s="61"/>
      <c r="C66" s="21"/>
      <c r="D66" s="275" t="s">
        <v>76</v>
      </c>
      <c r="E66" s="21"/>
      <c r="F66" s="282" t="s">
        <v>76</v>
      </c>
      <c r="G66" s="23"/>
      <c r="H66" s="22"/>
      <c r="I66" s="22"/>
      <c r="J66" s="62" t="str">
        <f t="shared" si="4"/>
        <v/>
      </c>
      <c r="K66" s="63"/>
      <c r="L66" s="63"/>
      <c r="M66" s="64" t="str">
        <f t="shared" si="5"/>
        <v/>
      </c>
      <c r="N66" s="22"/>
      <c r="O66" s="22"/>
      <c r="P66" s="62" t="str">
        <f t="shared" si="6"/>
        <v/>
      </c>
      <c r="Q66" s="63"/>
      <c r="R66" s="63"/>
      <c r="S66" s="64" t="str">
        <f t="shared" si="7"/>
        <v/>
      </c>
      <c r="T66" s="65"/>
      <c r="U66" s="66"/>
      <c r="V66" s="18" t="str">
        <f>IF($C66="","",VLOOKUP($C66,#REF!,4,FALSE))</f>
        <v/>
      </c>
      <c r="W66" s="69" t="str">
        <f>IF($E66="","",VLOOKUP($E66,#REF!,4,FALSE))</f>
        <v/>
      </c>
      <c r="Y66"/>
      <c r="Z66"/>
      <c r="AA66"/>
      <c r="AB66"/>
      <c r="AC66"/>
      <c r="AD66"/>
    </row>
    <row r="67" spans="1:30" s="67" customFormat="1" ht="18" customHeight="1">
      <c r="A67" s="60"/>
      <c r="B67" s="61"/>
      <c r="C67" s="21"/>
      <c r="D67" s="275" t="s">
        <v>76</v>
      </c>
      <c r="E67" s="21"/>
      <c r="F67" s="282" t="s">
        <v>76</v>
      </c>
      <c r="G67" s="23"/>
      <c r="H67" s="22"/>
      <c r="I67" s="22"/>
      <c r="J67" s="62" t="str">
        <f t="shared" si="4"/>
        <v/>
      </c>
      <c r="K67" s="63"/>
      <c r="L67" s="63"/>
      <c r="M67" s="64" t="str">
        <f t="shared" si="5"/>
        <v/>
      </c>
      <c r="N67" s="22"/>
      <c r="O67" s="22"/>
      <c r="P67" s="62" t="str">
        <f t="shared" si="6"/>
        <v/>
      </c>
      <c r="Q67" s="63"/>
      <c r="R67" s="63"/>
      <c r="S67" s="64" t="str">
        <f t="shared" si="7"/>
        <v/>
      </c>
      <c r="T67" s="65"/>
      <c r="U67" s="66"/>
      <c r="V67" s="18" t="str">
        <f>IF($C67="","",VLOOKUP($C67,#REF!,4,FALSE))</f>
        <v/>
      </c>
      <c r="W67" s="69" t="str">
        <f>IF($E67="","",VLOOKUP($E67,#REF!,4,FALSE))</f>
        <v/>
      </c>
      <c r="Y67"/>
      <c r="Z67"/>
      <c r="AA67"/>
      <c r="AB67"/>
      <c r="AC67"/>
      <c r="AD67"/>
    </row>
    <row r="68" spans="1:30" s="67" customFormat="1" ht="18" customHeight="1">
      <c r="A68" s="60"/>
      <c r="B68" s="61"/>
      <c r="C68" s="21"/>
      <c r="D68" s="275" t="s">
        <v>76</v>
      </c>
      <c r="E68" s="21"/>
      <c r="F68" s="282" t="s">
        <v>76</v>
      </c>
      <c r="G68" s="23"/>
      <c r="H68" s="22"/>
      <c r="I68" s="22"/>
      <c r="J68" s="62" t="str">
        <f t="shared" si="4"/>
        <v/>
      </c>
      <c r="K68" s="63"/>
      <c r="L68" s="63"/>
      <c r="M68" s="64" t="str">
        <f t="shared" si="5"/>
        <v/>
      </c>
      <c r="N68" s="22"/>
      <c r="O68" s="22"/>
      <c r="P68" s="62" t="str">
        <f t="shared" si="6"/>
        <v/>
      </c>
      <c r="Q68" s="63"/>
      <c r="R68" s="63"/>
      <c r="S68" s="64" t="str">
        <f t="shared" si="7"/>
        <v/>
      </c>
      <c r="T68" s="65"/>
      <c r="U68" s="66"/>
      <c r="V68" s="18" t="str">
        <f>IF($C68="","",VLOOKUP($C68,#REF!,4,FALSE))</f>
        <v/>
      </c>
      <c r="W68" s="69" t="str">
        <f>IF($E68="","",VLOOKUP($E68,#REF!,4,FALSE))</f>
        <v/>
      </c>
      <c r="Y68"/>
      <c r="Z68"/>
      <c r="AA68"/>
      <c r="AB68"/>
      <c r="AC68"/>
      <c r="AD68"/>
    </row>
    <row r="69" spans="1:30" s="67" customFormat="1" ht="18" customHeight="1">
      <c r="A69" s="60"/>
      <c r="B69" s="61"/>
      <c r="C69" s="21"/>
      <c r="D69" s="275" t="s">
        <v>76</v>
      </c>
      <c r="E69" s="21"/>
      <c r="F69" s="282" t="s">
        <v>76</v>
      </c>
      <c r="G69" s="23"/>
      <c r="H69" s="22"/>
      <c r="I69" s="22"/>
      <c r="J69" s="62" t="str">
        <f t="shared" si="4"/>
        <v/>
      </c>
      <c r="K69" s="63"/>
      <c r="L69" s="63"/>
      <c r="M69" s="64" t="str">
        <f t="shared" si="5"/>
        <v/>
      </c>
      <c r="N69" s="22"/>
      <c r="O69" s="22"/>
      <c r="P69" s="62" t="str">
        <f t="shared" si="6"/>
        <v/>
      </c>
      <c r="Q69" s="63"/>
      <c r="R69" s="63"/>
      <c r="S69" s="64" t="str">
        <f t="shared" si="7"/>
        <v/>
      </c>
      <c r="T69" s="65"/>
      <c r="U69" s="66"/>
      <c r="V69" s="18" t="str">
        <f>IF($C69="","",VLOOKUP($C69,#REF!,4,FALSE))</f>
        <v/>
      </c>
      <c r="W69" s="69" t="str">
        <f>IF($E69="","",VLOOKUP($E69,#REF!,4,FALSE))</f>
        <v/>
      </c>
      <c r="Y69"/>
      <c r="Z69"/>
      <c r="AA69"/>
      <c r="AB69"/>
      <c r="AC69"/>
      <c r="AD69"/>
    </row>
    <row r="70" spans="1:30" s="67" customFormat="1" ht="18" customHeight="1">
      <c r="A70" s="60"/>
      <c r="B70" s="61"/>
      <c r="C70" s="21"/>
      <c r="D70" s="275" t="s">
        <v>76</v>
      </c>
      <c r="E70" s="21"/>
      <c r="F70" s="282" t="s">
        <v>76</v>
      </c>
      <c r="G70" s="23"/>
      <c r="H70" s="22"/>
      <c r="I70" s="22"/>
      <c r="J70" s="62" t="str">
        <f t="shared" si="4"/>
        <v/>
      </c>
      <c r="K70" s="63"/>
      <c r="L70" s="63"/>
      <c r="M70" s="64" t="str">
        <f t="shared" si="5"/>
        <v/>
      </c>
      <c r="N70" s="22"/>
      <c r="O70" s="22"/>
      <c r="P70" s="62" t="str">
        <f t="shared" si="6"/>
        <v/>
      </c>
      <c r="Q70" s="63"/>
      <c r="R70" s="63"/>
      <c r="S70" s="64" t="str">
        <f t="shared" si="7"/>
        <v/>
      </c>
      <c r="T70" s="65"/>
      <c r="U70" s="66"/>
      <c r="V70" s="18" t="str">
        <f>IF($C70="","",VLOOKUP($C70,#REF!,4,FALSE))</f>
        <v/>
      </c>
      <c r="W70" s="69" t="str">
        <f>IF($E70="","",VLOOKUP($E70,#REF!,4,FALSE))</f>
        <v/>
      </c>
      <c r="Y70"/>
      <c r="Z70"/>
      <c r="AA70"/>
      <c r="AB70"/>
      <c r="AC70"/>
      <c r="AD70"/>
    </row>
    <row r="71" spans="1:30" s="67" customFormat="1" ht="18" customHeight="1">
      <c r="A71" s="60"/>
      <c r="B71" s="61"/>
      <c r="C71" s="21"/>
      <c r="D71" s="275" t="s">
        <v>76</v>
      </c>
      <c r="E71" s="21"/>
      <c r="F71" s="282" t="s">
        <v>76</v>
      </c>
      <c r="G71" s="23"/>
      <c r="H71" s="22"/>
      <c r="I71" s="22"/>
      <c r="J71" s="62" t="str">
        <f t="shared" si="4"/>
        <v/>
      </c>
      <c r="K71" s="63"/>
      <c r="L71" s="63"/>
      <c r="M71" s="64" t="str">
        <f t="shared" si="5"/>
        <v/>
      </c>
      <c r="N71" s="22"/>
      <c r="O71" s="22"/>
      <c r="P71" s="62" t="str">
        <f t="shared" si="6"/>
        <v/>
      </c>
      <c r="Q71" s="63"/>
      <c r="R71" s="63"/>
      <c r="S71" s="64" t="str">
        <f t="shared" si="7"/>
        <v/>
      </c>
      <c r="T71" s="65"/>
      <c r="U71" s="66"/>
      <c r="V71" s="18" t="str">
        <f>IF($C71="","",VLOOKUP($C71,#REF!,4,FALSE))</f>
        <v/>
      </c>
      <c r="W71" s="69" t="str">
        <f>IF($E71="","",VLOOKUP($E71,#REF!,4,FALSE))</f>
        <v/>
      </c>
      <c r="Y71"/>
      <c r="Z71"/>
      <c r="AA71"/>
      <c r="AB71"/>
      <c r="AC71"/>
      <c r="AD71"/>
    </row>
    <row r="72" spans="1:30" s="67" customFormat="1" ht="18" customHeight="1">
      <c r="A72" s="60"/>
      <c r="B72" s="61"/>
      <c r="C72" s="21"/>
      <c r="D72" s="275" t="s">
        <v>76</v>
      </c>
      <c r="E72" s="21"/>
      <c r="F72" s="282" t="s">
        <v>76</v>
      </c>
      <c r="G72" s="23"/>
      <c r="H72" s="22"/>
      <c r="I72" s="22"/>
      <c r="J72" s="62" t="str">
        <f t="shared" si="4"/>
        <v/>
      </c>
      <c r="K72" s="63"/>
      <c r="L72" s="63"/>
      <c r="M72" s="64" t="str">
        <f t="shared" si="5"/>
        <v/>
      </c>
      <c r="N72" s="22"/>
      <c r="O72" s="22"/>
      <c r="P72" s="62" t="str">
        <f t="shared" si="6"/>
        <v/>
      </c>
      <c r="Q72" s="63"/>
      <c r="R72" s="63"/>
      <c r="S72" s="64" t="str">
        <f t="shared" si="7"/>
        <v/>
      </c>
      <c r="T72" s="65"/>
      <c r="U72" s="66"/>
      <c r="V72" s="18" t="str">
        <f>IF($C72="","",VLOOKUP($C72,#REF!,4,FALSE))</f>
        <v/>
      </c>
      <c r="W72" s="69" t="str">
        <f>IF($E72="","",VLOOKUP($E72,#REF!,4,FALSE))</f>
        <v/>
      </c>
      <c r="Y72"/>
      <c r="Z72"/>
      <c r="AA72"/>
      <c r="AB72"/>
      <c r="AC72"/>
      <c r="AD72"/>
    </row>
    <row r="73" spans="1:30" s="67" customFormat="1" ht="18" customHeight="1">
      <c r="A73" s="60"/>
      <c r="B73" s="61"/>
      <c r="C73" s="21"/>
      <c r="D73" s="275" t="s">
        <v>76</v>
      </c>
      <c r="E73" s="21"/>
      <c r="F73" s="282" t="s">
        <v>76</v>
      </c>
      <c r="G73" s="23"/>
      <c r="H73" s="22"/>
      <c r="I73" s="22"/>
      <c r="J73" s="62" t="str">
        <f t="shared" si="4"/>
        <v/>
      </c>
      <c r="K73" s="63"/>
      <c r="L73" s="63"/>
      <c r="M73" s="64" t="str">
        <f t="shared" si="5"/>
        <v/>
      </c>
      <c r="N73" s="22"/>
      <c r="O73" s="22"/>
      <c r="P73" s="62" t="str">
        <f t="shared" si="6"/>
        <v/>
      </c>
      <c r="Q73" s="63"/>
      <c r="R73" s="63"/>
      <c r="S73" s="64" t="str">
        <f t="shared" si="7"/>
        <v/>
      </c>
      <c r="T73" s="65"/>
      <c r="U73" s="66"/>
      <c r="V73" s="18" t="str">
        <f>IF($C73="","",VLOOKUP($C73,#REF!,4,FALSE))</f>
        <v/>
      </c>
      <c r="W73" s="69" t="str">
        <f>IF($E73="","",VLOOKUP($E73,#REF!,4,FALSE))</f>
        <v/>
      </c>
      <c r="Y73"/>
      <c r="Z73"/>
      <c r="AA73"/>
      <c r="AB73"/>
      <c r="AC73"/>
      <c r="AD73"/>
    </row>
    <row r="126" spans="5:5" ht="18" customHeight="1">
      <c r="E126" s="20" ph="1"/>
    </row>
    <row r="137" spans="5:5" ht="18" customHeight="1">
      <c r="E137" s="20" ph="1"/>
    </row>
    <row r="153" spans="5:5" ht="18" customHeight="1">
      <c r="E153" s="20" ph="1"/>
    </row>
    <row r="154" spans="5:5" ht="18" customHeight="1">
      <c r="E154" s="20" ph="1"/>
    </row>
    <row r="173" spans="5:5" ht="18" customHeight="1">
      <c r="E173" s="20" ph="1"/>
    </row>
    <row r="181" spans="5:5" ht="18" customHeight="1">
      <c r="E181" s="20" ph="1"/>
    </row>
    <row r="182" spans="5:5" ht="18" customHeight="1">
      <c r="E182" s="20" ph="1"/>
    </row>
    <row r="196" spans="5:5" ht="18" customHeight="1">
      <c r="E196" s="20" ph="1"/>
    </row>
    <row r="198" spans="5:5" ht="18" customHeight="1">
      <c r="E198" s="20" ph="1"/>
    </row>
    <row r="199" spans="5:5" ht="18" customHeight="1">
      <c r="E199" s="20" ph="1"/>
    </row>
    <row r="200" spans="5:5" ht="18" customHeight="1">
      <c r="E200" s="20" ph="1"/>
    </row>
    <row r="201" spans="5:5" ht="18" customHeight="1">
      <c r="E201" s="20" ph="1"/>
    </row>
  </sheetData>
  <autoFilter ref="A13:AD13" xr:uid="{00000000-0001-0000-0B00-000000000000}">
    <sortState xmlns:xlrd2="http://schemas.microsoft.com/office/spreadsheetml/2017/richdata2" ref="A14:AD73">
      <sortCondition ref="B13"/>
    </sortState>
  </autoFilter>
  <sortState xmlns:xlrd2="http://schemas.microsoft.com/office/spreadsheetml/2017/richdata2" ref="A42:AD50">
    <sortCondition ref="B42:B50"/>
  </sortState>
  <phoneticPr fontId="10" type="Hiragana"/>
  <conditionalFormatting sqref="V14:V73">
    <cfRule type="cellIs" dxfId="41" priority="4" stopIfTrue="1" operator="notBetween">
      <formula>"A"</formula>
      <formula>"Ｂ"</formula>
    </cfRule>
  </conditionalFormatting>
  <conditionalFormatting sqref="W14:W73">
    <cfRule type="cellIs" dxfId="40" priority="3" stopIfTrue="1" operator="between">
      <formula>"-"</formula>
      <formula>"申請中"</formula>
    </cfRule>
  </conditionalFormatting>
  <conditionalFormatting sqref="Y14:Z73">
    <cfRule type="expression" dxfId="39" priority="2">
      <formula>Y14&lt;&gt;C14</formula>
    </cfRule>
  </conditionalFormatting>
  <conditionalFormatting sqref="AB14:AC73">
    <cfRule type="expression" dxfId="38" priority="1">
      <formula>AB14&lt;&gt;E14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horizontalDpi="4294967293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GetJEFInfo">
                <anchor moveWithCells="1" sizeWithCells="1">
                  <from>
                    <xdr:col>23</xdr:col>
                    <xdr:colOff>381000</xdr:colOff>
                    <xdr:row>1</xdr:row>
                    <xdr:rowOff>213360</xdr:rowOff>
                  </from>
                  <to>
                    <xdr:col>25</xdr:col>
                    <xdr:colOff>601980</xdr:colOff>
                    <xdr:row>3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9">
    <tabColor rgb="FFFFC000"/>
  </sheetPr>
  <dimension ref="A1:AD201"/>
  <sheetViews>
    <sheetView topLeftCell="A9" zoomScaleNormal="100" workbookViewId="0">
      <selection activeCell="E26" sqref="E26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24" width="9.6640625" style="20"/>
    <col min="31" max="16384" width="9.6640625" style="20"/>
  </cols>
  <sheetData>
    <row r="1" spans="1:30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Y1"/>
      <c r="Z1"/>
      <c r="AA1"/>
      <c r="AB1"/>
      <c r="AC1"/>
      <c r="AD1"/>
    </row>
    <row r="2" spans="1:30" s="25" customFormat="1" ht="18" customHeight="1">
      <c r="B2" s="26" t="s">
        <v>1</v>
      </c>
      <c r="C2" s="27"/>
      <c r="E2" s="26" t="s">
        <v>2</v>
      </c>
      <c r="F2" s="30"/>
      <c r="G2" s="175">
        <v>46277</v>
      </c>
      <c r="L2" s="28"/>
      <c r="N2" s="26" t="s">
        <v>3</v>
      </c>
      <c r="O2" s="29"/>
      <c r="P2" s="30"/>
      <c r="Q2" s="30"/>
      <c r="R2" s="30"/>
      <c r="S2" s="30"/>
      <c r="T2" s="30"/>
      <c r="Y2"/>
      <c r="Z2"/>
      <c r="AA2"/>
      <c r="AB2"/>
      <c r="AC2"/>
      <c r="AD2"/>
    </row>
    <row r="3" spans="1:30" s="25" customFormat="1" ht="18" customHeight="1">
      <c r="A3" s="31"/>
      <c r="B3" s="26" t="s">
        <v>4</v>
      </c>
      <c r="C3" s="71" t="s">
        <v>481</v>
      </c>
      <c r="D3" s="139"/>
      <c r="E3" s="139"/>
      <c r="F3" s="139"/>
      <c r="G3" s="139"/>
      <c r="Q3" s="26" t="s">
        <v>5</v>
      </c>
      <c r="R3" s="29"/>
      <c r="S3" s="30"/>
      <c r="T3" s="30"/>
      <c r="U3" s="32"/>
      <c r="Y3"/>
      <c r="Z3"/>
      <c r="AA3"/>
      <c r="AB3"/>
      <c r="AC3"/>
      <c r="AD3"/>
    </row>
    <row r="4" spans="1:30" s="25" customFormat="1" ht="18" customHeight="1">
      <c r="B4" s="26" t="s">
        <v>6</v>
      </c>
      <c r="C4" s="33">
        <v>12</v>
      </c>
      <c r="D4" s="25" t="s">
        <v>7</v>
      </c>
      <c r="E4" s="26" t="s">
        <v>8</v>
      </c>
      <c r="F4" s="276" t="s">
        <v>78</v>
      </c>
      <c r="G4" s="30"/>
      <c r="H4" s="72" t="s">
        <v>83</v>
      </c>
      <c r="J4" s="26" t="s">
        <v>9</v>
      </c>
      <c r="K4" s="34" t="s">
        <v>59</v>
      </c>
      <c r="N4" s="26" t="s">
        <v>10</v>
      </c>
      <c r="O4" s="35"/>
      <c r="Y4"/>
      <c r="Z4"/>
      <c r="AA4"/>
      <c r="AB4"/>
      <c r="AC4"/>
      <c r="AD4"/>
    </row>
    <row r="5" spans="1:30" s="25" customFormat="1" ht="18" customHeight="1">
      <c r="C5" s="26" t="s">
        <v>11</v>
      </c>
      <c r="D5" s="27" t="s">
        <v>59</v>
      </c>
      <c r="E5" s="26" t="s">
        <v>12</v>
      </c>
      <c r="F5" s="36" t="s">
        <v>59</v>
      </c>
      <c r="G5" s="26" t="s">
        <v>13</v>
      </c>
      <c r="H5" s="70"/>
      <c r="I5" s="36"/>
      <c r="J5" s="37" t="s">
        <v>14</v>
      </c>
      <c r="K5" s="38"/>
      <c r="L5" s="26" t="s">
        <v>15</v>
      </c>
      <c r="M5" s="39"/>
      <c r="O5" s="26" t="s">
        <v>61</v>
      </c>
      <c r="P5" s="39"/>
      <c r="R5" s="26" t="s">
        <v>17</v>
      </c>
      <c r="S5" s="39"/>
      <c r="Y5"/>
      <c r="Z5"/>
      <c r="AA5"/>
      <c r="AB5"/>
      <c r="AC5"/>
      <c r="AD5"/>
    </row>
    <row r="6" spans="1:30" s="25" customFormat="1" ht="35.1" customHeight="1">
      <c r="C6" s="40" t="s">
        <v>18</v>
      </c>
      <c r="D6" s="269" t="s">
        <v>40</v>
      </c>
      <c r="E6" s="26" t="s">
        <v>19</v>
      </c>
      <c r="F6" s="277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  <c r="Y6"/>
      <c r="Z6"/>
      <c r="AA6"/>
      <c r="AB6"/>
      <c r="AC6"/>
      <c r="AD6"/>
    </row>
    <row r="7" spans="1:30" s="25" customFormat="1" ht="15" customHeight="1">
      <c r="A7" s="26" t="s">
        <v>69</v>
      </c>
      <c r="B7" s="74" t="s">
        <v>0</v>
      </c>
      <c r="C7" s="77"/>
      <c r="D7" s="26" t="s">
        <v>70</v>
      </c>
      <c r="E7" s="75"/>
      <c r="F7" s="32"/>
      <c r="I7" s="26"/>
      <c r="J7" s="37"/>
      <c r="K7" s="32"/>
      <c r="L7" s="26"/>
      <c r="M7" s="32"/>
      <c r="N7" s="26"/>
      <c r="O7" s="42"/>
      <c r="Q7" s="26"/>
      <c r="R7" s="43"/>
      <c r="Y7"/>
      <c r="Z7"/>
      <c r="AA7"/>
      <c r="AB7"/>
      <c r="AC7"/>
      <c r="AD7"/>
    </row>
    <row r="8" spans="1:30" s="25" customFormat="1" ht="15" customHeight="1">
      <c r="A8" s="26" t="s">
        <v>71</v>
      </c>
      <c r="B8" s="74" t="s">
        <v>0</v>
      </c>
      <c r="C8" s="73"/>
      <c r="D8" s="26" t="s">
        <v>70</v>
      </c>
      <c r="E8" s="76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  <c r="Y8"/>
      <c r="Z8"/>
      <c r="AA8"/>
      <c r="AB8"/>
      <c r="AC8"/>
      <c r="AD8"/>
    </row>
    <row r="9" spans="1:30" s="25" customFormat="1" ht="15" customHeight="1">
      <c r="A9" s="26" t="s">
        <v>72</v>
      </c>
      <c r="B9" s="74" t="s">
        <v>0</v>
      </c>
      <c r="C9" s="73"/>
      <c r="D9" s="26" t="s">
        <v>70</v>
      </c>
      <c r="E9" s="76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  <c r="Y9"/>
      <c r="Z9"/>
      <c r="AA9"/>
      <c r="AB9"/>
      <c r="AC9"/>
      <c r="AD9"/>
    </row>
    <row r="10" spans="1:30" s="25" customFormat="1" ht="15" customHeight="1">
      <c r="A10" s="26" t="s">
        <v>73</v>
      </c>
      <c r="B10" s="74" t="s">
        <v>0</v>
      </c>
      <c r="C10" s="73"/>
      <c r="D10" s="26" t="s">
        <v>70</v>
      </c>
      <c r="E10" s="76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  <c r="Y10"/>
      <c r="Z10"/>
      <c r="AA10"/>
      <c r="AB10"/>
      <c r="AC10"/>
      <c r="AD10"/>
    </row>
    <row r="11" spans="1:30" s="25" customFormat="1" ht="15" customHeight="1">
      <c r="A11" s="26" t="s">
        <v>74</v>
      </c>
      <c r="B11" s="74" t="s">
        <v>0</v>
      </c>
      <c r="C11" s="73"/>
      <c r="D11" s="26" t="s">
        <v>70</v>
      </c>
      <c r="E11" s="76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  <c r="Y11"/>
      <c r="Z11"/>
      <c r="AA11"/>
      <c r="AB11"/>
      <c r="AC11"/>
      <c r="AD11"/>
    </row>
    <row r="12" spans="1:30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51</v>
      </c>
      <c r="W12" s="15" t="s">
        <v>52</v>
      </c>
    </row>
    <row r="13" spans="1:30" ht="35.1" customHeight="1">
      <c r="A13" s="52" t="s">
        <v>24</v>
      </c>
      <c r="B13" s="113" t="s">
        <v>25</v>
      </c>
      <c r="C13" s="114" t="s">
        <v>26</v>
      </c>
      <c r="D13" s="289" t="s">
        <v>0</v>
      </c>
      <c r="E13" s="114" t="s">
        <v>27</v>
      </c>
      <c r="F13" s="289" t="s">
        <v>28</v>
      </c>
      <c r="G13" s="114" t="s">
        <v>29</v>
      </c>
      <c r="H13" s="54" t="s">
        <v>30</v>
      </c>
      <c r="I13" s="53" t="s">
        <v>31</v>
      </c>
      <c r="J13" s="54" t="s">
        <v>32</v>
      </c>
      <c r="K13" s="54" t="s">
        <v>33</v>
      </c>
      <c r="L13" s="54" t="s">
        <v>34</v>
      </c>
      <c r="M13" s="53" t="s">
        <v>35</v>
      </c>
      <c r="N13" s="55" t="s">
        <v>30</v>
      </c>
      <c r="O13" s="56" t="s">
        <v>31</v>
      </c>
      <c r="P13" s="55" t="s">
        <v>32</v>
      </c>
      <c r="Q13" s="55" t="s">
        <v>33</v>
      </c>
      <c r="R13" s="57" t="s">
        <v>36</v>
      </c>
      <c r="S13" s="58" t="s">
        <v>37</v>
      </c>
      <c r="T13" s="59" t="s">
        <v>38</v>
      </c>
      <c r="V13" s="15" t="s">
        <v>57</v>
      </c>
      <c r="W13" s="15" t="s">
        <v>58</v>
      </c>
    </row>
    <row r="14" spans="1:30" s="67" customFormat="1" ht="18" customHeight="1">
      <c r="A14" s="60" t="s">
        <v>642</v>
      </c>
      <c r="B14" s="86">
        <v>1</v>
      </c>
      <c r="C14" s="220" t="s">
        <v>253</v>
      </c>
      <c r="D14" s="271">
        <v>7270</v>
      </c>
      <c r="E14" s="240" t="s">
        <v>494</v>
      </c>
      <c r="F14" s="271">
        <v>60955</v>
      </c>
      <c r="G14" s="124" t="s">
        <v>492</v>
      </c>
      <c r="H14" s="22"/>
      <c r="I14" s="22"/>
      <c r="J14" s="62" t="str">
        <f t="shared" ref="J14:J45" si="0">IF(H14="","",H14+I14)</f>
        <v/>
      </c>
      <c r="K14" s="63"/>
      <c r="L14" s="63"/>
      <c r="M14" s="64" t="str">
        <f t="shared" ref="M14:M45" si="1">IF(L14="","",K14+L14)</f>
        <v/>
      </c>
      <c r="N14" s="22"/>
      <c r="O14" s="22"/>
      <c r="P14" s="62" t="str">
        <f t="shared" ref="P14:P45" si="2">IF(N14="","",N14+O14)</f>
        <v/>
      </c>
      <c r="Q14" s="63"/>
      <c r="R14" s="63"/>
      <c r="S14" s="64" t="str">
        <f t="shared" ref="S14:S45" si="3">IF(R14="","",Q14+R14)</f>
        <v/>
      </c>
      <c r="T14" s="65"/>
      <c r="U14" s="66"/>
      <c r="V14" s="18" t="e">
        <f>IF($C14="","",VLOOKUP($C14,#REF!,4,FALSE))</f>
        <v>#REF!</v>
      </c>
      <c r="W14" s="69" t="e">
        <f>IF($E14="","",VLOOKUP($E14,#REF!,4,FALSE))</f>
        <v>#REF!</v>
      </c>
      <c r="Y14"/>
      <c r="Z14"/>
      <c r="AA14"/>
      <c r="AB14"/>
      <c r="AC14"/>
      <c r="AD14"/>
    </row>
    <row r="15" spans="1:30" s="67" customFormat="1" ht="18" customHeight="1">
      <c r="A15" s="60" t="s">
        <v>642</v>
      </c>
      <c r="B15" s="86">
        <v>2</v>
      </c>
      <c r="C15" s="87" t="s">
        <v>673</v>
      </c>
      <c r="D15" s="271" t="s">
        <v>501</v>
      </c>
      <c r="E15" s="242" t="s">
        <v>572</v>
      </c>
      <c r="F15" s="280" t="s">
        <v>501</v>
      </c>
      <c r="G15" s="102" t="s">
        <v>574</v>
      </c>
      <c r="H15" s="22"/>
      <c r="I15" s="22"/>
      <c r="J15" s="62" t="str">
        <f t="shared" si="0"/>
        <v/>
      </c>
      <c r="K15" s="63"/>
      <c r="L15" s="63"/>
      <c r="M15" s="64" t="str">
        <f t="shared" si="1"/>
        <v/>
      </c>
      <c r="N15" s="22"/>
      <c r="O15" s="22"/>
      <c r="P15" s="62" t="str">
        <f t="shared" si="2"/>
        <v/>
      </c>
      <c r="Q15" s="63"/>
      <c r="R15" s="63"/>
      <c r="S15" s="64" t="str">
        <f t="shared" si="3"/>
        <v/>
      </c>
      <c r="T15" s="65"/>
      <c r="U15" s="66"/>
      <c r="V15" s="18" t="e">
        <f>IF($C15="","",VLOOKUP($C15,#REF!,4,FALSE))</f>
        <v>#REF!</v>
      </c>
      <c r="W15" s="69" t="e">
        <f>IF($E15="","",VLOOKUP($E15,#REF!,4,FALSE))</f>
        <v>#REF!</v>
      </c>
      <c r="Y15"/>
      <c r="Z15"/>
      <c r="AA15"/>
      <c r="AB15"/>
      <c r="AC15"/>
      <c r="AD15"/>
    </row>
    <row r="16" spans="1:30" s="67" customFormat="1" ht="18" customHeight="1">
      <c r="A16" s="60" t="s">
        <v>642</v>
      </c>
      <c r="B16" s="86">
        <v>3</v>
      </c>
      <c r="C16" s="125" t="s">
        <v>514</v>
      </c>
      <c r="D16" s="271">
        <v>23529</v>
      </c>
      <c r="E16" s="241" t="s">
        <v>515</v>
      </c>
      <c r="F16" s="271" t="s">
        <v>501</v>
      </c>
      <c r="G16" s="124" t="s">
        <v>516</v>
      </c>
      <c r="H16" s="22"/>
      <c r="I16" s="22"/>
      <c r="J16" s="62" t="str">
        <f t="shared" si="0"/>
        <v/>
      </c>
      <c r="K16" s="63"/>
      <c r="L16" s="63"/>
      <c r="M16" s="64" t="str">
        <f t="shared" si="1"/>
        <v/>
      </c>
      <c r="N16" s="22"/>
      <c r="O16" s="22"/>
      <c r="P16" s="62" t="str">
        <f t="shared" si="2"/>
        <v/>
      </c>
      <c r="Q16" s="63"/>
      <c r="R16" s="63"/>
      <c r="S16" s="64" t="str">
        <f t="shared" si="3"/>
        <v/>
      </c>
      <c r="T16" s="65"/>
      <c r="U16" s="66"/>
      <c r="V16" s="18" t="e">
        <f>IF($C16="","",VLOOKUP($C16,#REF!,4,FALSE))</f>
        <v>#REF!</v>
      </c>
      <c r="W16" s="69" t="e">
        <f>IF($E16="","",VLOOKUP($E16,#REF!,4,FALSE))</f>
        <v>#REF!</v>
      </c>
      <c r="Y16"/>
      <c r="Z16"/>
      <c r="AA16"/>
      <c r="AB16"/>
      <c r="AC16"/>
      <c r="AD16"/>
    </row>
    <row r="17" spans="1:30" s="67" customFormat="1" ht="18" customHeight="1">
      <c r="A17" s="60" t="s">
        <v>642</v>
      </c>
      <c r="B17" s="86">
        <v>4</v>
      </c>
      <c r="C17" s="125" t="s">
        <v>643</v>
      </c>
      <c r="D17" s="271">
        <v>21867</v>
      </c>
      <c r="E17" s="212" t="s">
        <v>578</v>
      </c>
      <c r="F17" s="271">
        <v>58308</v>
      </c>
      <c r="G17" s="124" t="s">
        <v>580</v>
      </c>
      <c r="H17" s="22"/>
      <c r="I17" s="22"/>
      <c r="J17" s="62" t="str">
        <f t="shared" si="0"/>
        <v/>
      </c>
      <c r="K17" s="63"/>
      <c r="L17" s="63"/>
      <c r="M17" s="64" t="str">
        <f t="shared" si="1"/>
        <v/>
      </c>
      <c r="N17" s="22"/>
      <c r="O17" s="22"/>
      <c r="P17" s="62" t="str">
        <f t="shared" si="2"/>
        <v/>
      </c>
      <c r="Q17" s="63"/>
      <c r="R17" s="63"/>
      <c r="S17" s="64" t="str">
        <f t="shared" si="3"/>
        <v/>
      </c>
      <c r="T17" s="65"/>
      <c r="U17" s="66"/>
      <c r="V17" s="18" t="e">
        <f>IF($C17="","",VLOOKUP($C17,#REF!,4,FALSE))</f>
        <v>#REF!</v>
      </c>
      <c r="W17" s="69" t="e">
        <f>IF($E17="","",VLOOKUP($E17,#REF!,4,FALSE))</f>
        <v>#REF!</v>
      </c>
      <c r="Y17"/>
      <c r="Z17"/>
      <c r="AA17"/>
      <c r="AB17"/>
      <c r="AC17"/>
      <c r="AD17"/>
    </row>
    <row r="18" spans="1:30" s="67" customFormat="1" ht="18" customHeight="1">
      <c r="A18" s="60"/>
      <c r="B18" s="86">
        <v>5</v>
      </c>
      <c r="C18" s="125" t="s">
        <v>651</v>
      </c>
      <c r="D18" s="271">
        <v>32787</v>
      </c>
      <c r="E18" s="214" t="s">
        <v>603</v>
      </c>
      <c r="F18" s="271">
        <v>58347</v>
      </c>
      <c r="G18" s="124" t="s">
        <v>604</v>
      </c>
      <c r="H18" s="22"/>
      <c r="I18" s="22"/>
      <c r="J18" s="62" t="str">
        <f t="shared" si="0"/>
        <v/>
      </c>
      <c r="K18" s="63"/>
      <c r="L18" s="63"/>
      <c r="M18" s="64" t="str">
        <f t="shared" si="1"/>
        <v/>
      </c>
      <c r="N18" s="22"/>
      <c r="O18" s="22"/>
      <c r="P18" s="62" t="str">
        <f t="shared" si="2"/>
        <v/>
      </c>
      <c r="Q18" s="63"/>
      <c r="R18" s="63"/>
      <c r="S18" s="64" t="str">
        <f t="shared" si="3"/>
        <v/>
      </c>
      <c r="T18" s="65"/>
      <c r="U18" s="66"/>
      <c r="V18" s="18" t="e">
        <f>IF($C18="","",VLOOKUP($C18,#REF!,4,FALSE))</f>
        <v>#REF!</v>
      </c>
      <c r="W18" s="69" t="e">
        <f>IF($E18="","",VLOOKUP($E18,#REF!,4,FALSE))</f>
        <v>#REF!</v>
      </c>
      <c r="Y18"/>
      <c r="Z18"/>
      <c r="AA18"/>
      <c r="AB18"/>
      <c r="AC18"/>
      <c r="AD18"/>
    </row>
    <row r="19" spans="1:30" s="67" customFormat="1" ht="18" customHeight="1">
      <c r="A19" s="60"/>
      <c r="B19" s="86">
        <v>6</v>
      </c>
      <c r="C19" s="87" t="s">
        <v>674</v>
      </c>
      <c r="D19" s="271" t="s">
        <v>501</v>
      </c>
      <c r="E19" s="88" t="s">
        <v>675</v>
      </c>
      <c r="F19" s="280" t="s">
        <v>531</v>
      </c>
      <c r="G19" s="102" t="s">
        <v>542</v>
      </c>
      <c r="H19" s="22"/>
      <c r="I19" s="22"/>
      <c r="J19" s="62" t="str">
        <f t="shared" si="0"/>
        <v/>
      </c>
      <c r="K19" s="63"/>
      <c r="L19" s="63"/>
      <c r="M19" s="64" t="str">
        <f t="shared" si="1"/>
        <v/>
      </c>
      <c r="N19" s="22"/>
      <c r="O19" s="22"/>
      <c r="P19" s="62" t="str">
        <f t="shared" si="2"/>
        <v/>
      </c>
      <c r="Q19" s="63"/>
      <c r="R19" s="63"/>
      <c r="S19" s="64" t="str">
        <f t="shared" si="3"/>
        <v/>
      </c>
      <c r="T19" s="65"/>
      <c r="U19" s="66"/>
      <c r="V19" s="18" t="e">
        <f>IF($C19="","",VLOOKUP($C19,#REF!,4,FALSE))</f>
        <v>#REF!</v>
      </c>
      <c r="W19" s="69" t="e">
        <f>IF($E19="","",VLOOKUP($E19,#REF!,4,FALSE))</f>
        <v>#REF!</v>
      </c>
      <c r="Y19"/>
      <c r="Z19"/>
      <c r="AA19"/>
      <c r="AB19"/>
      <c r="AC19"/>
      <c r="AD19"/>
    </row>
    <row r="20" spans="1:30" s="67" customFormat="1" ht="18" customHeight="1">
      <c r="A20" s="60"/>
      <c r="B20" s="86">
        <v>7</v>
      </c>
      <c r="C20" s="137" t="s">
        <v>495</v>
      </c>
      <c r="D20" s="271">
        <v>27704</v>
      </c>
      <c r="E20" s="230" t="s">
        <v>494</v>
      </c>
      <c r="F20" s="279">
        <v>60955</v>
      </c>
      <c r="G20" s="138" t="s">
        <v>492</v>
      </c>
      <c r="H20" s="22"/>
      <c r="I20" s="22"/>
      <c r="J20" s="62" t="str">
        <f t="shared" si="0"/>
        <v/>
      </c>
      <c r="K20" s="63"/>
      <c r="L20" s="63"/>
      <c r="M20" s="64" t="str">
        <f t="shared" si="1"/>
        <v/>
      </c>
      <c r="N20" s="22"/>
      <c r="O20" s="22"/>
      <c r="P20" s="62" t="str">
        <f t="shared" si="2"/>
        <v/>
      </c>
      <c r="Q20" s="63"/>
      <c r="R20" s="63"/>
      <c r="S20" s="64" t="str">
        <f t="shared" si="3"/>
        <v/>
      </c>
      <c r="T20" s="65"/>
      <c r="U20" s="66"/>
      <c r="V20" s="18" t="e">
        <f>IF($C20="","",VLOOKUP($C20,#REF!,4,FALSE))</f>
        <v>#REF!</v>
      </c>
      <c r="W20" s="69" t="e">
        <f>IF($E20="","",VLOOKUP($E20,#REF!,4,FALSE))</f>
        <v>#REF!</v>
      </c>
      <c r="Y20"/>
      <c r="Z20"/>
      <c r="AA20"/>
      <c r="AB20"/>
      <c r="AC20"/>
      <c r="AD20"/>
    </row>
    <row r="21" spans="1:30" s="67" customFormat="1" ht="18" customHeight="1">
      <c r="A21" s="60"/>
      <c r="B21" s="86">
        <v>8</v>
      </c>
      <c r="C21" s="112" t="s">
        <v>676</v>
      </c>
      <c r="D21" s="322" t="s">
        <v>501</v>
      </c>
      <c r="E21" s="243" t="s">
        <v>572</v>
      </c>
      <c r="F21" s="271" t="s">
        <v>501</v>
      </c>
      <c r="G21" s="138" t="s">
        <v>574</v>
      </c>
      <c r="H21" s="22"/>
      <c r="I21" s="22"/>
      <c r="J21" s="62" t="str">
        <f t="shared" si="0"/>
        <v/>
      </c>
      <c r="K21" s="63"/>
      <c r="L21" s="63"/>
      <c r="M21" s="64" t="str">
        <f t="shared" si="1"/>
        <v/>
      </c>
      <c r="N21" s="22"/>
      <c r="O21" s="22"/>
      <c r="P21" s="62" t="str">
        <f t="shared" si="2"/>
        <v/>
      </c>
      <c r="Q21" s="63"/>
      <c r="R21" s="63"/>
      <c r="S21" s="64" t="str">
        <f t="shared" si="3"/>
        <v/>
      </c>
      <c r="T21" s="65"/>
      <c r="U21" s="66"/>
      <c r="V21" s="18" t="e">
        <f>IF($C21="","",VLOOKUP($C21,#REF!,4,FALSE))</f>
        <v>#REF!</v>
      </c>
      <c r="W21" s="69" t="e">
        <f>IF($E21="","",VLOOKUP($E21,#REF!,4,FALSE))</f>
        <v>#REF!</v>
      </c>
      <c r="Y21"/>
      <c r="Z21"/>
      <c r="AA21"/>
      <c r="AB21"/>
      <c r="AC21"/>
      <c r="AD21"/>
    </row>
    <row r="22" spans="1:30" s="67" customFormat="1" ht="18" customHeight="1">
      <c r="A22" s="60"/>
      <c r="B22" s="86">
        <v>9</v>
      </c>
      <c r="C22" s="125" t="s">
        <v>661</v>
      </c>
      <c r="D22" s="271" t="s">
        <v>501</v>
      </c>
      <c r="E22" s="244" t="s">
        <v>578</v>
      </c>
      <c r="F22" s="279">
        <v>58308</v>
      </c>
      <c r="G22" s="138" t="s">
        <v>580</v>
      </c>
      <c r="H22" s="22"/>
      <c r="I22" s="22"/>
      <c r="J22" s="62" t="str">
        <f t="shared" si="0"/>
        <v/>
      </c>
      <c r="K22" s="63"/>
      <c r="L22" s="63"/>
      <c r="M22" s="64" t="str">
        <f t="shared" si="1"/>
        <v/>
      </c>
      <c r="N22" s="22"/>
      <c r="O22" s="22"/>
      <c r="P22" s="62" t="str">
        <f t="shared" si="2"/>
        <v/>
      </c>
      <c r="Q22" s="63"/>
      <c r="R22" s="63"/>
      <c r="S22" s="64" t="str">
        <f t="shared" si="3"/>
        <v/>
      </c>
      <c r="T22" s="65"/>
      <c r="U22" s="66"/>
      <c r="V22" s="18" t="e">
        <f>IF($C22="","",VLOOKUP($C22,#REF!,4,FALSE))</f>
        <v>#REF!</v>
      </c>
      <c r="W22" s="69" t="e">
        <f>IF($E22="","",VLOOKUP($E22,#REF!,4,FALSE))</f>
        <v>#REF!</v>
      </c>
      <c r="Y22"/>
      <c r="Z22"/>
      <c r="AA22"/>
      <c r="AB22"/>
      <c r="AC22"/>
      <c r="AD22"/>
    </row>
    <row r="23" spans="1:30" s="67" customFormat="1" ht="18" customHeight="1">
      <c r="A23" s="60"/>
      <c r="B23" s="86">
        <v>10</v>
      </c>
      <c r="C23" s="87" t="s">
        <v>655</v>
      </c>
      <c r="D23" s="273" t="s">
        <v>501</v>
      </c>
      <c r="E23" s="213" t="s">
        <v>603</v>
      </c>
      <c r="F23" s="271">
        <v>58347</v>
      </c>
      <c r="G23" s="103" t="s">
        <v>604</v>
      </c>
      <c r="H23" s="22"/>
      <c r="I23" s="22"/>
      <c r="J23" s="62" t="str">
        <f t="shared" si="0"/>
        <v/>
      </c>
      <c r="K23" s="63"/>
      <c r="L23" s="63"/>
      <c r="M23" s="64" t="str">
        <f t="shared" si="1"/>
        <v/>
      </c>
      <c r="N23" s="22"/>
      <c r="O23" s="22"/>
      <c r="P23" s="62" t="str">
        <f t="shared" si="2"/>
        <v/>
      </c>
      <c r="Q23" s="63"/>
      <c r="R23" s="63"/>
      <c r="S23" s="64" t="str">
        <f t="shared" si="3"/>
        <v/>
      </c>
      <c r="T23" s="65"/>
      <c r="U23" s="66"/>
      <c r="V23" s="18" t="e">
        <f>IF($C23="","",VLOOKUP($C23,#REF!,4,FALSE))</f>
        <v>#REF!</v>
      </c>
      <c r="W23" s="69" t="e">
        <f>IF($E23="","",VLOOKUP($E23,#REF!,4,FALSE))</f>
        <v>#REF!</v>
      </c>
      <c r="Y23"/>
      <c r="Z23"/>
      <c r="AA23"/>
      <c r="AB23"/>
      <c r="AC23"/>
      <c r="AD23"/>
    </row>
    <row r="24" spans="1:30" s="67" customFormat="1" ht="18" customHeight="1">
      <c r="A24" s="60"/>
      <c r="B24" s="86">
        <v>11</v>
      </c>
      <c r="C24" s="131" t="s">
        <v>677</v>
      </c>
      <c r="D24" s="271" t="s">
        <v>501</v>
      </c>
      <c r="E24" s="326" t="s">
        <v>666</v>
      </c>
      <c r="F24" s="271" t="s">
        <v>501</v>
      </c>
      <c r="G24" s="103" t="s">
        <v>574</v>
      </c>
      <c r="H24" s="22"/>
      <c r="I24" s="22"/>
      <c r="J24" s="62" t="str">
        <f t="shared" si="0"/>
        <v/>
      </c>
      <c r="K24" s="63"/>
      <c r="L24" s="63"/>
      <c r="M24" s="64" t="str">
        <f t="shared" si="1"/>
        <v/>
      </c>
      <c r="N24" s="22"/>
      <c r="O24" s="22"/>
      <c r="P24" s="62" t="str">
        <f t="shared" si="2"/>
        <v/>
      </c>
      <c r="Q24" s="63"/>
      <c r="R24" s="63"/>
      <c r="S24" s="64" t="str">
        <f t="shared" si="3"/>
        <v/>
      </c>
      <c r="T24" s="65"/>
      <c r="U24" s="66"/>
      <c r="V24" s="18" t="e">
        <f>IF($C24="","",VLOOKUP($C24,#REF!,4,FALSE))</f>
        <v>#REF!</v>
      </c>
      <c r="W24" s="69" t="e">
        <f>IF($E24="","",VLOOKUP($E24,#REF!,4,FALSE))</f>
        <v>#REF!</v>
      </c>
      <c r="Y24"/>
      <c r="Z24"/>
      <c r="AA24"/>
      <c r="AB24"/>
      <c r="AC24"/>
      <c r="AD24"/>
    </row>
    <row r="25" spans="1:30" s="67" customFormat="1" ht="18" customHeight="1">
      <c r="A25" s="60"/>
      <c r="B25" s="86">
        <v>12</v>
      </c>
      <c r="C25" s="125" t="s">
        <v>678</v>
      </c>
      <c r="D25" s="271" t="s">
        <v>501</v>
      </c>
      <c r="E25" s="243" t="s">
        <v>679</v>
      </c>
      <c r="F25" s="271">
        <v>57863</v>
      </c>
      <c r="G25" s="187" t="s">
        <v>608</v>
      </c>
      <c r="H25" s="22"/>
      <c r="I25" s="22"/>
      <c r="J25" s="62" t="str">
        <f t="shared" si="0"/>
        <v/>
      </c>
      <c r="K25" s="63"/>
      <c r="L25" s="63"/>
      <c r="M25" s="64" t="str">
        <f t="shared" si="1"/>
        <v/>
      </c>
      <c r="N25" s="22"/>
      <c r="O25" s="22"/>
      <c r="P25" s="62" t="str">
        <f t="shared" si="2"/>
        <v/>
      </c>
      <c r="Q25" s="63"/>
      <c r="R25" s="63"/>
      <c r="S25" s="64" t="str">
        <f t="shared" si="3"/>
        <v/>
      </c>
      <c r="T25" s="65"/>
      <c r="U25" s="66"/>
      <c r="V25" s="18" t="e">
        <f>IF($C25="","",VLOOKUP($C25,#REF!,4,FALSE))</f>
        <v>#REF!</v>
      </c>
      <c r="W25" s="69" t="e">
        <f>IF($E25="","",VLOOKUP($E25,#REF!,4,FALSE))</f>
        <v>#REF!</v>
      </c>
      <c r="Y25"/>
      <c r="Z25"/>
      <c r="AA25"/>
      <c r="AB25"/>
      <c r="AC25"/>
      <c r="AD25"/>
    </row>
    <row r="26" spans="1:30" s="67" customFormat="1" ht="18" customHeight="1">
      <c r="A26" s="60"/>
      <c r="B26" s="86">
        <v>13</v>
      </c>
      <c r="C26" s="125" t="s">
        <v>680</v>
      </c>
      <c r="D26" s="271" t="s">
        <v>501</v>
      </c>
      <c r="E26" s="125" t="s">
        <v>572</v>
      </c>
      <c r="F26" s="271" t="s">
        <v>501</v>
      </c>
      <c r="G26" s="124" t="s">
        <v>574</v>
      </c>
      <c r="H26" s="22"/>
      <c r="I26" s="22"/>
      <c r="J26" s="62" t="str">
        <f t="shared" si="0"/>
        <v/>
      </c>
      <c r="K26" s="63"/>
      <c r="L26" s="63"/>
      <c r="M26" s="64" t="str">
        <f t="shared" si="1"/>
        <v/>
      </c>
      <c r="N26" s="22"/>
      <c r="O26" s="22"/>
      <c r="P26" s="62" t="str">
        <f t="shared" si="2"/>
        <v/>
      </c>
      <c r="Q26" s="63"/>
      <c r="R26" s="63"/>
      <c r="S26" s="64" t="str">
        <f t="shared" si="3"/>
        <v/>
      </c>
      <c r="T26" s="65"/>
      <c r="U26" s="66"/>
      <c r="V26" s="18" t="e">
        <f>IF($C26="","",VLOOKUP($C26,#REF!,4,FALSE))</f>
        <v>#REF!</v>
      </c>
      <c r="W26" s="69" t="e">
        <f>IF($E26="","",VLOOKUP($E26,#REF!,4,FALSE))</f>
        <v>#REF!</v>
      </c>
      <c r="Y26"/>
      <c r="Z26"/>
      <c r="AA26"/>
      <c r="AB26"/>
      <c r="AC26"/>
      <c r="AD26"/>
    </row>
    <row r="27" spans="1:30" s="67" customFormat="1" ht="18" customHeight="1">
      <c r="A27" s="60"/>
      <c r="B27" s="86">
        <v>14</v>
      </c>
      <c r="C27" s="220" t="s">
        <v>681</v>
      </c>
      <c r="D27" s="271" t="s">
        <v>501</v>
      </c>
      <c r="E27" s="234" t="s">
        <v>576</v>
      </c>
      <c r="F27" s="271" t="s">
        <v>501</v>
      </c>
      <c r="G27" s="138" t="s">
        <v>574</v>
      </c>
      <c r="H27" s="22"/>
      <c r="I27" s="22"/>
      <c r="J27" s="62" t="str">
        <f t="shared" si="0"/>
        <v/>
      </c>
      <c r="K27" s="63"/>
      <c r="L27" s="63"/>
      <c r="M27" s="64" t="str">
        <f t="shared" si="1"/>
        <v/>
      </c>
      <c r="N27" s="22"/>
      <c r="O27" s="22"/>
      <c r="P27" s="62" t="str">
        <f t="shared" si="2"/>
        <v/>
      </c>
      <c r="Q27" s="63"/>
      <c r="R27" s="63"/>
      <c r="S27" s="64" t="str">
        <f t="shared" si="3"/>
        <v/>
      </c>
      <c r="T27" s="65"/>
      <c r="U27" s="66"/>
      <c r="V27" s="18" t="e">
        <f>IF($C27="","",VLOOKUP($C27,#REF!,4,FALSE))</f>
        <v>#REF!</v>
      </c>
      <c r="W27" s="69" t="e">
        <f>IF($E27="","",VLOOKUP($E27,#REF!,4,FALSE))</f>
        <v>#REF!</v>
      </c>
      <c r="Y27"/>
      <c r="Z27"/>
      <c r="AA27"/>
      <c r="AB27"/>
      <c r="AC27"/>
      <c r="AD27"/>
    </row>
    <row r="28" spans="1:30" s="67" customFormat="1" ht="18" customHeight="1">
      <c r="A28" s="60" t="s">
        <v>642</v>
      </c>
      <c r="B28" s="86">
        <v>15</v>
      </c>
      <c r="C28" s="125" t="s">
        <v>253</v>
      </c>
      <c r="D28" s="271">
        <v>7270</v>
      </c>
      <c r="E28" s="137" t="s">
        <v>497</v>
      </c>
      <c r="F28" s="279">
        <v>60672</v>
      </c>
      <c r="G28" s="138" t="s">
        <v>492</v>
      </c>
      <c r="H28" s="22"/>
      <c r="I28" s="22"/>
      <c r="J28" s="62" t="str">
        <f t="shared" si="0"/>
        <v/>
      </c>
      <c r="K28" s="63"/>
      <c r="L28" s="63"/>
      <c r="M28" s="64" t="str">
        <f t="shared" si="1"/>
        <v/>
      </c>
      <c r="N28" s="22"/>
      <c r="O28" s="22"/>
      <c r="P28" s="62" t="str">
        <f t="shared" si="2"/>
        <v/>
      </c>
      <c r="Q28" s="63"/>
      <c r="R28" s="63"/>
      <c r="S28" s="64" t="str">
        <f t="shared" si="3"/>
        <v/>
      </c>
      <c r="T28" s="65"/>
      <c r="U28" s="66"/>
      <c r="V28" s="18" t="e">
        <f>IF($C28="","",VLOOKUP($C28,#REF!,4,FALSE))</f>
        <v>#REF!</v>
      </c>
      <c r="W28" s="69" t="e">
        <f>IF($E28="","",VLOOKUP($E28,#REF!,4,FALSE))</f>
        <v>#REF!</v>
      </c>
      <c r="Y28"/>
      <c r="Z28"/>
      <c r="AA28"/>
      <c r="AB28"/>
      <c r="AC28"/>
      <c r="AD28"/>
    </row>
    <row r="29" spans="1:30" s="67" customFormat="1" ht="18" customHeight="1">
      <c r="A29" s="60"/>
      <c r="B29" s="86">
        <v>16</v>
      </c>
      <c r="C29" s="87" t="s">
        <v>554</v>
      </c>
      <c r="D29" s="273" t="s">
        <v>501</v>
      </c>
      <c r="E29" s="242" t="s">
        <v>555</v>
      </c>
      <c r="F29" s="271" t="s">
        <v>501</v>
      </c>
      <c r="G29" s="87" t="s">
        <v>553</v>
      </c>
      <c r="H29" s="22"/>
      <c r="I29" s="22"/>
      <c r="J29" s="62" t="str">
        <f t="shared" si="0"/>
        <v/>
      </c>
      <c r="K29" s="63"/>
      <c r="L29" s="63"/>
      <c r="M29" s="64" t="str">
        <f t="shared" si="1"/>
        <v/>
      </c>
      <c r="N29" s="22"/>
      <c r="O29" s="22"/>
      <c r="P29" s="62" t="str">
        <f t="shared" si="2"/>
        <v/>
      </c>
      <c r="Q29" s="63"/>
      <c r="R29" s="63"/>
      <c r="S29" s="64" t="str">
        <f t="shared" si="3"/>
        <v/>
      </c>
      <c r="T29" s="65"/>
      <c r="U29" s="66"/>
      <c r="V29" s="18" t="e">
        <f>IF($C29="","",VLOOKUP($C29,#REF!,4,FALSE))</f>
        <v>#REF!</v>
      </c>
      <c r="W29" s="69" t="e">
        <f>IF($E29="","",VLOOKUP($E29,#REF!,4,FALSE))</f>
        <v>#REF!</v>
      </c>
      <c r="Y29"/>
      <c r="Z29"/>
      <c r="AA29"/>
      <c r="AB29"/>
      <c r="AC29"/>
      <c r="AD29"/>
    </row>
    <row r="30" spans="1:30" s="67" customFormat="1" ht="18" customHeight="1">
      <c r="A30" s="60"/>
      <c r="B30" s="86">
        <v>17</v>
      </c>
      <c r="C30" s="125" t="s">
        <v>682</v>
      </c>
      <c r="D30" s="271" t="s">
        <v>501</v>
      </c>
      <c r="E30" s="125" t="s">
        <v>683</v>
      </c>
      <c r="F30" s="271">
        <v>61736</v>
      </c>
      <c r="G30" s="124" t="s">
        <v>608</v>
      </c>
      <c r="H30" s="22"/>
      <c r="I30" s="22"/>
      <c r="J30" s="62" t="str">
        <f t="shared" si="0"/>
        <v/>
      </c>
      <c r="K30" s="63"/>
      <c r="L30" s="63"/>
      <c r="M30" s="64" t="str">
        <f t="shared" si="1"/>
        <v/>
      </c>
      <c r="N30" s="22"/>
      <c r="O30" s="22"/>
      <c r="P30" s="62" t="str">
        <f t="shared" si="2"/>
        <v/>
      </c>
      <c r="Q30" s="63"/>
      <c r="R30" s="63"/>
      <c r="S30" s="64" t="str">
        <f t="shared" si="3"/>
        <v/>
      </c>
      <c r="T30" s="65"/>
      <c r="U30" s="66"/>
      <c r="V30" s="18" t="e">
        <f>IF($C30="","",VLOOKUP($C30,#REF!,4,FALSE))</f>
        <v>#REF!</v>
      </c>
      <c r="W30" s="69" t="e">
        <f>IF($E30="","",VLOOKUP($E30,#REF!,4,FALSE))</f>
        <v>#REF!</v>
      </c>
      <c r="Y30"/>
      <c r="Z30"/>
      <c r="AA30"/>
      <c r="AB30"/>
      <c r="AC30"/>
      <c r="AD30"/>
    </row>
    <row r="31" spans="1:30" s="67" customFormat="1" ht="18" customHeight="1">
      <c r="A31" s="60"/>
      <c r="B31" s="86">
        <v>18</v>
      </c>
      <c r="C31" s="125" t="s">
        <v>684</v>
      </c>
      <c r="D31" s="271" t="s">
        <v>501</v>
      </c>
      <c r="E31" s="245" t="s">
        <v>572</v>
      </c>
      <c r="F31" s="271" t="s">
        <v>501</v>
      </c>
      <c r="G31" s="126" t="s">
        <v>574</v>
      </c>
      <c r="H31" s="22"/>
      <c r="I31" s="22"/>
      <c r="J31" s="62" t="str">
        <f t="shared" si="0"/>
        <v/>
      </c>
      <c r="K31" s="63"/>
      <c r="L31" s="63"/>
      <c r="M31" s="64" t="str">
        <f t="shared" si="1"/>
        <v/>
      </c>
      <c r="N31" s="22"/>
      <c r="O31" s="22"/>
      <c r="P31" s="62" t="str">
        <f t="shared" si="2"/>
        <v/>
      </c>
      <c r="Q31" s="63"/>
      <c r="R31" s="63"/>
      <c r="S31" s="64" t="str">
        <f t="shared" si="3"/>
        <v/>
      </c>
      <c r="T31" s="65"/>
      <c r="U31" s="66"/>
      <c r="V31" s="18" t="e">
        <f>IF($C31="","",VLOOKUP($C31,#REF!,4,FALSE))</f>
        <v>#REF!</v>
      </c>
      <c r="W31" s="69" t="e">
        <f>IF($E31="","",VLOOKUP($E31,#REF!,4,FALSE))</f>
        <v>#REF!</v>
      </c>
      <c r="Y31"/>
      <c r="Z31"/>
      <c r="AA31"/>
      <c r="AB31"/>
      <c r="AC31"/>
      <c r="AD31"/>
    </row>
    <row r="32" spans="1:30" s="67" customFormat="1" ht="18" customHeight="1">
      <c r="A32" s="60"/>
      <c r="B32" s="86">
        <v>19</v>
      </c>
      <c r="C32" s="125" t="s">
        <v>685</v>
      </c>
      <c r="D32" s="271" t="s">
        <v>501</v>
      </c>
      <c r="E32" s="234" t="s">
        <v>541</v>
      </c>
      <c r="F32" s="271" t="s">
        <v>531</v>
      </c>
      <c r="G32" s="103" t="s">
        <v>542</v>
      </c>
      <c r="H32" s="22"/>
      <c r="I32" s="22"/>
      <c r="J32" s="62" t="str">
        <f t="shared" si="0"/>
        <v/>
      </c>
      <c r="K32" s="63"/>
      <c r="L32" s="63"/>
      <c r="M32" s="64" t="str">
        <f t="shared" si="1"/>
        <v/>
      </c>
      <c r="N32" s="22"/>
      <c r="O32" s="22"/>
      <c r="P32" s="62" t="str">
        <f t="shared" si="2"/>
        <v/>
      </c>
      <c r="Q32" s="63"/>
      <c r="R32" s="63"/>
      <c r="S32" s="64" t="str">
        <f t="shared" si="3"/>
        <v/>
      </c>
      <c r="T32" s="65"/>
      <c r="U32" s="66"/>
      <c r="V32" s="18" t="e">
        <f>IF($C32="","",VLOOKUP($C32,#REF!,4,FALSE))</f>
        <v>#REF!</v>
      </c>
      <c r="W32" s="69" t="e">
        <f>IF($E32="","",VLOOKUP($E32,#REF!,4,FALSE))</f>
        <v>#REF!</v>
      </c>
      <c r="Y32"/>
      <c r="Z32"/>
      <c r="AA32"/>
      <c r="AB32"/>
      <c r="AC32"/>
      <c r="AD32"/>
    </row>
    <row r="33" spans="1:30" s="67" customFormat="1" ht="18" customHeight="1">
      <c r="A33" s="60"/>
      <c r="B33" s="86">
        <v>20</v>
      </c>
      <c r="C33" s="125" t="s">
        <v>498</v>
      </c>
      <c r="D33" s="271">
        <v>31486</v>
      </c>
      <c r="E33" s="241" t="s">
        <v>497</v>
      </c>
      <c r="F33" s="271">
        <v>60672</v>
      </c>
      <c r="G33" s="124" t="s">
        <v>492</v>
      </c>
      <c r="H33" s="22"/>
      <c r="I33" s="22"/>
      <c r="J33" s="62" t="str">
        <f t="shared" si="0"/>
        <v/>
      </c>
      <c r="K33" s="63"/>
      <c r="L33" s="63"/>
      <c r="M33" s="64" t="str">
        <f t="shared" si="1"/>
        <v/>
      </c>
      <c r="N33" s="22"/>
      <c r="O33" s="22"/>
      <c r="P33" s="62" t="str">
        <f t="shared" si="2"/>
        <v/>
      </c>
      <c r="Q33" s="63"/>
      <c r="R33" s="63"/>
      <c r="S33" s="64" t="str">
        <f t="shared" si="3"/>
        <v/>
      </c>
      <c r="T33" s="65"/>
      <c r="U33" s="66"/>
      <c r="V33" s="18" t="e">
        <f>IF($C33="","",VLOOKUP($C33,#REF!,4,FALSE))</f>
        <v>#REF!</v>
      </c>
      <c r="W33" s="69" t="e">
        <f>IF($E33="","",VLOOKUP($E33,#REF!,4,FALSE))</f>
        <v>#REF!</v>
      </c>
      <c r="Y33"/>
      <c r="Z33"/>
      <c r="AA33"/>
      <c r="AB33"/>
      <c r="AC33"/>
      <c r="AD33"/>
    </row>
    <row r="34" spans="1:30" s="67" customFormat="1" ht="18" customHeight="1">
      <c r="A34" s="60"/>
      <c r="B34" s="86">
        <v>21</v>
      </c>
      <c r="C34" s="87" t="s">
        <v>261</v>
      </c>
      <c r="D34" s="273">
        <v>31292</v>
      </c>
      <c r="E34" s="88" t="s">
        <v>686</v>
      </c>
      <c r="F34" s="271">
        <v>50565</v>
      </c>
      <c r="G34" s="87" t="s">
        <v>564</v>
      </c>
      <c r="H34" s="22"/>
      <c r="I34" s="22"/>
      <c r="J34" s="62" t="str">
        <f t="shared" si="0"/>
        <v/>
      </c>
      <c r="K34" s="63"/>
      <c r="L34" s="63"/>
      <c r="M34" s="64" t="str">
        <f t="shared" si="1"/>
        <v/>
      </c>
      <c r="N34" s="22"/>
      <c r="O34" s="22"/>
      <c r="P34" s="62" t="str">
        <f t="shared" si="2"/>
        <v/>
      </c>
      <c r="Q34" s="63"/>
      <c r="R34" s="63"/>
      <c r="S34" s="64" t="str">
        <f t="shared" si="3"/>
        <v/>
      </c>
      <c r="T34" s="65"/>
      <c r="U34" s="66"/>
      <c r="V34" s="18" t="e">
        <f>IF($C34="","",VLOOKUP($C34,#REF!,4,FALSE))</f>
        <v>#REF!</v>
      </c>
      <c r="W34" s="69" t="e">
        <f>IF($E34="","",VLOOKUP($E34,#REF!,4,FALSE))</f>
        <v>#REF!</v>
      </c>
      <c r="Y34"/>
      <c r="Z34"/>
      <c r="AA34"/>
      <c r="AB34"/>
      <c r="AC34"/>
      <c r="AD34"/>
    </row>
    <row r="35" spans="1:30" s="67" customFormat="1" ht="18" customHeight="1">
      <c r="A35" s="60" t="s">
        <v>687</v>
      </c>
      <c r="B35" s="86">
        <v>22</v>
      </c>
      <c r="C35" s="87" t="s">
        <v>688</v>
      </c>
      <c r="D35" s="273">
        <v>33226</v>
      </c>
      <c r="E35" s="88" t="s">
        <v>546</v>
      </c>
      <c r="F35" s="271">
        <v>61773</v>
      </c>
      <c r="G35" s="87" t="s">
        <v>547</v>
      </c>
      <c r="H35" s="22"/>
      <c r="I35" s="22"/>
      <c r="J35" s="62" t="str">
        <f t="shared" si="0"/>
        <v/>
      </c>
      <c r="K35" s="63"/>
      <c r="L35" s="63"/>
      <c r="M35" s="64" t="str">
        <f t="shared" si="1"/>
        <v/>
      </c>
      <c r="N35" s="22"/>
      <c r="O35" s="22"/>
      <c r="P35" s="62" t="str">
        <f t="shared" si="2"/>
        <v/>
      </c>
      <c r="Q35" s="63"/>
      <c r="R35" s="63"/>
      <c r="S35" s="64" t="str">
        <f t="shared" si="3"/>
        <v/>
      </c>
      <c r="T35" s="65"/>
      <c r="U35" s="66"/>
      <c r="V35" s="18" t="e">
        <f>IF($C35="","",VLOOKUP($C35,#REF!,4,FALSE))</f>
        <v>#REF!</v>
      </c>
      <c r="W35" s="69" t="e">
        <f>IF($E35="","",VLOOKUP($E35,#REF!,4,FALSE))</f>
        <v>#REF!</v>
      </c>
      <c r="Y35"/>
      <c r="Z35"/>
      <c r="AA35"/>
      <c r="AB35"/>
      <c r="AC35"/>
      <c r="AD35"/>
    </row>
    <row r="36" spans="1:30" s="67" customFormat="1" ht="18" customHeight="1">
      <c r="A36" s="60" t="s">
        <v>687</v>
      </c>
      <c r="B36" s="86">
        <v>23</v>
      </c>
      <c r="C36" s="125" t="s">
        <v>689</v>
      </c>
      <c r="D36" s="271">
        <v>32214</v>
      </c>
      <c r="E36" s="125" t="s">
        <v>515</v>
      </c>
      <c r="F36" s="271" t="s">
        <v>501</v>
      </c>
      <c r="G36" s="124" t="s">
        <v>516</v>
      </c>
      <c r="H36" s="22"/>
      <c r="I36" s="22"/>
      <c r="J36" s="62" t="str">
        <f t="shared" si="0"/>
        <v/>
      </c>
      <c r="K36" s="63"/>
      <c r="L36" s="63"/>
      <c r="M36" s="64" t="str">
        <f t="shared" si="1"/>
        <v/>
      </c>
      <c r="N36" s="22"/>
      <c r="O36" s="22"/>
      <c r="P36" s="62" t="str">
        <f t="shared" si="2"/>
        <v/>
      </c>
      <c r="Q36" s="63"/>
      <c r="R36" s="63"/>
      <c r="S36" s="64" t="str">
        <f t="shared" si="3"/>
        <v/>
      </c>
      <c r="T36" s="65"/>
      <c r="U36" s="66"/>
      <c r="V36" s="18" t="e">
        <f>IF($C36="","",VLOOKUP($C36,#REF!,4,FALSE))</f>
        <v>#REF!</v>
      </c>
      <c r="W36" s="69" t="e">
        <f>IF($E36="","",VLOOKUP($E36,#REF!,4,FALSE))</f>
        <v>#REF!</v>
      </c>
      <c r="Y36"/>
      <c r="Z36"/>
      <c r="AA36"/>
      <c r="AB36"/>
      <c r="AC36"/>
      <c r="AD36"/>
    </row>
    <row r="37" spans="1:30" s="67" customFormat="1" ht="18" customHeight="1">
      <c r="A37" s="60"/>
      <c r="B37" s="86">
        <v>24</v>
      </c>
      <c r="C37" s="125"/>
      <c r="D37" s="271"/>
      <c r="E37" s="125"/>
      <c r="F37" s="271"/>
      <c r="G37" s="124"/>
      <c r="H37" s="22"/>
      <c r="I37" s="22"/>
      <c r="J37" s="62" t="str">
        <f t="shared" si="0"/>
        <v/>
      </c>
      <c r="K37" s="63"/>
      <c r="L37" s="63"/>
      <c r="M37" s="64" t="str">
        <f t="shared" si="1"/>
        <v/>
      </c>
      <c r="N37" s="22"/>
      <c r="O37" s="22"/>
      <c r="P37" s="62" t="str">
        <f t="shared" si="2"/>
        <v/>
      </c>
      <c r="Q37" s="63"/>
      <c r="R37" s="63"/>
      <c r="S37" s="64" t="str">
        <f t="shared" si="3"/>
        <v/>
      </c>
      <c r="T37" s="65"/>
      <c r="U37" s="66"/>
      <c r="V37" s="18" t="str">
        <f>IF($C37="","",VLOOKUP($C37,#REF!,4,FALSE))</f>
        <v/>
      </c>
      <c r="W37" s="69" t="str">
        <f>IF($E37="","",VLOOKUP($E37,#REF!,4,FALSE))</f>
        <v/>
      </c>
      <c r="Y37"/>
      <c r="Z37"/>
      <c r="AA37"/>
      <c r="AB37"/>
      <c r="AC37"/>
      <c r="AD37"/>
    </row>
    <row r="38" spans="1:30" s="67" customFormat="1" ht="18" customHeight="1">
      <c r="A38" s="60"/>
      <c r="B38" s="86">
        <v>25</v>
      </c>
      <c r="C38" s="87"/>
      <c r="D38" s="273"/>
      <c r="E38" s="88"/>
      <c r="F38" s="271"/>
      <c r="G38" s="87"/>
      <c r="H38" s="22"/>
      <c r="I38" s="22"/>
      <c r="J38" s="62" t="str">
        <f t="shared" si="0"/>
        <v/>
      </c>
      <c r="K38" s="63"/>
      <c r="L38" s="63"/>
      <c r="M38" s="64" t="str">
        <f t="shared" si="1"/>
        <v/>
      </c>
      <c r="N38" s="22"/>
      <c r="O38" s="22"/>
      <c r="P38" s="62" t="str">
        <f t="shared" si="2"/>
        <v/>
      </c>
      <c r="Q38" s="63"/>
      <c r="R38" s="63"/>
      <c r="S38" s="64" t="str">
        <f t="shared" si="3"/>
        <v/>
      </c>
      <c r="T38" s="65"/>
      <c r="U38" s="66"/>
      <c r="V38" s="18" t="str">
        <f>IF($C38="","",VLOOKUP($C38,#REF!,4,FALSE))</f>
        <v/>
      </c>
      <c r="W38" s="69" t="str">
        <f>IF($E38="","",VLOOKUP($E38,#REF!,4,FALSE))</f>
        <v/>
      </c>
      <c r="Y38"/>
      <c r="Z38"/>
      <c r="AA38"/>
      <c r="AB38"/>
      <c r="AC38"/>
      <c r="AD38"/>
    </row>
    <row r="39" spans="1:30" s="67" customFormat="1" ht="18" customHeight="1">
      <c r="A39" s="60"/>
      <c r="B39" s="86">
        <v>26</v>
      </c>
      <c r="C39" s="125"/>
      <c r="D39" s="271"/>
      <c r="E39" s="125"/>
      <c r="F39" s="271"/>
      <c r="G39" s="124"/>
      <c r="H39" s="22"/>
      <c r="I39" s="22"/>
      <c r="J39" s="62" t="str">
        <f t="shared" si="0"/>
        <v/>
      </c>
      <c r="K39" s="63"/>
      <c r="L39" s="63"/>
      <c r="M39" s="64" t="str">
        <f t="shared" si="1"/>
        <v/>
      </c>
      <c r="N39" s="22"/>
      <c r="O39" s="22"/>
      <c r="P39" s="62" t="str">
        <f t="shared" si="2"/>
        <v/>
      </c>
      <c r="Q39" s="63"/>
      <c r="R39" s="63"/>
      <c r="S39" s="64" t="str">
        <f t="shared" si="3"/>
        <v/>
      </c>
      <c r="T39" s="65"/>
      <c r="U39" s="66"/>
      <c r="V39" s="18" t="str">
        <f>IF($C39="","",VLOOKUP($C39,#REF!,4,FALSE))</f>
        <v/>
      </c>
      <c r="W39" s="69" t="str">
        <f>IF($E39="","",VLOOKUP($E39,#REF!,4,FALSE))</f>
        <v/>
      </c>
      <c r="Y39"/>
      <c r="Z39"/>
      <c r="AA39"/>
      <c r="AB39"/>
      <c r="AC39"/>
      <c r="AD39"/>
    </row>
    <row r="40" spans="1:30" s="67" customFormat="1" ht="18" customHeight="1">
      <c r="A40" s="60"/>
      <c r="B40" s="86">
        <v>27</v>
      </c>
      <c r="C40" s="125"/>
      <c r="D40" s="271"/>
      <c r="E40" s="125"/>
      <c r="F40" s="271"/>
      <c r="G40" s="124"/>
      <c r="H40" s="22"/>
      <c r="I40" s="22"/>
      <c r="J40" s="62" t="str">
        <f t="shared" si="0"/>
        <v/>
      </c>
      <c r="K40" s="63"/>
      <c r="L40" s="63"/>
      <c r="M40" s="64" t="str">
        <f t="shared" si="1"/>
        <v/>
      </c>
      <c r="N40" s="22"/>
      <c r="O40" s="22"/>
      <c r="P40" s="62" t="str">
        <f t="shared" si="2"/>
        <v/>
      </c>
      <c r="Q40" s="63"/>
      <c r="R40" s="63"/>
      <c r="S40" s="64" t="str">
        <f t="shared" si="3"/>
        <v/>
      </c>
      <c r="T40" s="65"/>
      <c r="U40" s="66"/>
      <c r="V40" s="18" t="str">
        <f>IF($C40="","",VLOOKUP($C40,#REF!,4,FALSE))</f>
        <v/>
      </c>
      <c r="W40" s="69" t="str">
        <f>IF($E40="","",VLOOKUP($E40,#REF!,4,FALSE))</f>
        <v/>
      </c>
      <c r="Y40"/>
      <c r="Z40"/>
      <c r="AA40"/>
      <c r="AB40"/>
      <c r="AC40"/>
      <c r="AD40"/>
    </row>
    <row r="41" spans="1:30" s="67" customFormat="1" ht="18" customHeight="1">
      <c r="A41" s="60"/>
      <c r="B41" s="86">
        <v>28</v>
      </c>
      <c r="C41" s="125"/>
      <c r="D41" s="271"/>
      <c r="E41" s="125"/>
      <c r="F41" s="271"/>
      <c r="G41" s="124"/>
      <c r="H41" s="22"/>
      <c r="I41" s="22"/>
      <c r="J41" s="62" t="str">
        <f t="shared" si="0"/>
        <v/>
      </c>
      <c r="K41" s="63"/>
      <c r="L41" s="63"/>
      <c r="M41" s="64" t="str">
        <f t="shared" si="1"/>
        <v/>
      </c>
      <c r="N41" s="22"/>
      <c r="O41" s="22"/>
      <c r="P41" s="62" t="str">
        <f t="shared" si="2"/>
        <v/>
      </c>
      <c r="Q41" s="63"/>
      <c r="R41" s="63"/>
      <c r="S41" s="64" t="str">
        <f t="shared" si="3"/>
        <v/>
      </c>
      <c r="T41" s="65"/>
      <c r="U41" s="66"/>
      <c r="V41" s="18" t="str">
        <f>IF($C41="","",VLOOKUP($C41,#REF!,4,FALSE))</f>
        <v/>
      </c>
      <c r="W41" s="69" t="str">
        <f>IF($E41="","",VLOOKUP($E41,#REF!,4,FALSE))</f>
        <v/>
      </c>
      <c r="Y41"/>
      <c r="Z41"/>
      <c r="AA41"/>
      <c r="AB41"/>
      <c r="AC41"/>
      <c r="AD41"/>
    </row>
    <row r="42" spans="1:30" s="67" customFormat="1" ht="18" customHeight="1">
      <c r="A42" s="60"/>
      <c r="B42" s="109">
        <v>29</v>
      </c>
      <c r="C42" s="125"/>
      <c r="D42" s="271"/>
      <c r="E42" s="125"/>
      <c r="F42" s="271"/>
      <c r="G42" s="124"/>
      <c r="H42" s="22"/>
      <c r="I42" s="22"/>
      <c r="J42" s="62" t="str">
        <f t="shared" si="0"/>
        <v/>
      </c>
      <c r="K42" s="63"/>
      <c r="L42" s="63"/>
      <c r="M42" s="64" t="str">
        <f t="shared" si="1"/>
        <v/>
      </c>
      <c r="N42" s="22"/>
      <c r="O42" s="22"/>
      <c r="P42" s="62" t="str">
        <f t="shared" si="2"/>
        <v/>
      </c>
      <c r="Q42" s="63"/>
      <c r="R42" s="63"/>
      <c r="S42" s="64" t="str">
        <f t="shared" si="3"/>
        <v/>
      </c>
      <c r="T42" s="65"/>
      <c r="U42" s="66"/>
      <c r="V42" s="18" t="str">
        <f>IF($C42="","",VLOOKUP($C42,#REF!,4,FALSE))</f>
        <v/>
      </c>
      <c r="W42" s="69" t="str">
        <f>IF($E42="","",VLOOKUP($E42,#REF!,4,FALSE))</f>
        <v/>
      </c>
      <c r="Y42"/>
      <c r="Z42"/>
      <c r="AA42"/>
      <c r="AB42"/>
      <c r="AC42"/>
      <c r="AD42"/>
    </row>
    <row r="43" spans="1:30" s="67" customFormat="1" ht="18" customHeight="1">
      <c r="A43" s="60"/>
      <c r="B43" s="109">
        <v>30</v>
      </c>
      <c r="C43" s="125"/>
      <c r="D43" s="271"/>
      <c r="E43" s="125"/>
      <c r="F43" s="271"/>
      <c r="G43" s="124"/>
      <c r="H43" s="22"/>
      <c r="I43" s="22"/>
      <c r="J43" s="62" t="str">
        <f t="shared" si="0"/>
        <v/>
      </c>
      <c r="K43" s="63"/>
      <c r="L43" s="63"/>
      <c r="M43" s="64" t="str">
        <f t="shared" si="1"/>
        <v/>
      </c>
      <c r="N43" s="22"/>
      <c r="O43" s="22"/>
      <c r="P43" s="62" t="str">
        <f t="shared" si="2"/>
        <v/>
      </c>
      <c r="Q43" s="63"/>
      <c r="R43" s="63"/>
      <c r="S43" s="64" t="str">
        <f t="shared" si="3"/>
        <v/>
      </c>
      <c r="T43" s="65"/>
      <c r="U43" s="66"/>
      <c r="V43" s="18" t="str">
        <f>IF($C43="","",VLOOKUP($C43,#REF!,4,FALSE))</f>
        <v/>
      </c>
      <c r="W43" s="69" t="str">
        <f>IF($E43="","",VLOOKUP($E43,#REF!,4,FALSE))</f>
        <v/>
      </c>
      <c r="Y43"/>
      <c r="Z43"/>
      <c r="AA43"/>
      <c r="AB43"/>
      <c r="AC43"/>
      <c r="AD43"/>
    </row>
    <row r="44" spans="1:30" s="67" customFormat="1" ht="18" customHeight="1">
      <c r="A44" s="60"/>
      <c r="B44" s="86">
        <v>31</v>
      </c>
      <c r="C44" s="125"/>
      <c r="D44" s="271"/>
      <c r="E44" s="125"/>
      <c r="F44" s="271"/>
      <c r="G44" s="124"/>
      <c r="H44" s="22"/>
      <c r="I44" s="22"/>
      <c r="J44" s="62" t="str">
        <f t="shared" si="0"/>
        <v/>
      </c>
      <c r="K44" s="63"/>
      <c r="L44" s="63"/>
      <c r="M44" s="64" t="str">
        <f t="shared" si="1"/>
        <v/>
      </c>
      <c r="N44" s="22"/>
      <c r="O44" s="22"/>
      <c r="P44" s="62" t="str">
        <f t="shared" si="2"/>
        <v/>
      </c>
      <c r="Q44" s="63"/>
      <c r="R44" s="63"/>
      <c r="S44" s="64" t="str">
        <f t="shared" si="3"/>
        <v/>
      </c>
      <c r="T44" s="65"/>
      <c r="U44" s="66"/>
      <c r="V44" s="18" t="str">
        <f>IF($C44="","",VLOOKUP($C44,#REF!,4,FALSE))</f>
        <v/>
      </c>
      <c r="W44" s="69" t="str">
        <f>IF($E44="","",VLOOKUP($E44,#REF!,4,FALSE))</f>
        <v/>
      </c>
      <c r="Y44"/>
      <c r="Z44"/>
      <c r="AA44"/>
      <c r="AB44"/>
      <c r="AC44"/>
      <c r="AD44"/>
    </row>
    <row r="45" spans="1:30" s="67" customFormat="1" ht="18" customHeight="1">
      <c r="A45" s="60"/>
      <c r="B45" s="109">
        <v>32</v>
      </c>
      <c r="C45" s="87"/>
      <c r="D45" s="273"/>
      <c r="E45" s="88"/>
      <c r="F45" s="271"/>
      <c r="G45" s="87"/>
      <c r="H45" s="22"/>
      <c r="I45" s="22"/>
      <c r="J45" s="62" t="str">
        <f t="shared" si="0"/>
        <v/>
      </c>
      <c r="K45" s="63"/>
      <c r="L45" s="63"/>
      <c r="M45" s="64" t="str">
        <f t="shared" si="1"/>
        <v/>
      </c>
      <c r="N45" s="22"/>
      <c r="O45" s="22"/>
      <c r="P45" s="62" t="str">
        <f t="shared" si="2"/>
        <v/>
      </c>
      <c r="Q45" s="63"/>
      <c r="R45" s="63"/>
      <c r="S45" s="64" t="str">
        <f t="shared" si="3"/>
        <v/>
      </c>
      <c r="T45" s="65"/>
      <c r="U45" s="66"/>
      <c r="V45" s="18" t="str">
        <f>IF($C45="","",VLOOKUP($C45,#REF!,4,FALSE))</f>
        <v/>
      </c>
      <c r="W45" s="69" t="str">
        <f>IF($E45="","",VLOOKUP($E45,#REF!,4,FALSE))</f>
        <v/>
      </c>
      <c r="Y45"/>
      <c r="Z45"/>
      <c r="AA45"/>
      <c r="AB45"/>
      <c r="AC45"/>
      <c r="AD45"/>
    </row>
    <row r="46" spans="1:30" s="67" customFormat="1" ht="18" customHeight="1">
      <c r="A46" s="60"/>
      <c r="B46" s="109">
        <v>33</v>
      </c>
      <c r="C46" s="106"/>
      <c r="D46" s="271"/>
      <c r="E46" s="128"/>
      <c r="F46" s="271"/>
      <c r="G46" s="106"/>
      <c r="H46" s="22"/>
      <c r="I46" s="22"/>
      <c r="J46" s="62" t="str">
        <f t="shared" ref="J46:J73" si="4">IF(H46="","",H46+I46)</f>
        <v/>
      </c>
      <c r="K46" s="63"/>
      <c r="L46" s="63"/>
      <c r="M46" s="64" t="str">
        <f t="shared" ref="M46:M73" si="5">IF(L46="","",K46+L46)</f>
        <v/>
      </c>
      <c r="N46" s="22"/>
      <c r="O46" s="22"/>
      <c r="P46" s="62" t="str">
        <f t="shared" ref="P46:P73" si="6">IF(N46="","",N46+O46)</f>
        <v/>
      </c>
      <c r="Q46" s="63"/>
      <c r="R46" s="63"/>
      <c r="S46" s="64" t="str">
        <f t="shared" ref="S46:S73" si="7">IF(R46="","",Q46+R46)</f>
        <v/>
      </c>
      <c r="T46" s="65"/>
      <c r="U46" s="66"/>
      <c r="V46" s="18" t="str">
        <f>IF($C46="","",VLOOKUP($C46,#REF!,4,FALSE))</f>
        <v/>
      </c>
      <c r="W46" s="69" t="str">
        <f>IF($E46="","",VLOOKUP($E46,#REF!,4,FALSE))</f>
        <v/>
      </c>
      <c r="Y46"/>
      <c r="Z46"/>
      <c r="AA46"/>
      <c r="AB46"/>
      <c r="AC46"/>
      <c r="AD46"/>
    </row>
    <row r="47" spans="1:30" s="67" customFormat="1" ht="18" customHeight="1">
      <c r="A47" s="60"/>
      <c r="B47" s="86">
        <v>34</v>
      </c>
      <c r="C47" s="125"/>
      <c r="D47" s="271"/>
      <c r="E47" s="125"/>
      <c r="F47" s="271"/>
      <c r="G47" s="124"/>
      <c r="H47" s="22"/>
      <c r="I47" s="22"/>
      <c r="J47" s="62" t="str">
        <f t="shared" si="4"/>
        <v/>
      </c>
      <c r="K47" s="63"/>
      <c r="L47" s="63"/>
      <c r="M47" s="64" t="str">
        <f t="shared" si="5"/>
        <v/>
      </c>
      <c r="N47" s="22"/>
      <c r="O47" s="22"/>
      <c r="P47" s="62" t="str">
        <f t="shared" si="6"/>
        <v/>
      </c>
      <c r="Q47" s="63"/>
      <c r="R47" s="63"/>
      <c r="S47" s="64" t="str">
        <f t="shared" si="7"/>
        <v/>
      </c>
      <c r="T47" s="65"/>
      <c r="U47" s="66"/>
      <c r="V47" s="18" t="str">
        <f>IF($C47="","",VLOOKUP($C47,#REF!,4,FALSE))</f>
        <v/>
      </c>
      <c r="W47" s="69" t="str">
        <f>IF($E47="","",VLOOKUP($E47,#REF!,4,FALSE))</f>
        <v/>
      </c>
      <c r="Y47"/>
      <c r="Z47"/>
      <c r="AA47"/>
      <c r="AB47"/>
      <c r="AC47"/>
      <c r="AD47"/>
    </row>
    <row r="48" spans="1:30" s="67" customFormat="1" ht="18" customHeight="1">
      <c r="A48" s="60"/>
      <c r="B48" s="109">
        <v>35</v>
      </c>
      <c r="C48" s="125"/>
      <c r="D48" s="271"/>
      <c r="E48" s="125"/>
      <c r="F48" s="271"/>
      <c r="G48" s="124"/>
      <c r="H48" s="22"/>
      <c r="I48" s="22"/>
      <c r="J48" s="62" t="str">
        <f t="shared" si="4"/>
        <v/>
      </c>
      <c r="K48" s="63"/>
      <c r="L48" s="63"/>
      <c r="M48" s="64" t="str">
        <f t="shared" si="5"/>
        <v/>
      </c>
      <c r="N48" s="22"/>
      <c r="O48" s="22"/>
      <c r="P48" s="62" t="str">
        <f t="shared" si="6"/>
        <v/>
      </c>
      <c r="Q48" s="63"/>
      <c r="R48" s="63"/>
      <c r="S48" s="64" t="str">
        <f t="shared" si="7"/>
        <v/>
      </c>
      <c r="T48" s="65"/>
      <c r="U48" s="66"/>
      <c r="V48" s="18" t="str">
        <f>IF($C48="","",VLOOKUP($C48,#REF!,4,FALSE))</f>
        <v/>
      </c>
      <c r="W48" s="69" t="str">
        <f>IF($E48="","",VLOOKUP($E48,#REF!,4,FALSE))</f>
        <v/>
      </c>
      <c r="Y48"/>
      <c r="Z48"/>
      <c r="AA48"/>
      <c r="AB48"/>
      <c r="AC48"/>
      <c r="AD48"/>
    </row>
    <row r="49" spans="1:30" s="67" customFormat="1" ht="18" customHeight="1">
      <c r="A49" s="60"/>
      <c r="B49" s="109">
        <v>36</v>
      </c>
      <c r="C49" s="137"/>
      <c r="D49" s="271"/>
      <c r="E49" s="133"/>
      <c r="F49" s="283"/>
      <c r="G49" s="126"/>
      <c r="H49" s="22"/>
      <c r="I49" s="22"/>
      <c r="J49" s="62" t="str">
        <f t="shared" si="4"/>
        <v/>
      </c>
      <c r="K49" s="63"/>
      <c r="L49" s="63"/>
      <c r="M49" s="64" t="str">
        <f t="shared" si="5"/>
        <v/>
      </c>
      <c r="N49" s="22"/>
      <c r="O49" s="22"/>
      <c r="P49" s="62" t="str">
        <f t="shared" si="6"/>
        <v/>
      </c>
      <c r="Q49" s="63"/>
      <c r="R49" s="63"/>
      <c r="S49" s="64" t="str">
        <f t="shared" si="7"/>
        <v/>
      </c>
      <c r="T49" s="65"/>
      <c r="U49" s="66"/>
      <c r="V49" s="18" t="str">
        <f>IF($C49="","",VLOOKUP($C49,#REF!,4,FALSE))</f>
        <v/>
      </c>
      <c r="W49" s="69" t="str">
        <f>IF($E49="","",VLOOKUP($E49,#REF!,4,FALSE))</f>
        <v/>
      </c>
      <c r="Y49"/>
      <c r="Z49"/>
      <c r="AA49"/>
      <c r="AB49"/>
      <c r="AC49"/>
      <c r="AD49"/>
    </row>
    <row r="50" spans="1:30" s="67" customFormat="1" ht="18" customHeight="1">
      <c r="A50" s="60"/>
      <c r="B50" s="86">
        <v>37</v>
      </c>
      <c r="C50" s="137"/>
      <c r="D50" s="271"/>
      <c r="E50" s="140"/>
      <c r="F50" s="294"/>
      <c r="G50" s="141"/>
      <c r="H50" s="22"/>
      <c r="I50" s="22"/>
      <c r="J50" s="62" t="str">
        <f t="shared" si="4"/>
        <v/>
      </c>
      <c r="K50" s="63"/>
      <c r="L50" s="63"/>
      <c r="M50" s="64" t="str">
        <f t="shared" si="5"/>
        <v/>
      </c>
      <c r="N50" s="22"/>
      <c r="O50" s="22"/>
      <c r="P50" s="62" t="str">
        <f t="shared" si="6"/>
        <v/>
      </c>
      <c r="Q50" s="63"/>
      <c r="R50" s="63"/>
      <c r="S50" s="64" t="str">
        <f t="shared" si="7"/>
        <v/>
      </c>
      <c r="T50" s="65"/>
      <c r="U50" s="66"/>
      <c r="V50" s="18" t="str">
        <f>IF($C50="","",VLOOKUP($C50,#REF!,4,FALSE))</f>
        <v/>
      </c>
      <c r="W50" s="69" t="str">
        <f>IF($E50="","",VLOOKUP($E50,#REF!,4,FALSE))</f>
        <v/>
      </c>
      <c r="Y50"/>
      <c r="Z50"/>
      <c r="AA50"/>
      <c r="AB50"/>
      <c r="AC50"/>
      <c r="AD50"/>
    </row>
    <row r="51" spans="1:30" s="67" customFormat="1" ht="18" customHeight="1">
      <c r="A51" s="60"/>
      <c r="B51" s="109">
        <v>38</v>
      </c>
      <c r="C51" s="137"/>
      <c r="D51" s="271"/>
      <c r="E51" s="137"/>
      <c r="F51" s="279"/>
      <c r="G51" s="138"/>
      <c r="H51" s="22"/>
      <c r="I51" s="22"/>
      <c r="J51" s="62" t="str">
        <f t="shared" si="4"/>
        <v/>
      </c>
      <c r="K51" s="63"/>
      <c r="L51" s="63"/>
      <c r="M51" s="64" t="str">
        <f t="shared" si="5"/>
        <v/>
      </c>
      <c r="N51" s="22"/>
      <c r="O51" s="22"/>
      <c r="P51" s="62" t="str">
        <f t="shared" si="6"/>
        <v/>
      </c>
      <c r="Q51" s="63"/>
      <c r="R51" s="63"/>
      <c r="S51" s="64" t="str">
        <f t="shared" si="7"/>
        <v/>
      </c>
      <c r="T51" s="65"/>
      <c r="U51" s="66"/>
      <c r="V51" s="18" t="str">
        <f>IF($C51="","",VLOOKUP($C51,#REF!,4,FALSE))</f>
        <v/>
      </c>
      <c r="W51" s="69" t="str">
        <f>IF($E51="","",VLOOKUP($E51,#REF!,4,FALSE))</f>
        <v/>
      </c>
      <c r="Y51"/>
      <c r="Z51"/>
      <c r="AA51"/>
      <c r="AB51"/>
      <c r="AC51"/>
      <c r="AD51"/>
    </row>
    <row r="52" spans="1:30" s="67" customFormat="1" ht="18" customHeight="1">
      <c r="A52" s="60"/>
      <c r="B52" s="109">
        <v>39</v>
      </c>
      <c r="C52" s="137"/>
      <c r="D52" s="271"/>
      <c r="E52" s="134"/>
      <c r="F52" s="293"/>
      <c r="G52" s="142"/>
      <c r="H52" s="22"/>
      <c r="I52" s="22"/>
      <c r="J52" s="62" t="str">
        <f t="shared" si="4"/>
        <v/>
      </c>
      <c r="K52" s="63"/>
      <c r="L52" s="63"/>
      <c r="M52" s="64" t="str">
        <f t="shared" si="5"/>
        <v/>
      </c>
      <c r="N52" s="22"/>
      <c r="O52" s="22"/>
      <c r="P52" s="62" t="str">
        <f t="shared" si="6"/>
        <v/>
      </c>
      <c r="Q52" s="63"/>
      <c r="R52" s="63"/>
      <c r="S52" s="64" t="str">
        <f t="shared" si="7"/>
        <v/>
      </c>
      <c r="T52" s="65"/>
      <c r="U52" s="66"/>
      <c r="V52" s="18" t="str">
        <f>IF($C52="","",VLOOKUP($C52,#REF!,4,FALSE))</f>
        <v/>
      </c>
      <c r="W52" s="69" t="str">
        <f>IF($E52="","",VLOOKUP($E52,#REF!,4,FALSE))</f>
        <v/>
      </c>
      <c r="Y52"/>
      <c r="Z52"/>
      <c r="AA52"/>
      <c r="AB52"/>
      <c r="AC52"/>
      <c r="AD52"/>
    </row>
    <row r="53" spans="1:30" s="67" customFormat="1" ht="18" customHeight="1">
      <c r="A53" s="60"/>
      <c r="B53" s="86">
        <v>40</v>
      </c>
      <c r="C53" s="137"/>
      <c r="D53" s="271"/>
      <c r="E53" s="137"/>
      <c r="F53" s="279"/>
      <c r="G53" s="138"/>
      <c r="H53" s="22"/>
      <c r="I53" s="22"/>
      <c r="J53" s="62" t="str">
        <f t="shared" si="4"/>
        <v/>
      </c>
      <c r="K53" s="63"/>
      <c r="L53" s="63"/>
      <c r="M53" s="64" t="str">
        <f t="shared" si="5"/>
        <v/>
      </c>
      <c r="N53" s="22"/>
      <c r="O53" s="22"/>
      <c r="P53" s="62" t="str">
        <f t="shared" si="6"/>
        <v/>
      </c>
      <c r="Q53" s="63"/>
      <c r="R53" s="63"/>
      <c r="S53" s="64" t="str">
        <f t="shared" si="7"/>
        <v/>
      </c>
      <c r="T53" s="65"/>
      <c r="U53" s="66"/>
      <c r="V53" s="18" t="str">
        <f>IF($C53="","",VLOOKUP($C53,#REF!,4,FALSE))</f>
        <v/>
      </c>
      <c r="W53" s="69" t="str">
        <f>IF($E53="","",VLOOKUP($E53,#REF!,4,FALSE))</f>
        <v/>
      </c>
      <c r="Y53"/>
      <c r="Z53"/>
      <c r="AA53"/>
      <c r="AB53"/>
      <c r="AC53"/>
      <c r="AD53"/>
    </row>
    <row r="54" spans="1:30" s="67" customFormat="1" ht="18" customHeight="1">
      <c r="A54" s="60"/>
      <c r="B54" s="109">
        <v>41</v>
      </c>
      <c r="C54" s="137"/>
      <c r="D54" s="271"/>
      <c r="E54" s="137"/>
      <c r="F54" s="279"/>
      <c r="G54" s="138"/>
      <c r="H54" s="22"/>
      <c r="I54" s="22"/>
      <c r="J54" s="62" t="str">
        <f t="shared" si="4"/>
        <v/>
      </c>
      <c r="K54" s="63"/>
      <c r="L54" s="63"/>
      <c r="M54" s="64" t="str">
        <f t="shared" si="5"/>
        <v/>
      </c>
      <c r="N54" s="22"/>
      <c r="O54" s="22"/>
      <c r="P54" s="62" t="str">
        <f t="shared" si="6"/>
        <v/>
      </c>
      <c r="Q54" s="63"/>
      <c r="R54" s="63"/>
      <c r="S54" s="64" t="str">
        <f t="shared" si="7"/>
        <v/>
      </c>
      <c r="T54" s="65"/>
      <c r="U54" s="66"/>
      <c r="V54" s="18" t="str">
        <f>IF($C54="","",VLOOKUP($C54,#REF!,4,FALSE))</f>
        <v/>
      </c>
      <c r="W54" s="69" t="str">
        <f>IF($E54="","",VLOOKUP($E54,#REF!,4,FALSE))</f>
        <v/>
      </c>
      <c r="Y54"/>
      <c r="Z54"/>
      <c r="AA54"/>
      <c r="AB54"/>
      <c r="AC54"/>
      <c r="AD54"/>
    </row>
    <row r="55" spans="1:30" s="67" customFormat="1" ht="18" customHeight="1">
      <c r="A55" s="60"/>
      <c r="B55" s="109">
        <v>42</v>
      </c>
      <c r="C55" s="137"/>
      <c r="D55" s="138"/>
      <c r="E55" s="137"/>
      <c r="F55" s="279"/>
      <c r="G55" s="138"/>
      <c r="H55" s="22"/>
      <c r="I55" s="22"/>
      <c r="J55" s="62" t="str">
        <f t="shared" si="4"/>
        <v/>
      </c>
      <c r="K55" s="63"/>
      <c r="L55" s="63"/>
      <c r="M55" s="64" t="str">
        <f t="shared" si="5"/>
        <v/>
      </c>
      <c r="N55" s="22"/>
      <c r="O55" s="22"/>
      <c r="P55" s="62" t="str">
        <f t="shared" si="6"/>
        <v/>
      </c>
      <c r="Q55" s="63"/>
      <c r="R55" s="63"/>
      <c r="S55" s="64" t="str">
        <f t="shared" si="7"/>
        <v/>
      </c>
      <c r="T55" s="65"/>
      <c r="U55" s="66"/>
      <c r="V55" s="18" t="str">
        <f>IF($C55="","",VLOOKUP($C55,#REF!,4,FALSE))</f>
        <v/>
      </c>
      <c r="W55" s="69" t="str">
        <f>IF($E55="","",VLOOKUP($E55,#REF!,4,FALSE))</f>
        <v/>
      </c>
      <c r="Y55"/>
      <c r="Z55"/>
      <c r="AA55"/>
      <c r="AB55"/>
      <c r="AC55"/>
      <c r="AD55"/>
    </row>
    <row r="56" spans="1:30" s="67" customFormat="1" ht="18" customHeight="1">
      <c r="A56" s="60"/>
      <c r="B56" s="86">
        <v>43</v>
      </c>
      <c r="C56" s="137"/>
      <c r="D56" s="271"/>
      <c r="E56" s="137"/>
      <c r="F56" s="279"/>
      <c r="G56" s="138"/>
      <c r="H56" s="22"/>
      <c r="I56" s="22"/>
      <c r="J56" s="62" t="str">
        <f t="shared" si="4"/>
        <v/>
      </c>
      <c r="K56" s="63"/>
      <c r="L56" s="63"/>
      <c r="M56" s="64" t="str">
        <f t="shared" si="5"/>
        <v/>
      </c>
      <c r="N56" s="22"/>
      <c r="O56" s="22"/>
      <c r="P56" s="62" t="str">
        <f t="shared" si="6"/>
        <v/>
      </c>
      <c r="Q56" s="63"/>
      <c r="R56" s="63"/>
      <c r="S56" s="64" t="str">
        <f t="shared" si="7"/>
        <v/>
      </c>
      <c r="T56" s="65"/>
      <c r="U56" s="66"/>
      <c r="V56" s="18" t="str">
        <f>IF($C56="","",VLOOKUP($C56,#REF!,4,FALSE))</f>
        <v/>
      </c>
      <c r="W56" s="69" t="str">
        <f>IF($E56="","",VLOOKUP($E56,#REF!,4,FALSE))</f>
        <v/>
      </c>
      <c r="Y56"/>
      <c r="Z56"/>
      <c r="AA56"/>
      <c r="AB56"/>
      <c r="AC56"/>
      <c r="AD56"/>
    </row>
    <row r="57" spans="1:30" s="67" customFormat="1" ht="18" customHeight="1">
      <c r="A57" s="60"/>
      <c r="B57" s="109">
        <v>44</v>
      </c>
      <c r="C57" s="137"/>
      <c r="D57" s="271"/>
      <c r="E57" s="137"/>
      <c r="F57" s="279"/>
      <c r="G57" s="138"/>
      <c r="H57" s="22"/>
      <c r="I57" s="22"/>
      <c r="J57" s="62" t="str">
        <f t="shared" si="4"/>
        <v/>
      </c>
      <c r="K57" s="63"/>
      <c r="L57" s="63"/>
      <c r="M57" s="64" t="str">
        <f t="shared" si="5"/>
        <v/>
      </c>
      <c r="N57" s="22"/>
      <c r="O57" s="22"/>
      <c r="P57" s="62" t="str">
        <f t="shared" si="6"/>
        <v/>
      </c>
      <c r="Q57" s="63"/>
      <c r="R57" s="63"/>
      <c r="S57" s="64" t="str">
        <f t="shared" si="7"/>
        <v/>
      </c>
      <c r="T57" s="65"/>
      <c r="U57" s="66"/>
      <c r="V57" s="18" t="str">
        <f>IF($C57="","",VLOOKUP($C57,#REF!,4,FALSE))</f>
        <v/>
      </c>
      <c r="W57" s="69" t="str">
        <f>IF($E57="","",VLOOKUP($E57,#REF!,4,FALSE))</f>
        <v/>
      </c>
      <c r="Y57"/>
      <c r="Z57"/>
      <c r="AA57"/>
      <c r="AB57"/>
      <c r="AC57"/>
      <c r="AD57"/>
    </row>
    <row r="58" spans="1:30" s="67" customFormat="1" ht="18" customHeight="1">
      <c r="A58" s="60"/>
      <c r="B58" s="109">
        <v>45</v>
      </c>
      <c r="C58" s="137"/>
      <c r="D58" s="271"/>
      <c r="E58" s="137"/>
      <c r="F58" s="279"/>
      <c r="G58" s="138"/>
      <c r="H58" s="22"/>
      <c r="I58" s="22"/>
      <c r="J58" s="62" t="str">
        <f t="shared" si="4"/>
        <v/>
      </c>
      <c r="K58" s="63"/>
      <c r="L58" s="63"/>
      <c r="M58" s="64" t="str">
        <f t="shared" si="5"/>
        <v/>
      </c>
      <c r="N58" s="22"/>
      <c r="O58" s="22"/>
      <c r="P58" s="62" t="str">
        <f t="shared" si="6"/>
        <v/>
      </c>
      <c r="Q58" s="63"/>
      <c r="R58" s="63"/>
      <c r="S58" s="64" t="str">
        <f t="shared" si="7"/>
        <v/>
      </c>
      <c r="T58" s="65"/>
      <c r="U58" s="66"/>
      <c r="V58" s="18" t="str">
        <f>IF($C58="","",VLOOKUP($C58,#REF!,4,FALSE))</f>
        <v/>
      </c>
      <c r="W58" s="69" t="str">
        <f>IF($E58="","",VLOOKUP($E58,#REF!,4,FALSE))</f>
        <v/>
      </c>
      <c r="Y58"/>
      <c r="Z58"/>
      <c r="AA58"/>
      <c r="AB58"/>
      <c r="AC58"/>
      <c r="AD58"/>
    </row>
    <row r="59" spans="1:30" s="67" customFormat="1" ht="18" customHeight="1">
      <c r="A59" s="60"/>
      <c r="B59" s="86">
        <v>46</v>
      </c>
      <c r="C59" s="137"/>
      <c r="D59" s="271"/>
      <c r="E59" s="137"/>
      <c r="F59" s="279"/>
      <c r="G59" s="138"/>
      <c r="H59" s="22"/>
      <c r="I59" s="22"/>
      <c r="J59" s="62" t="str">
        <f t="shared" si="4"/>
        <v/>
      </c>
      <c r="K59" s="63"/>
      <c r="L59" s="63"/>
      <c r="M59" s="64" t="str">
        <f t="shared" si="5"/>
        <v/>
      </c>
      <c r="N59" s="22"/>
      <c r="O59" s="22"/>
      <c r="P59" s="62" t="str">
        <f t="shared" si="6"/>
        <v/>
      </c>
      <c r="Q59" s="63"/>
      <c r="R59" s="63"/>
      <c r="S59" s="64" t="str">
        <f t="shared" si="7"/>
        <v/>
      </c>
      <c r="T59" s="65"/>
      <c r="U59" s="66"/>
      <c r="V59" s="18" t="str">
        <f>IF($C59="","",VLOOKUP($C59,#REF!,4,FALSE))</f>
        <v/>
      </c>
      <c r="W59" s="69" t="str">
        <f>IF($E59="","",VLOOKUP($E59,#REF!,4,FALSE))</f>
        <v/>
      </c>
      <c r="Y59"/>
      <c r="Z59"/>
      <c r="AA59"/>
      <c r="AB59"/>
      <c r="AC59"/>
      <c r="AD59"/>
    </row>
    <row r="60" spans="1:30" s="67" customFormat="1" ht="18" customHeight="1">
      <c r="A60" s="60"/>
      <c r="B60" s="109">
        <v>47</v>
      </c>
      <c r="C60" s="137"/>
      <c r="D60" s="271"/>
      <c r="E60" s="137"/>
      <c r="F60" s="279"/>
      <c r="G60" s="138"/>
      <c r="H60" s="22"/>
      <c r="I60" s="22"/>
      <c r="J60" s="62" t="str">
        <f t="shared" si="4"/>
        <v/>
      </c>
      <c r="K60" s="63"/>
      <c r="L60" s="63"/>
      <c r="M60" s="64" t="str">
        <f t="shared" si="5"/>
        <v/>
      </c>
      <c r="N60" s="22"/>
      <c r="O60" s="22"/>
      <c r="P60" s="62" t="str">
        <f t="shared" si="6"/>
        <v/>
      </c>
      <c r="Q60" s="63"/>
      <c r="R60" s="63"/>
      <c r="S60" s="64" t="str">
        <f t="shared" si="7"/>
        <v/>
      </c>
      <c r="T60" s="65"/>
      <c r="U60" s="66"/>
      <c r="V60" s="18" t="str">
        <f>IF($C60="","",VLOOKUP($C60,#REF!,4,FALSE))</f>
        <v/>
      </c>
      <c r="W60" s="69" t="str">
        <f>IF($E60="","",VLOOKUP($E60,#REF!,4,FALSE))</f>
        <v/>
      </c>
      <c r="Y60"/>
      <c r="Z60"/>
      <c r="AA60"/>
      <c r="AB60"/>
      <c r="AC60"/>
      <c r="AD60"/>
    </row>
    <row r="61" spans="1:30" s="67" customFormat="1" ht="18" customHeight="1">
      <c r="A61" s="60"/>
      <c r="B61" s="109">
        <v>48</v>
      </c>
      <c r="C61" s="21"/>
      <c r="D61" s="275" t="s">
        <v>76</v>
      </c>
      <c r="E61" s="21"/>
      <c r="F61" s="282" t="s">
        <v>76</v>
      </c>
      <c r="G61" s="23"/>
      <c r="H61" s="22"/>
      <c r="I61" s="22"/>
      <c r="J61" s="62" t="str">
        <f t="shared" si="4"/>
        <v/>
      </c>
      <c r="K61" s="63"/>
      <c r="L61" s="63"/>
      <c r="M61" s="64" t="str">
        <f t="shared" si="5"/>
        <v/>
      </c>
      <c r="N61" s="22"/>
      <c r="O61" s="22"/>
      <c r="P61" s="62" t="str">
        <f t="shared" si="6"/>
        <v/>
      </c>
      <c r="Q61" s="63"/>
      <c r="R61" s="63"/>
      <c r="S61" s="64" t="str">
        <f t="shared" si="7"/>
        <v/>
      </c>
      <c r="T61" s="65"/>
      <c r="U61" s="66"/>
      <c r="V61" s="18" t="str">
        <f>IF($C61="","",VLOOKUP($C61,#REF!,4,FALSE))</f>
        <v/>
      </c>
      <c r="W61" s="69" t="str">
        <f>IF($E61="","",VLOOKUP($E61,#REF!,4,FALSE))</f>
        <v/>
      </c>
      <c r="Y61"/>
      <c r="Z61"/>
      <c r="AA61"/>
      <c r="AB61"/>
      <c r="AC61"/>
      <c r="AD61"/>
    </row>
    <row r="62" spans="1:30" s="67" customFormat="1" ht="18" customHeight="1">
      <c r="A62" s="60"/>
      <c r="B62" s="86">
        <v>49</v>
      </c>
      <c r="C62" s="21"/>
      <c r="D62" s="275" t="s">
        <v>76</v>
      </c>
      <c r="E62" s="21"/>
      <c r="F62" s="282" t="s">
        <v>76</v>
      </c>
      <c r="G62" s="23"/>
      <c r="H62" s="22"/>
      <c r="I62" s="22"/>
      <c r="J62" s="62" t="str">
        <f t="shared" si="4"/>
        <v/>
      </c>
      <c r="K62" s="63"/>
      <c r="L62" s="63"/>
      <c r="M62" s="64" t="str">
        <f t="shared" si="5"/>
        <v/>
      </c>
      <c r="N62" s="22"/>
      <c r="O62" s="22"/>
      <c r="P62" s="62" t="str">
        <f t="shared" si="6"/>
        <v/>
      </c>
      <c r="Q62" s="63"/>
      <c r="R62" s="63"/>
      <c r="S62" s="64" t="str">
        <f t="shared" si="7"/>
        <v/>
      </c>
      <c r="T62" s="65"/>
      <c r="U62" s="66"/>
      <c r="V62" s="18" t="str">
        <f>IF($C62="","",VLOOKUP($C62,#REF!,4,FALSE))</f>
        <v/>
      </c>
      <c r="W62" s="69" t="str">
        <f>IF($E62="","",VLOOKUP($E62,#REF!,4,FALSE))</f>
        <v/>
      </c>
      <c r="Y62"/>
      <c r="Z62"/>
      <c r="AA62"/>
      <c r="AB62"/>
      <c r="AC62"/>
      <c r="AD62"/>
    </row>
    <row r="63" spans="1:30" s="67" customFormat="1" ht="18" customHeight="1">
      <c r="A63" s="60"/>
      <c r="B63" s="109">
        <v>50</v>
      </c>
      <c r="C63" s="21"/>
      <c r="D63" s="275" t="s">
        <v>76</v>
      </c>
      <c r="E63" s="21"/>
      <c r="F63" s="282" t="s">
        <v>76</v>
      </c>
      <c r="G63" s="23"/>
      <c r="H63" s="22"/>
      <c r="I63" s="22"/>
      <c r="J63" s="62" t="str">
        <f t="shared" si="4"/>
        <v/>
      </c>
      <c r="K63" s="63"/>
      <c r="L63" s="63"/>
      <c r="M63" s="64" t="str">
        <f t="shared" si="5"/>
        <v/>
      </c>
      <c r="N63" s="22"/>
      <c r="O63" s="22"/>
      <c r="P63" s="62" t="str">
        <f t="shared" si="6"/>
        <v/>
      </c>
      <c r="Q63" s="63"/>
      <c r="R63" s="63"/>
      <c r="S63" s="64" t="str">
        <f t="shared" si="7"/>
        <v/>
      </c>
      <c r="T63" s="65"/>
      <c r="U63" s="66"/>
      <c r="V63" s="18" t="str">
        <f>IF($C63="","",VLOOKUP($C63,#REF!,4,FALSE))</f>
        <v/>
      </c>
      <c r="W63" s="69" t="str">
        <f>IF($E63="","",VLOOKUP($E63,#REF!,4,FALSE))</f>
        <v/>
      </c>
      <c r="Y63"/>
      <c r="Z63"/>
      <c r="AA63"/>
      <c r="AB63"/>
      <c r="AC63"/>
      <c r="AD63"/>
    </row>
    <row r="64" spans="1:30" s="67" customFormat="1" ht="18" customHeight="1">
      <c r="A64" s="60"/>
      <c r="B64" s="109">
        <v>51</v>
      </c>
      <c r="C64" s="21"/>
      <c r="D64" s="275" t="s">
        <v>76</v>
      </c>
      <c r="E64" s="21"/>
      <c r="F64" s="282" t="s">
        <v>76</v>
      </c>
      <c r="G64" s="23"/>
      <c r="H64" s="22"/>
      <c r="I64" s="22"/>
      <c r="J64" s="62" t="str">
        <f t="shared" si="4"/>
        <v/>
      </c>
      <c r="K64" s="63"/>
      <c r="L64" s="63"/>
      <c r="M64" s="64" t="str">
        <f t="shared" si="5"/>
        <v/>
      </c>
      <c r="N64" s="22"/>
      <c r="O64" s="22"/>
      <c r="P64" s="62" t="str">
        <f t="shared" si="6"/>
        <v/>
      </c>
      <c r="Q64" s="63"/>
      <c r="R64" s="63"/>
      <c r="S64" s="64" t="str">
        <f t="shared" si="7"/>
        <v/>
      </c>
      <c r="T64" s="65"/>
      <c r="U64" s="66"/>
      <c r="V64" s="18" t="str">
        <f>IF($C64="","",VLOOKUP($C64,#REF!,4,FALSE))</f>
        <v/>
      </c>
      <c r="W64" s="69" t="str">
        <f>IF($E64="","",VLOOKUP($E64,#REF!,4,FALSE))</f>
        <v/>
      </c>
      <c r="Y64"/>
      <c r="Z64"/>
      <c r="AA64"/>
      <c r="AB64"/>
      <c r="AC64"/>
      <c r="AD64"/>
    </row>
    <row r="65" spans="1:30" s="67" customFormat="1" ht="18" customHeight="1">
      <c r="A65" s="60"/>
      <c r="B65" s="86">
        <v>52</v>
      </c>
      <c r="C65" s="21"/>
      <c r="D65" s="275" t="s">
        <v>76</v>
      </c>
      <c r="E65" s="21"/>
      <c r="F65" s="282" t="s">
        <v>76</v>
      </c>
      <c r="G65" s="23"/>
      <c r="H65" s="22"/>
      <c r="I65" s="22"/>
      <c r="J65" s="62" t="str">
        <f t="shared" si="4"/>
        <v/>
      </c>
      <c r="K65" s="63"/>
      <c r="L65" s="63"/>
      <c r="M65" s="64" t="str">
        <f t="shared" si="5"/>
        <v/>
      </c>
      <c r="N65" s="22"/>
      <c r="O65" s="22"/>
      <c r="P65" s="62" t="str">
        <f t="shared" si="6"/>
        <v/>
      </c>
      <c r="Q65" s="63"/>
      <c r="R65" s="63"/>
      <c r="S65" s="64" t="str">
        <f t="shared" si="7"/>
        <v/>
      </c>
      <c r="T65" s="65"/>
      <c r="U65" s="66"/>
      <c r="V65" s="18" t="str">
        <f>IF($C65="","",VLOOKUP($C65,#REF!,4,FALSE))</f>
        <v/>
      </c>
      <c r="W65" s="69" t="str">
        <f>IF($E65="","",VLOOKUP($E65,#REF!,4,FALSE))</f>
        <v/>
      </c>
      <c r="Y65"/>
      <c r="Z65"/>
      <c r="AA65"/>
      <c r="AB65"/>
      <c r="AC65"/>
      <c r="AD65"/>
    </row>
    <row r="66" spans="1:30" s="67" customFormat="1" ht="18" customHeight="1">
      <c r="A66" s="60"/>
      <c r="B66" s="109">
        <v>53</v>
      </c>
      <c r="C66" s="21"/>
      <c r="D66" s="275" t="s">
        <v>76</v>
      </c>
      <c r="E66" s="21"/>
      <c r="F66" s="282" t="s">
        <v>76</v>
      </c>
      <c r="G66" s="23"/>
      <c r="H66" s="22"/>
      <c r="I66" s="22"/>
      <c r="J66" s="62" t="str">
        <f t="shared" si="4"/>
        <v/>
      </c>
      <c r="K66" s="63"/>
      <c r="L66" s="63"/>
      <c r="M66" s="64" t="str">
        <f t="shared" si="5"/>
        <v/>
      </c>
      <c r="N66" s="22"/>
      <c r="O66" s="22"/>
      <c r="P66" s="62" t="str">
        <f t="shared" si="6"/>
        <v/>
      </c>
      <c r="Q66" s="63"/>
      <c r="R66" s="63"/>
      <c r="S66" s="64" t="str">
        <f t="shared" si="7"/>
        <v/>
      </c>
      <c r="T66" s="65"/>
      <c r="U66" s="66"/>
      <c r="V66" s="18" t="str">
        <f>IF($C66="","",VLOOKUP($C66,#REF!,4,FALSE))</f>
        <v/>
      </c>
      <c r="W66" s="69" t="str">
        <f>IF($E66="","",VLOOKUP($E66,#REF!,4,FALSE))</f>
        <v/>
      </c>
      <c r="Y66"/>
      <c r="Z66"/>
      <c r="AA66"/>
      <c r="AB66"/>
      <c r="AC66"/>
      <c r="AD66"/>
    </row>
    <row r="67" spans="1:30" s="67" customFormat="1" ht="18" customHeight="1">
      <c r="A67" s="60"/>
      <c r="B67" s="109">
        <v>54</v>
      </c>
      <c r="C67" s="21"/>
      <c r="D67" s="275" t="s">
        <v>76</v>
      </c>
      <c r="E67" s="21"/>
      <c r="F67" s="282" t="s">
        <v>76</v>
      </c>
      <c r="G67" s="23"/>
      <c r="H67" s="22"/>
      <c r="I67" s="22"/>
      <c r="J67" s="62" t="str">
        <f t="shared" si="4"/>
        <v/>
      </c>
      <c r="K67" s="63"/>
      <c r="L67" s="63"/>
      <c r="M67" s="64" t="str">
        <f t="shared" si="5"/>
        <v/>
      </c>
      <c r="N67" s="22"/>
      <c r="O67" s="22"/>
      <c r="P67" s="62" t="str">
        <f t="shared" si="6"/>
        <v/>
      </c>
      <c r="Q67" s="63"/>
      <c r="R67" s="63"/>
      <c r="S67" s="64" t="str">
        <f t="shared" si="7"/>
        <v/>
      </c>
      <c r="T67" s="65"/>
      <c r="U67" s="66"/>
      <c r="V67" s="18" t="str">
        <f>IF($C67="","",VLOOKUP($C67,#REF!,4,FALSE))</f>
        <v/>
      </c>
      <c r="W67" s="69" t="str">
        <f>IF($E67="","",VLOOKUP($E67,#REF!,4,FALSE))</f>
        <v/>
      </c>
      <c r="Y67"/>
      <c r="Z67"/>
      <c r="AA67"/>
      <c r="AB67"/>
      <c r="AC67"/>
      <c r="AD67"/>
    </row>
    <row r="68" spans="1:30" s="67" customFormat="1" ht="18" customHeight="1">
      <c r="A68" s="60"/>
      <c r="B68" s="86">
        <v>55</v>
      </c>
      <c r="C68" s="21"/>
      <c r="D68" s="275" t="s">
        <v>76</v>
      </c>
      <c r="E68" s="21"/>
      <c r="F68" s="282" t="s">
        <v>76</v>
      </c>
      <c r="G68" s="23"/>
      <c r="H68" s="22"/>
      <c r="I68" s="22"/>
      <c r="J68" s="62" t="str">
        <f t="shared" si="4"/>
        <v/>
      </c>
      <c r="K68" s="63"/>
      <c r="L68" s="63"/>
      <c r="M68" s="64" t="str">
        <f t="shared" si="5"/>
        <v/>
      </c>
      <c r="N68" s="22"/>
      <c r="O68" s="22"/>
      <c r="P68" s="62" t="str">
        <f t="shared" si="6"/>
        <v/>
      </c>
      <c r="Q68" s="63"/>
      <c r="R68" s="63"/>
      <c r="S68" s="64" t="str">
        <f t="shared" si="7"/>
        <v/>
      </c>
      <c r="T68" s="65"/>
      <c r="U68" s="66"/>
      <c r="V68" s="18" t="str">
        <f>IF($C68="","",VLOOKUP($C68,#REF!,4,FALSE))</f>
        <v/>
      </c>
      <c r="W68" s="69" t="str">
        <f>IF($E68="","",VLOOKUP($E68,#REF!,4,FALSE))</f>
        <v/>
      </c>
      <c r="Y68"/>
      <c r="Z68"/>
      <c r="AA68"/>
      <c r="AB68"/>
      <c r="AC68"/>
      <c r="AD68"/>
    </row>
    <row r="69" spans="1:30" s="67" customFormat="1" ht="18" customHeight="1">
      <c r="A69" s="60"/>
      <c r="B69" s="109">
        <v>56</v>
      </c>
      <c r="C69" s="21"/>
      <c r="D69" s="275" t="s">
        <v>76</v>
      </c>
      <c r="E69" s="21"/>
      <c r="F69" s="282" t="s">
        <v>76</v>
      </c>
      <c r="G69" s="23"/>
      <c r="H69" s="22"/>
      <c r="I69" s="22"/>
      <c r="J69" s="62" t="str">
        <f t="shared" si="4"/>
        <v/>
      </c>
      <c r="K69" s="63"/>
      <c r="L69" s="63"/>
      <c r="M69" s="64" t="str">
        <f t="shared" si="5"/>
        <v/>
      </c>
      <c r="N69" s="22"/>
      <c r="O69" s="22"/>
      <c r="P69" s="62" t="str">
        <f t="shared" si="6"/>
        <v/>
      </c>
      <c r="Q69" s="63"/>
      <c r="R69" s="63"/>
      <c r="S69" s="64" t="str">
        <f t="shared" si="7"/>
        <v/>
      </c>
      <c r="T69" s="65"/>
      <c r="U69" s="66"/>
      <c r="V69" s="18" t="str">
        <f>IF($C69="","",VLOOKUP($C69,#REF!,4,FALSE))</f>
        <v/>
      </c>
      <c r="W69" s="69" t="str">
        <f>IF($E69="","",VLOOKUP($E69,#REF!,4,FALSE))</f>
        <v/>
      </c>
      <c r="Y69"/>
      <c r="Z69"/>
      <c r="AA69"/>
      <c r="AB69"/>
      <c r="AC69"/>
      <c r="AD69"/>
    </row>
    <row r="70" spans="1:30" s="67" customFormat="1" ht="18" customHeight="1">
      <c r="A70" s="60"/>
      <c r="B70" s="109">
        <v>57</v>
      </c>
      <c r="C70" s="21"/>
      <c r="D70" s="275" t="s">
        <v>76</v>
      </c>
      <c r="E70" s="21"/>
      <c r="F70" s="282" t="s">
        <v>76</v>
      </c>
      <c r="G70" s="23"/>
      <c r="H70" s="22"/>
      <c r="I70" s="22"/>
      <c r="J70" s="62" t="str">
        <f t="shared" si="4"/>
        <v/>
      </c>
      <c r="K70" s="63"/>
      <c r="L70" s="63"/>
      <c r="M70" s="64" t="str">
        <f t="shared" si="5"/>
        <v/>
      </c>
      <c r="N70" s="22"/>
      <c r="O70" s="22"/>
      <c r="P70" s="62" t="str">
        <f t="shared" si="6"/>
        <v/>
      </c>
      <c r="Q70" s="63"/>
      <c r="R70" s="63"/>
      <c r="S70" s="64" t="str">
        <f t="shared" si="7"/>
        <v/>
      </c>
      <c r="T70" s="65"/>
      <c r="U70" s="66"/>
      <c r="V70" s="18" t="str">
        <f>IF($C70="","",VLOOKUP($C70,#REF!,4,FALSE))</f>
        <v/>
      </c>
      <c r="W70" s="69" t="str">
        <f>IF($E70="","",VLOOKUP($E70,#REF!,4,FALSE))</f>
        <v/>
      </c>
      <c r="Y70"/>
      <c r="Z70"/>
      <c r="AA70"/>
      <c r="AB70"/>
      <c r="AC70"/>
      <c r="AD70"/>
    </row>
    <row r="71" spans="1:30" s="67" customFormat="1" ht="18" customHeight="1">
      <c r="A71" s="60"/>
      <c r="B71" s="86">
        <v>58</v>
      </c>
      <c r="C71" s="21"/>
      <c r="D71" s="275" t="s">
        <v>76</v>
      </c>
      <c r="E71" s="21"/>
      <c r="F71" s="282" t="s">
        <v>76</v>
      </c>
      <c r="G71" s="23"/>
      <c r="H71" s="22"/>
      <c r="I71" s="22"/>
      <c r="J71" s="62" t="str">
        <f t="shared" si="4"/>
        <v/>
      </c>
      <c r="K71" s="63"/>
      <c r="L71" s="63"/>
      <c r="M71" s="64" t="str">
        <f t="shared" si="5"/>
        <v/>
      </c>
      <c r="N71" s="22"/>
      <c r="O71" s="22"/>
      <c r="P71" s="62" t="str">
        <f t="shared" si="6"/>
        <v/>
      </c>
      <c r="Q71" s="63"/>
      <c r="R71" s="63"/>
      <c r="S71" s="64" t="str">
        <f t="shared" si="7"/>
        <v/>
      </c>
      <c r="T71" s="65"/>
      <c r="U71" s="66"/>
      <c r="V71" s="18" t="str">
        <f>IF($C71="","",VLOOKUP($C71,#REF!,4,FALSE))</f>
        <v/>
      </c>
      <c r="W71" s="69" t="str">
        <f>IF($E71="","",VLOOKUP($E71,#REF!,4,FALSE))</f>
        <v/>
      </c>
      <c r="Y71"/>
      <c r="Z71"/>
      <c r="AA71"/>
      <c r="AB71"/>
      <c r="AC71"/>
      <c r="AD71"/>
    </row>
    <row r="72" spans="1:30" s="67" customFormat="1" ht="18" customHeight="1">
      <c r="A72" s="60"/>
      <c r="B72" s="109">
        <v>59</v>
      </c>
      <c r="C72" s="21"/>
      <c r="D72" s="275" t="s">
        <v>76</v>
      </c>
      <c r="E72" s="21"/>
      <c r="F72" s="282" t="s">
        <v>76</v>
      </c>
      <c r="G72" s="23"/>
      <c r="H72" s="22"/>
      <c r="I72" s="22"/>
      <c r="J72" s="62" t="str">
        <f t="shared" si="4"/>
        <v/>
      </c>
      <c r="K72" s="63"/>
      <c r="L72" s="63"/>
      <c r="M72" s="64" t="str">
        <f t="shared" si="5"/>
        <v/>
      </c>
      <c r="N72" s="22"/>
      <c r="O72" s="22"/>
      <c r="P72" s="62" t="str">
        <f t="shared" si="6"/>
        <v/>
      </c>
      <c r="Q72" s="63"/>
      <c r="R72" s="63"/>
      <c r="S72" s="64" t="str">
        <f t="shared" si="7"/>
        <v/>
      </c>
      <c r="T72" s="65"/>
      <c r="U72" s="66"/>
      <c r="V72" s="18" t="str">
        <f>IF($C72="","",VLOOKUP($C72,#REF!,4,FALSE))</f>
        <v/>
      </c>
      <c r="W72" s="69" t="str">
        <f>IF($E72="","",VLOOKUP($E72,#REF!,4,FALSE))</f>
        <v/>
      </c>
      <c r="Y72"/>
      <c r="Z72"/>
      <c r="AA72"/>
      <c r="AB72"/>
      <c r="AC72"/>
      <c r="AD72"/>
    </row>
    <row r="73" spans="1:30" s="67" customFormat="1" ht="18" customHeight="1">
      <c r="A73" s="60"/>
      <c r="B73" s="109">
        <v>60</v>
      </c>
      <c r="C73" s="21"/>
      <c r="D73" s="275" t="s">
        <v>76</v>
      </c>
      <c r="E73" s="21"/>
      <c r="F73" s="282" t="s">
        <v>76</v>
      </c>
      <c r="G73" s="23"/>
      <c r="H73" s="22"/>
      <c r="I73" s="22"/>
      <c r="J73" s="62" t="str">
        <f t="shared" si="4"/>
        <v/>
      </c>
      <c r="K73" s="63"/>
      <c r="L73" s="63"/>
      <c r="M73" s="64" t="str">
        <f t="shared" si="5"/>
        <v/>
      </c>
      <c r="N73" s="22"/>
      <c r="O73" s="22"/>
      <c r="P73" s="62" t="str">
        <f t="shared" si="6"/>
        <v/>
      </c>
      <c r="Q73" s="63"/>
      <c r="R73" s="63"/>
      <c r="S73" s="64" t="str">
        <f t="shared" si="7"/>
        <v/>
      </c>
      <c r="T73" s="65"/>
      <c r="U73" s="66"/>
      <c r="V73" s="18" t="str">
        <f>IF($C73="","",VLOOKUP($C73,#REF!,4,FALSE))</f>
        <v/>
      </c>
      <c r="W73" s="69" t="str">
        <f>IF($E73="","",VLOOKUP($E73,#REF!,4,FALSE))</f>
        <v/>
      </c>
      <c r="Y73"/>
      <c r="Z73"/>
      <c r="AA73"/>
      <c r="AB73"/>
      <c r="AC73"/>
      <c r="AD73"/>
    </row>
    <row r="126" spans="5:5" ht="18" customHeight="1">
      <c r="E126" s="20" ph="1"/>
    </row>
    <row r="137" spans="5:5" ht="18" customHeight="1">
      <c r="E137" s="20" ph="1"/>
    </row>
    <row r="153" spans="5:5" ht="18" customHeight="1">
      <c r="E153" s="20" ph="1"/>
    </row>
    <row r="154" spans="5:5" ht="18" customHeight="1">
      <c r="E154" s="20" ph="1"/>
    </row>
    <row r="173" spans="5:5" ht="18" customHeight="1">
      <c r="E173" s="20" ph="1"/>
    </row>
    <row r="181" spans="5:5" ht="18" customHeight="1">
      <c r="E181" s="20" ph="1"/>
    </row>
    <row r="182" spans="5:5" ht="18" customHeight="1">
      <c r="E182" s="20" ph="1"/>
    </row>
    <row r="196" spans="5:5" ht="18" customHeight="1">
      <c r="E196" s="20" ph="1"/>
    </row>
    <row r="198" spans="5:5" ht="18" customHeight="1">
      <c r="E198" s="20" ph="1"/>
    </row>
    <row r="199" spans="5:5" ht="18" customHeight="1">
      <c r="E199" s="20" ph="1"/>
    </row>
    <row r="200" spans="5:5" ht="18" customHeight="1">
      <c r="E200" s="20" ph="1"/>
    </row>
    <row r="201" spans="5:5" ht="18" customHeight="1">
      <c r="E201" s="20" ph="1"/>
    </row>
  </sheetData>
  <autoFilter ref="A13:T13" xr:uid="{00000000-0001-0000-0C00-000000000000}">
    <sortState xmlns:xlrd2="http://schemas.microsoft.com/office/spreadsheetml/2017/richdata2" ref="A14:T73">
      <sortCondition ref="B13"/>
    </sortState>
  </autoFilter>
  <sortState xmlns:xlrd2="http://schemas.microsoft.com/office/spreadsheetml/2017/richdata2" ref="A18:AD27">
    <sortCondition ref="B18:B27"/>
  </sortState>
  <phoneticPr fontId="10"/>
  <conditionalFormatting sqref="V14:V73">
    <cfRule type="cellIs" dxfId="37" priority="8" stopIfTrue="1" operator="notBetween">
      <formula>"A"</formula>
      <formula>"Ｂ"</formula>
    </cfRule>
  </conditionalFormatting>
  <conditionalFormatting sqref="W14:W73">
    <cfRule type="cellIs" dxfId="36" priority="7" stopIfTrue="1" operator="between">
      <formula>"-"</formula>
      <formula>"申請中"</formula>
    </cfRule>
  </conditionalFormatting>
  <conditionalFormatting sqref="Y32:Z73">
    <cfRule type="expression" dxfId="35" priority="2">
      <formula>Y32&lt;&gt;C32</formula>
    </cfRule>
  </conditionalFormatting>
  <conditionalFormatting sqref="AB32:AC73">
    <cfRule type="expression" dxfId="34" priority="1">
      <formula>AB32&lt;&gt;E32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GetJEFInfo">
                <anchor moveWithCells="1" sizeWithCells="1">
                  <from>
                    <xdr:col>24</xdr:col>
                    <xdr:colOff>381000</xdr:colOff>
                    <xdr:row>8</xdr:row>
                    <xdr:rowOff>22860</xdr:rowOff>
                  </from>
                  <to>
                    <xdr:col>26</xdr:col>
                    <xdr:colOff>601980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0">
    <tabColor rgb="FFFFC000"/>
  </sheetPr>
  <dimension ref="A1:AI202"/>
  <sheetViews>
    <sheetView topLeftCell="A18" zoomScaleNormal="100" zoomScaleSheetLayoutView="130" workbookViewId="0">
      <selection activeCell="A14" sqref="A14:G40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24" width="9.6640625" style="20"/>
    <col min="31" max="16384" width="9.6640625" style="20"/>
  </cols>
  <sheetData>
    <row r="1" spans="1:35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Y1"/>
      <c r="Z1"/>
      <c r="AA1"/>
      <c r="AB1"/>
      <c r="AC1"/>
      <c r="AD1"/>
    </row>
    <row r="2" spans="1:35" s="25" customFormat="1" ht="18" customHeight="1">
      <c r="B2" s="26" t="s">
        <v>1</v>
      </c>
      <c r="C2" s="27"/>
      <c r="E2" s="26" t="s">
        <v>2</v>
      </c>
      <c r="F2" s="30"/>
      <c r="G2" s="175">
        <v>46277</v>
      </c>
      <c r="L2" s="28"/>
      <c r="N2" s="26" t="s">
        <v>3</v>
      </c>
      <c r="O2" s="29"/>
      <c r="P2" s="30"/>
      <c r="Q2" s="30"/>
      <c r="R2" s="30"/>
      <c r="S2" s="30"/>
      <c r="T2" s="30"/>
      <c r="Y2"/>
      <c r="Z2"/>
      <c r="AA2"/>
      <c r="AB2"/>
      <c r="AC2"/>
      <c r="AD2"/>
    </row>
    <row r="3" spans="1:35" s="25" customFormat="1" ht="18" customHeight="1">
      <c r="A3" s="31"/>
      <c r="B3" s="26" t="s">
        <v>4</v>
      </c>
      <c r="C3" s="71" t="s">
        <v>481</v>
      </c>
      <c r="D3" s="139"/>
      <c r="E3" s="139"/>
      <c r="F3" s="139"/>
      <c r="G3" s="139"/>
      <c r="Q3" s="26" t="s">
        <v>5</v>
      </c>
      <c r="R3" s="29"/>
      <c r="S3" s="30"/>
      <c r="T3" s="30"/>
      <c r="U3" s="32"/>
      <c r="Y3"/>
      <c r="Z3"/>
      <c r="AA3"/>
      <c r="AB3"/>
      <c r="AC3"/>
      <c r="AD3"/>
    </row>
    <row r="4" spans="1:35" s="25" customFormat="1" ht="18" customHeight="1">
      <c r="B4" s="26" t="s">
        <v>6</v>
      </c>
      <c r="C4" s="33">
        <v>13</v>
      </c>
      <c r="D4" s="25" t="s">
        <v>7</v>
      </c>
      <c r="E4" s="26" t="s">
        <v>8</v>
      </c>
      <c r="F4" s="276" t="s">
        <v>82</v>
      </c>
      <c r="G4" s="30"/>
      <c r="H4" s="72"/>
      <c r="J4" s="26" t="s">
        <v>9</v>
      </c>
      <c r="K4" s="34" t="s">
        <v>59</v>
      </c>
      <c r="N4" s="26" t="s">
        <v>10</v>
      </c>
      <c r="O4" s="35"/>
      <c r="Y4"/>
      <c r="Z4"/>
      <c r="AA4"/>
      <c r="AB4"/>
      <c r="AC4"/>
      <c r="AD4"/>
    </row>
    <row r="5" spans="1:35" s="25" customFormat="1" ht="18" customHeight="1">
      <c r="C5" s="26" t="s">
        <v>11</v>
      </c>
      <c r="D5" s="27" t="s">
        <v>59</v>
      </c>
      <c r="E5" s="26" t="s">
        <v>12</v>
      </c>
      <c r="F5" s="36" t="s">
        <v>59</v>
      </c>
      <c r="G5" s="26" t="s">
        <v>13</v>
      </c>
      <c r="H5" s="70"/>
      <c r="I5" s="36"/>
      <c r="J5" s="37" t="s">
        <v>14</v>
      </c>
      <c r="K5" s="38"/>
      <c r="L5" s="26" t="s">
        <v>15</v>
      </c>
      <c r="M5" s="39"/>
      <c r="O5" s="26" t="s">
        <v>16</v>
      </c>
      <c r="P5" s="39"/>
      <c r="R5" s="26" t="s">
        <v>17</v>
      </c>
      <c r="S5" s="39"/>
      <c r="Y5"/>
      <c r="Z5"/>
      <c r="AA5"/>
      <c r="AB5"/>
      <c r="AC5"/>
      <c r="AD5"/>
    </row>
    <row r="6" spans="1:35" s="25" customFormat="1" ht="35.1" customHeight="1">
      <c r="C6" s="40" t="s">
        <v>18</v>
      </c>
      <c r="D6" s="269" t="s">
        <v>40</v>
      </c>
      <c r="E6" s="26" t="s">
        <v>19</v>
      </c>
      <c r="F6" s="277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  <c r="Y6"/>
      <c r="Z6"/>
      <c r="AA6"/>
      <c r="AB6"/>
      <c r="AC6"/>
      <c r="AD6"/>
    </row>
    <row r="7" spans="1:35" s="25" customFormat="1" ht="15" customHeight="1">
      <c r="A7" s="26" t="s">
        <v>69</v>
      </c>
      <c r="B7" s="74" t="s">
        <v>0</v>
      </c>
      <c r="C7" s="77"/>
      <c r="D7" s="26" t="s">
        <v>70</v>
      </c>
      <c r="E7" s="75"/>
      <c r="F7" s="32"/>
      <c r="I7" s="26"/>
      <c r="J7" s="37"/>
      <c r="K7" s="32"/>
      <c r="L7" s="26"/>
      <c r="M7" s="32"/>
      <c r="N7" s="26"/>
      <c r="O7" s="42"/>
      <c r="Q7" s="26"/>
      <c r="R7" s="43"/>
      <c r="Y7"/>
      <c r="Z7"/>
      <c r="AA7"/>
      <c r="AB7"/>
      <c r="AC7"/>
      <c r="AD7"/>
    </row>
    <row r="8" spans="1:35" s="25" customFormat="1" ht="15" customHeight="1">
      <c r="A8" s="26" t="s">
        <v>71</v>
      </c>
      <c r="B8" s="74" t="s">
        <v>0</v>
      </c>
      <c r="C8" s="73"/>
      <c r="D8" s="26" t="s">
        <v>70</v>
      </c>
      <c r="E8" s="76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  <c r="Y8"/>
      <c r="Z8"/>
      <c r="AA8"/>
      <c r="AB8"/>
      <c r="AC8"/>
      <c r="AD8"/>
    </row>
    <row r="9" spans="1:35" s="25" customFormat="1" ht="15" customHeight="1">
      <c r="A9" s="26" t="s">
        <v>72</v>
      </c>
      <c r="B9" s="74" t="s">
        <v>0</v>
      </c>
      <c r="C9" s="73"/>
      <c r="D9" s="26" t="s">
        <v>70</v>
      </c>
      <c r="E9" s="76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  <c r="Y9"/>
      <c r="Z9"/>
      <c r="AA9"/>
      <c r="AB9"/>
      <c r="AC9"/>
      <c r="AD9"/>
    </row>
    <row r="10" spans="1:35" s="25" customFormat="1" ht="15" customHeight="1">
      <c r="A10" s="26" t="s">
        <v>73</v>
      </c>
      <c r="B10" s="74" t="s">
        <v>0</v>
      </c>
      <c r="C10" s="73"/>
      <c r="D10" s="26" t="s">
        <v>70</v>
      </c>
      <c r="E10" s="76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  <c r="Y10"/>
      <c r="Z10"/>
      <c r="AA10"/>
      <c r="AB10"/>
      <c r="AC10"/>
      <c r="AD10"/>
    </row>
    <row r="11" spans="1:35" s="25" customFormat="1" ht="15" customHeight="1">
      <c r="A11" s="26" t="s">
        <v>74</v>
      </c>
      <c r="B11" s="74" t="s">
        <v>0</v>
      </c>
      <c r="C11" s="73"/>
      <c r="D11" s="26" t="s">
        <v>70</v>
      </c>
      <c r="E11" s="76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  <c r="Y11"/>
      <c r="Z11"/>
      <c r="AA11"/>
      <c r="AB11"/>
      <c r="AC11"/>
      <c r="AD11"/>
    </row>
    <row r="12" spans="1:35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51</v>
      </c>
      <c r="W12" s="15" t="s">
        <v>52</v>
      </c>
    </row>
    <row r="13" spans="1:35" ht="35.1" customHeight="1">
      <c r="A13" s="52" t="s">
        <v>24</v>
      </c>
      <c r="B13" s="113" t="s">
        <v>25</v>
      </c>
      <c r="C13" s="114" t="s">
        <v>26</v>
      </c>
      <c r="D13" s="289" t="s">
        <v>0</v>
      </c>
      <c r="E13" s="114" t="s">
        <v>27</v>
      </c>
      <c r="F13" s="289" t="s">
        <v>28</v>
      </c>
      <c r="G13" s="114" t="s">
        <v>29</v>
      </c>
      <c r="H13" s="54" t="s">
        <v>30</v>
      </c>
      <c r="I13" s="53" t="s">
        <v>31</v>
      </c>
      <c r="J13" s="54" t="s">
        <v>32</v>
      </c>
      <c r="K13" s="54" t="s">
        <v>33</v>
      </c>
      <c r="L13" s="54" t="s">
        <v>34</v>
      </c>
      <c r="M13" s="53" t="s">
        <v>35</v>
      </c>
      <c r="N13" s="55" t="s">
        <v>30</v>
      </c>
      <c r="O13" s="56" t="s">
        <v>31</v>
      </c>
      <c r="P13" s="55" t="s">
        <v>32</v>
      </c>
      <c r="Q13" s="55" t="s">
        <v>33</v>
      </c>
      <c r="R13" s="57" t="s">
        <v>36</v>
      </c>
      <c r="S13" s="58" t="s">
        <v>37</v>
      </c>
      <c r="T13" s="59" t="s">
        <v>38</v>
      </c>
      <c r="V13" s="15" t="s">
        <v>57</v>
      </c>
      <c r="W13" s="15" t="s">
        <v>58</v>
      </c>
      <c r="AE13"/>
      <c r="AF13"/>
      <c r="AG13"/>
      <c r="AH13"/>
      <c r="AI13"/>
    </row>
    <row r="14" spans="1:35" s="67" customFormat="1" ht="18" customHeight="1">
      <c r="A14" s="60" t="s">
        <v>642</v>
      </c>
      <c r="B14" s="109">
        <v>1</v>
      </c>
      <c r="C14" s="220" t="s">
        <v>403</v>
      </c>
      <c r="D14" s="271">
        <v>28809</v>
      </c>
      <c r="E14" s="234" t="s">
        <v>279</v>
      </c>
      <c r="F14" s="271">
        <v>61600</v>
      </c>
      <c r="G14" s="124" t="s">
        <v>537</v>
      </c>
      <c r="H14" s="22"/>
      <c r="I14" s="22"/>
      <c r="J14" s="62" t="str">
        <f t="shared" ref="J14:J40" si="0">IF(H14="","",H14+I14)</f>
        <v/>
      </c>
      <c r="K14" s="63"/>
      <c r="L14" s="63"/>
      <c r="M14" s="64" t="str">
        <f t="shared" ref="M14:M40" si="1">IF(L14="","",K14+L14)</f>
        <v/>
      </c>
      <c r="N14" s="22"/>
      <c r="O14" s="22"/>
      <c r="P14" s="62" t="str">
        <f t="shared" ref="P14:P40" si="2">IF(N14="","",N14+O14)</f>
        <v/>
      </c>
      <c r="Q14" s="63"/>
      <c r="R14" s="63"/>
      <c r="S14" s="64" t="str">
        <f t="shared" ref="S14:S40" si="3">IF(R14="","",Q14+R14)</f>
        <v/>
      </c>
      <c r="T14" s="65"/>
      <c r="U14" s="66"/>
      <c r="V14" s="18" t="e">
        <f>IF($C14="","",VLOOKUP($C14,#REF!,4,FALSE))</f>
        <v>#REF!</v>
      </c>
      <c r="W14" s="69" t="e">
        <f>IF($E14="","",VLOOKUP($E14,#REF!,4,FALSE))</f>
        <v>#REF!</v>
      </c>
      <c r="Y14"/>
      <c r="Z14"/>
      <c r="AA14"/>
      <c r="AB14"/>
      <c r="AC14"/>
      <c r="AD14"/>
      <c r="AE14"/>
      <c r="AF14"/>
      <c r="AG14"/>
      <c r="AH14"/>
      <c r="AI14"/>
    </row>
    <row r="15" spans="1:35" s="67" customFormat="1" ht="18" customHeight="1">
      <c r="A15" s="93" t="s">
        <v>642</v>
      </c>
      <c r="B15" s="109">
        <v>2</v>
      </c>
      <c r="C15" s="327" t="s">
        <v>253</v>
      </c>
      <c r="D15" s="273">
        <v>7270</v>
      </c>
      <c r="E15" s="88" t="s">
        <v>493</v>
      </c>
      <c r="F15" s="280">
        <v>62130</v>
      </c>
      <c r="G15" s="87" t="s">
        <v>492</v>
      </c>
      <c r="H15" s="22"/>
      <c r="I15" s="22"/>
      <c r="J15" s="62" t="str">
        <f t="shared" si="0"/>
        <v/>
      </c>
      <c r="K15" s="63"/>
      <c r="L15" s="63"/>
      <c r="M15" s="64" t="str">
        <f t="shared" si="1"/>
        <v/>
      </c>
      <c r="N15" s="22"/>
      <c r="O15" s="22"/>
      <c r="P15" s="62" t="str">
        <f t="shared" si="2"/>
        <v/>
      </c>
      <c r="Q15" s="63"/>
      <c r="R15" s="63"/>
      <c r="S15" s="64" t="str">
        <f t="shared" si="3"/>
        <v/>
      </c>
      <c r="T15" s="65"/>
      <c r="U15" s="66"/>
      <c r="V15" s="18" t="e">
        <f>IF($C15="","",VLOOKUP($C15,#REF!,4,FALSE))</f>
        <v>#REF!</v>
      </c>
      <c r="W15" s="69" t="e">
        <f>IF($E15="","",VLOOKUP($E15,#REF!,4,FALSE))</f>
        <v>#REF!</v>
      </c>
      <c r="Y15"/>
      <c r="Z15"/>
      <c r="AA15"/>
      <c r="AB15"/>
      <c r="AC15"/>
      <c r="AD15"/>
      <c r="AE15"/>
      <c r="AF15"/>
      <c r="AG15"/>
      <c r="AH15"/>
      <c r="AI15"/>
    </row>
    <row r="16" spans="1:35" s="67" customFormat="1" ht="18" customHeight="1">
      <c r="A16" s="60"/>
      <c r="B16" s="109">
        <v>3</v>
      </c>
      <c r="C16" s="127" t="s">
        <v>638</v>
      </c>
      <c r="D16" s="271">
        <v>33930</v>
      </c>
      <c r="E16" s="127" t="s">
        <v>637</v>
      </c>
      <c r="F16" s="271" t="s">
        <v>501</v>
      </c>
      <c r="G16" s="124" t="s">
        <v>636</v>
      </c>
      <c r="H16" s="22"/>
      <c r="I16" s="22"/>
      <c r="J16" s="62" t="str">
        <f t="shared" si="0"/>
        <v/>
      </c>
      <c r="K16" s="63"/>
      <c r="L16" s="63"/>
      <c r="M16" s="64" t="str">
        <f t="shared" si="1"/>
        <v/>
      </c>
      <c r="N16" s="22"/>
      <c r="O16" s="22"/>
      <c r="P16" s="62" t="str">
        <f t="shared" si="2"/>
        <v/>
      </c>
      <c r="Q16" s="63"/>
      <c r="R16" s="63"/>
      <c r="S16" s="64" t="str">
        <f t="shared" si="3"/>
        <v/>
      </c>
      <c r="T16" s="65"/>
      <c r="U16" s="66"/>
      <c r="V16" s="18" t="e">
        <f>IF($C16="","",VLOOKUP($C16,#REF!,4,FALSE))</f>
        <v>#REF!</v>
      </c>
      <c r="W16" s="69" t="e">
        <f>IF($E16="","",VLOOKUP($E16,#REF!,4,FALSE))</f>
        <v>#REF!</v>
      </c>
      <c r="Y16"/>
      <c r="Z16"/>
      <c r="AA16"/>
      <c r="AB16"/>
      <c r="AC16"/>
      <c r="AD16"/>
      <c r="AE16"/>
      <c r="AF16"/>
      <c r="AG16"/>
      <c r="AH16"/>
      <c r="AI16"/>
    </row>
    <row r="17" spans="1:35" s="67" customFormat="1" ht="18" customHeight="1">
      <c r="A17" s="60"/>
      <c r="B17" s="109">
        <v>4</v>
      </c>
      <c r="C17" s="87" t="s">
        <v>639</v>
      </c>
      <c r="D17" s="273">
        <v>30642</v>
      </c>
      <c r="E17" s="88" t="s">
        <v>640</v>
      </c>
      <c r="F17" s="280">
        <v>58902</v>
      </c>
      <c r="G17" s="102" t="s">
        <v>636</v>
      </c>
      <c r="H17" s="22"/>
      <c r="I17" s="22"/>
      <c r="J17" s="62" t="str">
        <f t="shared" si="0"/>
        <v/>
      </c>
      <c r="K17" s="63"/>
      <c r="L17" s="63"/>
      <c r="M17" s="64" t="str">
        <f t="shared" si="1"/>
        <v/>
      </c>
      <c r="N17" s="22"/>
      <c r="O17" s="22"/>
      <c r="P17" s="62" t="str">
        <f t="shared" si="2"/>
        <v/>
      </c>
      <c r="Q17" s="63"/>
      <c r="R17" s="63"/>
      <c r="S17" s="64" t="str">
        <f t="shared" si="3"/>
        <v/>
      </c>
      <c r="T17" s="65"/>
      <c r="U17" s="66"/>
      <c r="V17" s="18" t="e">
        <f>IF($C17="","",VLOOKUP($C17,#REF!,4,FALSE))</f>
        <v>#REF!</v>
      </c>
      <c r="W17" s="69" t="e">
        <f>IF($E17="","",VLOOKUP($E17,#REF!,4,FALSE))</f>
        <v>#REF!</v>
      </c>
      <c r="Y17"/>
      <c r="Z17"/>
      <c r="AA17"/>
      <c r="AB17"/>
      <c r="AC17"/>
      <c r="AD17"/>
      <c r="AE17"/>
      <c r="AF17"/>
      <c r="AG17"/>
      <c r="AH17"/>
      <c r="AI17"/>
    </row>
    <row r="18" spans="1:35" s="67" customFormat="1" ht="18" customHeight="1">
      <c r="A18" s="60"/>
      <c r="B18" s="109">
        <v>5</v>
      </c>
      <c r="C18" s="125" t="s">
        <v>690</v>
      </c>
      <c r="D18" s="271">
        <v>31690</v>
      </c>
      <c r="E18" s="125" t="s">
        <v>114</v>
      </c>
      <c r="F18" s="271">
        <v>59650</v>
      </c>
      <c r="G18" s="124" t="s">
        <v>553</v>
      </c>
      <c r="H18" s="22"/>
      <c r="I18" s="22"/>
      <c r="J18" s="62" t="str">
        <f t="shared" si="0"/>
        <v/>
      </c>
      <c r="K18" s="63"/>
      <c r="L18" s="63"/>
      <c r="M18" s="64" t="str">
        <f t="shared" si="1"/>
        <v/>
      </c>
      <c r="N18" s="22"/>
      <c r="O18" s="22"/>
      <c r="P18" s="62" t="str">
        <f t="shared" si="2"/>
        <v/>
      </c>
      <c r="Q18" s="63"/>
      <c r="R18" s="63"/>
      <c r="S18" s="64" t="str">
        <f t="shared" si="3"/>
        <v/>
      </c>
      <c r="T18" s="65"/>
      <c r="U18" s="66"/>
      <c r="V18" s="18" t="e">
        <f>IF($C18="","",VLOOKUP($C18,#REF!,4,FALSE))</f>
        <v>#REF!</v>
      </c>
      <c r="W18" s="69" t="e">
        <f>IF($E18="","",VLOOKUP($E18,#REF!,4,FALSE))</f>
        <v>#REF!</v>
      </c>
      <c r="Y18"/>
      <c r="Z18"/>
      <c r="AA18"/>
      <c r="AB18"/>
      <c r="AC18"/>
      <c r="AD18"/>
      <c r="AE18"/>
      <c r="AF18"/>
      <c r="AG18"/>
      <c r="AH18"/>
      <c r="AI18"/>
    </row>
    <row r="19" spans="1:35" s="67" customFormat="1" ht="18" customHeight="1">
      <c r="A19" s="60"/>
      <c r="B19" s="109">
        <v>6</v>
      </c>
      <c r="C19" s="87" t="s">
        <v>236</v>
      </c>
      <c r="D19" s="273">
        <v>11976</v>
      </c>
      <c r="E19" s="88" t="s">
        <v>605</v>
      </c>
      <c r="F19" s="280" t="s">
        <v>501</v>
      </c>
      <c r="G19" s="87" t="s">
        <v>604</v>
      </c>
      <c r="H19" s="22"/>
      <c r="I19" s="22"/>
      <c r="J19" s="62" t="str">
        <f t="shared" si="0"/>
        <v/>
      </c>
      <c r="K19" s="63"/>
      <c r="L19" s="63"/>
      <c r="M19" s="64" t="str">
        <f t="shared" si="1"/>
        <v/>
      </c>
      <c r="N19" s="22"/>
      <c r="O19" s="22"/>
      <c r="P19" s="62" t="str">
        <f t="shared" si="2"/>
        <v/>
      </c>
      <c r="Q19" s="63"/>
      <c r="R19" s="63"/>
      <c r="S19" s="64" t="str">
        <f t="shared" si="3"/>
        <v/>
      </c>
      <c r="T19" s="65"/>
      <c r="U19" s="66"/>
      <c r="V19" s="18" t="e">
        <f>IF($C19="","",VLOOKUP($C19,#REF!,4,FALSE))</f>
        <v>#REF!</v>
      </c>
      <c r="W19" s="69" t="e">
        <f>IF($E19="","",VLOOKUP($E19,#REF!,4,FALSE))</f>
        <v>#REF!</v>
      </c>
      <c r="Y19"/>
      <c r="Z19"/>
      <c r="AA19"/>
      <c r="AB19"/>
      <c r="AC19"/>
      <c r="AD19"/>
      <c r="AE19"/>
      <c r="AF19"/>
      <c r="AG19"/>
      <c r="AH19"/>
      <c r="AI19"/>
    </row>
    <row r="20" spans="1:35" s="67" customFormat="1" ht="18" customHeight="1">
      <c r="A20" s="60"/>
      <c r="B20" s="109">
        <v>7</v>
      </c>
      <c r="C20" s="125" t="s">
        <v>691</v>
      </c>
      <c r="D20" s="271" t="s">
        <v>501</v>
      </c>
      <c r="E20" s="125" t="s">
        <v>692</v>
      </c>
      <c r="F20" s="271">
        <v>57574</v>
      </c>
      <c r="G20" s="124" t="s">
        <v>542</v>
      </c>
      <c r="H20" s="22"/>
      <c r="I20" s="22"/>
      <c r="J20" s="62" t="str">
        <f t="shared" si="0"/>
        <v/>
      </c>
      <c r="K20" s="63"/>
      <c r="L20" s="63"/>
      <c r="M20" s="64" t="str">
        <f t="shared" si="1"/>
        <v/>
      </c>
      <c r="N20" s="22"/>
      <c r="O20" s="22"/>
      <c r="P20" s="62" t="str">
        <f t="shared" si="2"/>
        <v/>
      </c>
      <c r="Q20" s="63"/>
      <c r="R20" s="63"/>
      <c r="S20" s="64" t="str">
        <f t="shared" si="3"/>
        <v/>
      </c>
      <c r="T20" s="65"/>
      <c r="U20" s="66"/>
      <c r="V20" s="18" t="e">
        <f>IF($C20="","",VLOOKUP($C20,#REF!,4,FALSE))</f>
        <v>#REF!</v>
      </c>
      <c r="W20" s="69" t="e">
        <f>IF($E20="","",VLOOKUP($E20,#REF!,4,FALSE))</f>
        <v>#REF!</v>
      </c>
      <c r="Y20"/>
      <c r="Z20"/>
      <c r="AA20"/>
      <c r="AB20"/>
      <c r="AC20"/>
      <c r="AD20"/>
      <c r="AE20"/>
      <c r="AF20"/>
      <c r="AG20"/>
      <c r="AH20"/>
      <c r="AI20"/>
    </row>
    <row r="21" spans="1:35" s="67" customFormat="1" ht="18" customHeight="1">
      <c r="A21" s="60" t="s">
        <v>642</v>
      </c>
      <c r="B21" s="109">
        <v>8</v>
      </c>
      <c r="C21" s="125" t="s">
        <v>619</v>
      </c>
      <c r="D21" s="271">
        <v>18717</v>
      </c>
      <c r="E21" s="125" t="s">
        <v>693</v>
      </c>
      <c r="F21" s="271" t="s">
        <v>531</v>
      </c>
      <c r="G21" s="124" t="s">
        <v>527</v>
      </c>
      <c r="H21" s="22"/>
      <c r="I21" s="22"/>
      <c r="J21" s="62" t="str">
        <f t="shared" si="0"/>
        <v/>
      </c>
      <c r="K21" s="63"/>
      <c r="L21" s="63"/>
      <c r="M21" s="64" t="str">
        <f t="shared" si="1"/>
        <v/>
      </c>
      <c r="N21" s="22"/>
      <c r="O21" s="22"/>
      <c r="P21" s="62" t="str">
        <f t="shared" si="2"/>
        <v/>
      </c>
      <c r="Q21" s="63"/>
      <c r="R21" s="63"/>
      <c r="S21" s="64" t="str">
        <f t="shared" si="3"/>
        <v/>
      </c>
      <c r="T21" s="65"/>
      <c r="U21" s="66"/>
      <c r="V21" s="18" t="e">
        <f>IF($C21="","",VLOOKUP($C21,#REF!,4,FALSE))</f>
        <v>#REF!</v>
      </c>
      <c r="W21" s="69" t="e">
        <f>IF($E21="","",VLOOKUP($E21,#REF!,4,FALSE))</f>
        <v>#REF!</v>
      </c>
      <c r="Y21"/>
      <c r="Z21"/>
      <c r="AA21"/>
      <c r="AB21"/>
      <c r="AC21"/>
      <c r="AD21"/>
      <c r="AE21"/>
      <c r="AF21"/>
      <c r="AG21"/>
      <c r="AH21"/>
      <c r="AI21"/>
    </row>
    <row r="22" spans="1:35" s="67" customFormat="1" ht="18" customHeight="1">
      <c r="A22" s="60"/>
      <c r="B22" s="109">
        <v>9</v>
      </c>
      <c r="C22" s="87" t="s">
        <v>539</v>
      </c>
      <c r="D22" s="273">
        <v>33314</v>
      </c>
      <c r="E22" s="237" t="s">
        <v>279</v>
      </c>
      <c r="F22" s="280">
        <v>61600</v>
      </c>
      <c r="G22" s="102" t="s">
        <v>537</v>
      </c>
      <c r="H22" s="22"/>
      <c r="I22" s="22"/>
      <c r="J22" s="62" t="str">
        <f t="shared" si="0"/>
        <v/>
      </c>
      <c r="K22" s="63"/>
      <c r="L22" s="63"/>
      <c r="M22" s="64" t="str">
        <f t="shared" si="1"/>
        <v/>
      </c>
      <c r="N22" s="22"/>
      <c r="O22" s="22"/>
      <c r="P22" s="62" t="str">
        <f t="shared" si="2"/>
        <v/>
      </c>
      <c r="Q22" s="63"/>
      <c r="R22" s="63"/>
      <c r="S22" s="64" t="str">
        <f t="shared" si="3"/>
        <v/>
      </c>
      <c r="T22" s="65"/>
      <c r="U22" s="66"/>
      <c r="V22" s="18" t="e">
        <f>IF($C22="","",VLOOKUP($C22,#REF!,4,FALSE))</f>
        <v>#REF!</v>
      </c>
      <c r="W22" s="69" t="e">
        <f>IF($E22="","",VLOOKUP($E22,#REF!,4,FALSE))</f>
        <v>#REF!</v>
      </c>
      <c r="Y22"/>
      <c r="Z22"/>
      <c r="AA22"/>
      <c r="AB22"/>
      <c r="AC22"/>
      <c r="AD22"/>
      <c r="AE22"/>
      <c r="AF22"/>
      <c r="AG22"/>
      <c r="AH22"/>
      <c r="AI22"/>
    </row>
    <row r="23" spans="1:35" s="67" customFormat="1" ht="18" customHeight="1">
      <c r="A23" s="60"/>
      <c r="B23" s="109">
        <v>10</v>
      </c>
      <c r="C23" s="125" t="s">
        <v>241</v>
      </c>
      <c r="D23" s="271">
        <v>30373</v>
      </c>
      <c r="E23" s="125" t="s">
        <v>511</v>
      </c>
      <c r="F23" s="271">
        <v>58339</v>
      </c>
      <c r="G23" s="152" t="s">
        <v>658</v>
      </c>
      <c r="H23" s="22"/>
      <c r="I23" s="22"/>
      <c r="J23" s="62" t="str">
        <f t="shared" si="0"/>
        <v/>
      </c>
      <c r="K23" s="63"/>
      <c r="L23" s="63"/>
      <c r="M23" s="64" t="str">
        <f t="shared" si="1"/>
        <v/>
      </c>
      <c r="N23" s="22"/>
      <c r="O23" s="22"/>
      <c r="P23" s="62" t="str">
        <f t="shared" si="2"/>
        <v/>
      </c>
      <c r="Q23" s="63"/>
      <c r="R23" s="63"/>
      <c r="S23" s="64" t="str">
        <f t="shared" si="3"/>
        <v/>
      </c>
      <c r="T23" s="65"/>
      <c r="U23" s="66"/>
      <c r="V23" s="18" t="e">
        <f>IF($C23="","",VLOOKUP($C23,#REF!,4,FALSE))</f>
        <v>#REF!</v>
      </c>
      <c r="W23" s="69" t="e">
        <f>IF($E24="","",VLOOKUP($E24,#REF!,4,FALSE))</f>
        <v>#REF!</v>
      </c>
      <c r="Y23"/>
      <c r="Z23"/>
      <c r="AA23"/>
      <c r="AB23"/>
      <c r="AC23"/>
      <c r="AD23"/>
      <c r="AE23"/>
      <c r="AF23"/>
      <c r="AG23"/>
      <c r="AH23"/>
      <c r="AI23"/>
    </row>
    <row r="24" spans="1:35" s="67" customFormat="1" ht="18" customHeight="1">
      <c r="A24" s="60"/>
      <c r="B24" s="109">
        <v>11</v>
      </c>
      <c r="C24" s="106" t="s">
        <v>630</v>
      </c>
      <c r="D24" s="290">
        <v>34060</v>
      </c>
      <c r="E24" s="247" t="s">
        <v>493</v>
      </c>
      <c r="F24" s="305">
        <v>62130</v>
      </c>
      <c r="G24" s="106" t="s">
        <v>492</v>
      </c>
      <c r="H24" s="22"/>
      <c r="I24" s="22"/>
      <c r="J24" s="62" t="str">
        <f t="shared" si="0"/>
        <v/>
      </c>
      <c r="K24" s="63"/>
      <c r="L24" s="63"/>
      <c r="M24" s="64" t="str">
        <f t="shared" si="1"/>
        <v/>
      </c>
      <c r="N24" s="22"/>
      <c r="O24" s="22"/>
      <c r="P24" s="62" t="str">
        <f t="shared" si="2"/>
        <v/>
      </c>
      <c r="Q24" s="63"/>
      <c r="R24" s="63"/>
      <c r="S24" s="64" t="str">
        <f t="shared" si="3"/>
        <v/>
      </c>
      <c r="T24" s="65"/>
      <c r="U24" s="66"/>
      <c r="V24" s="18" t="e">
        <f>IF($C24="","",VLOOKUP($C24,#REF!,4,FALSE))</f>
        <v>#REF!</v>
      </c>
      <c r="W24" s="69" t="e">
        <f>IF($E24="","",VLOOKUP($E24,#REF!,4,FALSE))</f>
        <v>#REF!</v>
      </c>
      <c r="Y24"/>
      <c r="Z24"/>
      <c r="AA24"/>
      <c r="AB24"/>
      <c r="AC24"/>
      <c r="AD24"/>
      <c r="AE24"/>
      <c r="AF24"/>
      <c r="AG24"/>
      <c r="AH24"/>
      <c r="AI24"/>
    </row>
    <row r="25" spans="1:35" s="67" customFormat="1" ht="18" customHeight="1">
      <c r="A25" s="60"/>
      <c r="B25" s="109">
        <v>12</v>
      </c>
      <c r="C25" s="87" t="s">
        <v>495</v>
      </c>
      <c r="D25" s="273">
        <v>27704</v>
      </c>
      <c r="E25" s="88" t="s">
        <v>494</v>
      </c>
      <c r="F25" s="280">
        <v>60955</v>
      </c>
      <c r="G25" s="87" t="s">
        <v>492</v>
      </c>
      <c r="H25" s="22"/>
      <c r="I25" s="22"/>
      <c r="J25" s="62" t="str">
        <f t="shared" si="0"/>
        <v/>
      </c>
      <c r="K25" s="63"/>
      <c r="L25" s="63"/>
      <c r="M25" s="64" t="str">
        <f t="shared" si="1"/>
        <v/>
      </c>
      <c r="N25" s="22"/>
      <c r="O25" s="22"/>
      <c r="P25" s="62" t="str">
        <f t="shared" si="2"/>
        <v/>
      </c>
      <c r="Q25" s="63"/>
      <c r="R25" s="63"/>
      <c r="S25" s="64" t="str">
        <f t="shared" si="3"/>
        <v/>
      </c>
      <c r="T25" s="65"/>
      <c r="U25" s="66"/>
      <c r="V25" s="18" t="e">
        <f>IF($C25="","",VLOOKUP($C25,#REF!,4,FALSE))</f>
        <v>#REF!</v>
      </c>
      <c r="W25" s="69" t="e">
        <f>IF($E25="","",VLOOKUP($E25,#REF!,4,FALSE))</f>
        <v>#REF!</v>
      </c>
      <c r="Y25"/>
      <c r="Z25"/>
      <c r="AA25"/>
      <c r="AB25"/>
      <c r="AC25"/>
      <c r="AD25"/>
      <c r="AE25"/>
      <c r="AF25"/>
      <c r="AG25"/>
      <c r="AH25"/>
      <c r="AI25"/>
    </row>
    <row r="26" spans="1:35" s="67" customFormat="1" ht="18" customHeight="1">
      <c r="A26" s="60" t="s">
        <v>642</v>
      </c>
      <c r="B26" s="109">
        <v>13</v>
      </c>
      <c r="C26" s="125" t="s">
        <v>514</v>
      </c>
      <c r="D26" s="271">
        <v>23529</v>
      </c>
      <c r="E26" s="248" t="s">
        <v>519</v>
      </c>
      <c r="F26" s="271" t="s">
        <v>501</v>
      </c>
      <c r="G26" s="152" t="s">
        <v>516</v>
      </c>
      <c r="H26" s="22"/>
      <c r="I26" s="22"/>
      <c r="J26" s="62" t="str">
        <f t="shared" si="0"/>
        <v/>
      </c>
      <c r="K26" s="63"/>
      <c r="L26" s="63"/>
      <c r="M26" s="64" t="str">
        <f t="shared" si="1"/>
        <v/>
      </c>
      <c r="N26" s="22"/>
      <c r="O26" s="22"/>
      <c r="P26" s="62" t="str">
        <f t="shared" si="2"/>
        <v/>
      </c>
      <c r="Q26" s="63"/>
      <c r="R26" s="63"/>
      <c r="S26" s="64" t="str">
        <f t="shared" si="3"/>
        <v/>
      </c>
      <c r="T26" s="65"/>
      <c r="U26" s="66"/>
      <c r="V26" s="18" t="e">
        <f>IF($C26="","",VLOOKUP($C26,#REF!,4,FALSE))</f>
        <v>#REF!</v>
      </c>
      <c r="W26" s="69" t="e">
        <f>IF($E26="","",VLOOKUP($E26,#REF!,4,FALSE))</f>
        <v>#REF!</v>
      </c>
      <c r="Y26"/>
      <c r="Z26"/>
      <c r="AA26"/>
      <c r="AB26"/>
      <c r="AC26"/>
      <c r="AD26"/>
      <c r="AE26"/>
      <c r="AF26"/>
      <c r="AG26"/>
      <c r="AH26"/>
      <c r="AI26"/>
    </row>
    <row r="27" spans="1:35" s="67" customFormat="1" ht="18" customHeight="1">
      <c r="A27" s="60"/>
      <c r="B27" s="109">
        <v>14</v>
      </c>
      <c r="C27" s="87" t="s">
        <v>694</v>
      </c>
      <c r="D27" s="273" t="s">
        <v>501</v>
      </c>
      <c r="E27" s="88" t="s">
        <v>695</v>
      </c>
      <c r="F27" s="280">
        <v>59867</v>
      </c>
      <c r="G27" s="87" t="s">
        <v>521</v>
      </c>
      <c r="H27" s="22"/>
      <c r="I27" s="22"/>
      <c r="J27" s="62" t="str">
        <f t="shared" si="0"/>
        <v/>
      </c>
      <c r="K27" s="63"/>
      <c r="L27" s="63"/>
      <c r="M27" s="64" t="str">
        <f t="shared" si="1"/>
        <v/>
      </c>
      <c r="N27" s="22"/>
      <c r="O27" s="22"/>
      <c r="P27" s="62" t="str">
        <f t="shared" si="2"/>
        <v/>
      </c>
      <c r="Q27" s="63"/>
      <c r="R27" s="63"/>
      <c r="S27" s="64" t="str">
        <f t="shared" si="3"/>
        <v/>
      </c>
      <c r="T27" s="65"/>
      <c r="U27" s="66"/>
      <c r="V27" s="18" t="e">
        <f>IF($C27="","",VLOOKUP($C27,#REF!,4,FALSE))</f>
        <v>#REF!</v>
      </c>
      <c r="W27" s="69" t="e">
        <f>IF($E27="","",VLOOKUP($E27,#REF!,4,FALSE))</f>
        <v>#REF!</v>
      </c>
      <c r="Y27"/>
      <c r="Z27"/>
      <c r="AA27"/>
      <c r="AB27"/>
      <c r="AC27"/>
      <c r="AD27"/>
      <c r="AE27"/>
      <c r="AF27"/>
      <c r="AG27"/>
      <c r="AH27"/>
      <c r="AI27"/>
    </row>
    <row r="28" spans="1:35" s="67" customFormat="1" ht="18" customHeight="1">
      <c r="A28" s="60" t="s">
        <v>642</v>
      </c>
      <c r="B28" s="109">
        <v>15</v>
      </c>
      <c r="C28" s="137" t="s">
        <v>696</v>
      </c>
      <c r="D28" s="271">
        <v>28066</v>
      </c>
      <c r="E28" s="249" t="s">
        <v>533</v>
      </c>
      <c r="F28" s="280" t="s">
        <v>531</v>
      </c>
      <c r="G28" s="124" t="s">
        <v>527</v>
      </c>
      <c r="H28" s="22"/>
      <c r="I28" s="22"/>
      <c r="J28" s="62" t="str">
        <f t="shared" si="0"/>
        <v/>
      </c>
      <c r="K28" s="63"/>
      <c r="L28" s="63"/>
      <c r="M28" s="64" t="str">
        <f t="shared" si="1"/>
        <v/>
      </c>
      <c r="N28" s="22"/>
      <c r="O28" s="22"/>
      <c r="P28" s="62" t="str">
        <f t="shared" si="2"/>
        <v/>
      </c>
      <c r="Q28" s="63"/>
      <c r="R28" s="63"/>
      <c r="S28" s="64" t="str">
        <f t="shared" si="3"/>
        <v/>
      </c>
      <c r="T28" s="65"/>
      <c r="U28" s="66"/>
      <c r="V28" s="18" t="e">
        <f>IF($C28="","",VLOOKUP($C28,#REF!,4,FALSE))</f>
        <v>#REF!</v>
      </c>
      <c r="W28" s="69" t="e">
        <f>IF($E28="","",VLOOKUP($E28,#REF!,4,FALSE))</f>
        <v>#REF!</v>
      </c>
      <c r="Y28"/>
      <c r="Z28"/>
      <c r="AA28"/>
      <c r="AB28"/>
      <c r="AC28"/>
      <c r="AD28"/>
      <c r="AE28"/>
      <c r="AF28"/>
      <c r="AG28"/>
      <c r="AH28"/>
      <c r="AI28"/>
    </row>
    <row r="29" spans="1:35" s="67" customFormat="1" ht="18" customHeight="1">
      <c r="A29" s="60"/>
      <c r="B29" s="109">
        <v>16</v>
      </c>
      <c r="C29" s="125" t="s">
        <v>651</v>
      </c>
      <c r="D29" s="271">
        <v>32787</v>
      </c>
      <c r="E29" s="125" t="s">
        <v>287</v>
      </c>
      <c r="F29" s="271">
        <v>61272</v>
      </c>
      <c r="G29" s="105" t="s">
        <v>604</v>
      </c>
      <c r="H29" s="22"/>
      <c r="I29" s="22"/>
      <c r="J29" s="62" t="str">
        <f t="shared" si="0"/>
        <v/>
      </c>
      <c r="K29" s="63"/>
      <c r="L29" s="63"/>
      <c r="M29" s="64" t="str">
        <f t="shared" si="1"/>
        <v/>
      </c>
      <c r="N29" s="22"/>
      <c r="O29" s="22"/>
      <c r="P29" s="62" t="str">
        <f t="shared" si="2"/>
        <v/>
      </c>
      <c r="Q29" s="63"/>
      <c r="R29" s="63"/>
      <c r="S29" s="64" t="str">
        <f t="shared" si="3"/>
        <v/>
      </c>
      <c r="T29" s="65"/>
      <c r="U29" s="66"/>
      <c r="V29" s="18" t="e">
        <f>IF($C29="","",VLOOKUP($C29,#REF!,4,FALSE))</f>
        <v>#REF!</v>
      </c>
      <c r="W29" s="69" t="e">
        <f>IF($E29="","",VLOOKUP($E29,#REF!,4,FALSE))</f>
        <v>#REF!</v>
      </c>
      <c r="Y29"/>
      <c r="Z29"/>
      <c r="AA29"/>
      <c r="AB29"/>
      <c r="AC29"/>
      <c r="AD29"/>
      <c r="AE29"/>
      <c r="AF29"/>
      <c r="AG29"/>
      <c r="AH29"/>
      <c r="AI29"/>
    </row>
    <row r="30" spans="1:35" s="67" customFormat="1" ht="18" customHeight="1">
      <c r="A30" s="60" t="s">
        <v>642</v>
      </c>
      <c r="B30" s="109">
        <v>17</v>
      </c>
      <c r="C30" s="87" t="s">
        <v>619</v>
      </c>
      <c r="D30" s="273">
        <v>18717</v>
      </c>
      <c r="E30" s="242" t="s">
        <v>534</v>
      </c>
      <c r="F30" s="280" t="s">
        <v>531</v>
      </c>
      <c r="G30" s="102" t="s">
        <v>527</v>
      </c>
      <c r="H30" s="22"/>
      <c r="I30" s="22"/>
      <c r="J30" s="62" t="str">
        <f t="shared" si="0"/>
        <v/>
      </c>
      <c r="K30" s="63"/>
      <c r="L30" s="63"/>
      <c r="M30" s="64" t="str">
        <f t="shared" si="1"/>
        <v/>
      </c>
      <c r="N30" s="22"/>
      <c r="O30" s="22"/>
      <c r="P30" s="62" t="str">
        <f t="shared" si="2"/>
        <v/>
      </c>
      <c r="Q30" s="63"/>
      <c r="R30" s="63"/>
      <c r="S30" s="64" t="str">
        <f t="shared" si="3"/>
        <v/>
      </c>
      <c r="T30" s="65"/>
      <c r="U30" s="66"/>
      <c r="V30" s="18" t="e">
        <f>IF($C30="","",VLOOKUP($C30,#REF!,4,FALSE))</f>
        <v>#REF!</v>
      </c>
      <c r="W30" s="69" t="e">
        <f>IF($E30="","",VLOOKUP($E30,#REF!,4,FALSE))</f>
        <v>#REF!</v>
      </c>
      <c r="Y30"/>
      <c r="Z30"/>
      <c r="AA30"/>
      <c r="AB30"/>
      <c r="AC30"/>
      <c r="AD30"/>
      <c r="AE30"/>
      <c r="AF30"/>
      <c r="AG30"/>
      <c r="AH30"/>
      <c r="AI30"/>
    </row>
    <row r="31" spans="1:35" s="67" customFormat="1" ht="18" customHeight="1">
      <c r="A31" s="60"/>
      <c r="B31" s="109">
        <v>18</v>
      </c>
      <c r="C31" s="125" t="s">
        <v>697</v>
      </c>
      <c r="D31" s="271">
        <v>32890</v>
      </c>
      <c r="E31" s="232" t="s">
        <v>543</v>
      </c>
      <c r="F31" s="271">
        <v>58668</v>
      </c>
      <c r="G31" s="124" t="s">
        <v>542</v>
      </c>
      <c r="H31" s="22"/>
      <c r="I31" s="22"/>
      <c r="J31" s="62" t="str">
        <f t="shared" si="0"/>
        <v/>
      </c>
      <c r="K31" s="63"/>
      <c r="L31" s="63"/>
      <c r="M31" s="64" t="str">
        <f t="shared" si="1"/>
        <v/>
      </c>
      <c r="N31" s="22"/>
      <c r="O31" s="22"/>
      <c r="P31" s="62" t="str">
        <f t="shared" si="2"/>
        <v/>
      </c>
      <c r="Q31" s="63"/>
      <c r="R31" s="63"/>
      <c r="S31" s="64" t="str">
        <f t="shared" si="3"/>
        <v/>
      </c>
      <c r="T31" s="65"/>
      <c r="U31" s="66"/>
      <c r="V31" s="18" t="e">
        <f>IF($C31="","",VLOOKUP($C31,#REF!,4,FALSE))</f>
        <v>#REF!</v>
      </c>
      <c r="W31" s="69" t="e">
        <f>IF($E31="","",VLOOKUP($E31,#REF!,4,FALSE))</f>
        <v>#REF!</v>
      </c>
      <c r="Y31"/>
      <c r="Z31"/>
      <c r="AA31"/>
      <c r="AB31"/>
      <c r="AC31"/>
      <c r="AD31"/>
      <c r="AE31"/>
      <c r="AF31"/>
      <c r="AG31"/>
      <c r="AH31"/>
      <c r="AI31"/>
    </row>
    <row r="32" spans="1:35" s="67" customFormat="1" ht="18" customHeight="1">
      <c r="A32" s="60"/>
      <c r="B32" s="109">
        <v>19</v>
      </c>
      <c r="C32" s="125" t="s">
        <v>698</v>
      </c>
      <c r="D32" s="271">
        <v>32215</v>
      </c>
      <c r="E32" s="248" t="s">
        <v>519</v>
      </c>
      <c r="F32" s="271" t="s">
        <v>501</v>
      </c>
      <c r="G32" s="152" t="s">
        <v>516</v>
      </c>
      <c r="H32" s="22"/>
      <c r="I32" s="22"/>
      <c r="J32" s="62" t="str">
        <f t="shared" si="0"/>
        <v/>
      </c>
      <c r="K32" s="63"/>
      <c r="L32" s="63"/>
      <c r="M32" s="64" t="str">
        <f t="shared" si="1"/>
        <v/>
      </c>
      <c r="N32" s="22"/>
      <c r="O32" s="22"/>
      <c r="P32" s="62" t="str">
        <f t="shared" si="2"/>
        <v/>
      </c>
      <c r="Q32" s="63"/>
      <c r="R32" s="63"/>
      <c r="S32" s="64" t="str">
        <f t="shared" si="3"/>
        <v/>
      </c>
      <c r="T32" s="65"/>
      <c r="U32" s="66"/>
      <c r="V32" s="18" t="e">
        <f>IF($C32="","",VLOOKUP($C32,#REF!,4,FALSE))</f>
        <v>#REF!</v>
      </c>
      <c r="W32" s="69" t="e">
        <f>IF($E32="","",VLOOKUP($E32,#REF!,4,FALSE))</f>
        <v>#REF!</v>
      </c>
      <c r="Y32"/>
      <c r="Z32"/>
      <c r="AA32"/>
      <c r="AB32"/>
      <c r="AC32"/>
      <c r="AD32"/>
      <c r="AE32"/>
      <c r="AF32"/>
      <c r="AG32"/>
      <c r="AH32"/>
      <c r="AI32"/>
    </row>
    <row r="33" spans="1:35" s="67" customFormat="1" ht="18" customHeight="1">
      <c r="A33" s="60"/>
      <c r="B33" s="109">
        <v>20</v>
      </c>
      <c r="C33" s="251" t="s">
        <v>699</v>
      </c>
      <c r="D33" s="271">
        <v>32494</v>
      </c>
      <c r="E33" s="246" t="s">
        <v>533</v>
      </c>
      <c r="F33" s="271" t="s">
        <v>531</v>
      </c>
      <c r="G33" s="102" t="s">
        <v>527</v>
      </c>
      <c r="H33" s="22"/>
      <c r="I33" s="22"/>
      <c r="J33" s="62" t="str">
        <f t="shared" si="0"/>
        <v/>
      </c>
      <c r="K33" s="63"/>
      <c r="L33" s="63"/>
      <c r="M33" s="64" t="str">
        <f t="shared" si="1"/>
        <v/>
      </c>
      <c r="N33" s="22"/>
      <c r="O33" s="22"/>
      <c r="P33" s="62" t="str">
        <f t="shared" si="2"/>
        <v/>
      </c>
      <c r="Q33" s="63"/>
      <c r="R33" s="63"/>
      <c r="S33" s="64" t="str">
        <f t="shared" si="3"/>
        <v/>
      </c>
      <c r="T33" s="65"/>
      <c r="U33" s="66"/>
      <c r="V33" s="18" t="e">
        <f>IF(#REF!="","",VLOOKUP(#REF!,#REF!,4,FALSE))</f>
        <v>#REF!</v>
      </c>
      <c r="W33" s="69" t="e">
        <f>IF(#REF!="","",VLOOKUP(#REF!,#REF!,4,FALSE))</f>
        <v>#REF!</v>
      </c>
      <c r="Y33"/>
      <c r="Z33"/>
      <c r="AA33"/>
      <c r="AB33"/>
      <c r="AC33"/>
      <c r="AD33"/>
      <c r="AE33"/>
      <c r="AF33"/>
      <c r="AG33"/>
      <c r="AH33"/>
      <c r="AI33"/>
    </row>
    <row r="34" spans="1:35" s="67" customFormat="1" ht="18" customHeight="1">
      <c r="A34" s="60" t="s">
        <v>642</v>
      </c>
      <c r="B34" s="109">
        <v>21</v>
      </c>
      <c r="C34" s="125" t="s">
        <v>253</v>
      </c>
      <c r="D34" s="271">
        <v>7270</v>
      </c>
      <c r="E34" s="250" t="s">
        <v>497</v>
      </c>
      <c r="F34" s="271">
        <v>60672</v>
      </c>
      <c r="G34" s="124" t="s">
        <v>492</v>
      </c>
      <c r="H34" s="22"/>
      <c r="I34" s="22"/>
      <c r="J34" s="62" t="str">
        <f t="shared" si="0"/>
        <v/>
      </c>
      <c r="K34" s="63"/>
      <c r="L34" s="63"/>
      <c r="M34" s="64" t="str">
        <f t="shared" si="1"/>
        <v/>
      </c>
      <c r="N34" s="22"/>
      <c r="O34" s="22"/>
      <c r="P34" s="62" t="str">
        <f t="shared" si="2"/>
        <v/>
      </c>
      <c r="Q34" s="63"/>
      <c r="R34" s="63"/>
      <c r="S34" s="64" t="str">
        <f t="shared" si="3"/>
        <v/>
      </c>
      <c r="T34" s="65"/>
      <c r="U34" s="66"/>
      <c r="V34" s="18" t="e">
        <f>IF($C34="","",VLOOKUP($C34,#REF!,4,FALSE))</f>
        <v>#REF!</v>
      </c>
      <c r="W34" s="69" t="e">
        <f>IF($E34="","",VLOOKUP($E34,#REF!,4,FALSE))</f>
        <v>#REF!</v>
      </c>
      <c r="Y34"/>
      <c r="Z34"/>
      <c r="AA34"/>
      <c r="AB34"/>
      <c r="AC34"/>
      <c r="AD34"/>
      <c r="AE34"/>
      <c r="AF34"/>
      <c r="AG34"/>
      <c r="AH34"/>
      <c r="AI34"/>
    </row>
    <row r="35" spans="1:35" s="67" customFormat="1" ht="18" customHeight="1">
      <c r="A35" s="60"/>
      <c r="B35" s="109">
        <v>22</v>
      </c>
      <c r="C35" s="125" t="s">
        <v>688</v>
      </c>
      <c r="D35" s="271">
        <v>33226</v>
      </c>
      <c r="E35" s="125" t="s">
        <v>546</v>
      </c>
      <c r="F35" s="271">
        <v>61773</v>
      </c>
      <c r="G35" s="124" t="s">
        <v>547</v>
      </c>
      <c r="H35" s="22"/>
      <c r="I35" s="22"/>
      <c r="J35" s="62" t="str">
        <f t="shared" si="0"/>
        <v/>
      </c>
      <c r="K35" s="63"/>
      <c r="L35" s="63"/>
      <c r="M35" s="64" t="str">
        <f t="shared" si="1"/>
        <v/>
      </c>
      <c r="N35" s="22"/>
      <c r="O35" s="22"/>
      <c r="P35" s="62" t="str">
        <f t="shared" si="2"/>
        <v/>
      </c>
      <c r="Q35" s="63"/>
      <c r="R35" s="63"/>
      <c r="S35" s="64" t="str">
        <f t="shared" si="3"/>
        <v/>
      </c>
      <c r="T35" s="65"/>
      <c r="U35" s="66"/>
      <c r="V35" s="18" t="e">
        <f>IF($C35="","",VLOOKUP($C35,#REF!,4,FALSE))</f>
        <v>#REF!</v>
      </c>
      <c r="W35" s="69" t="e">
        <f>IF($E35="","",VLOOKUP($E35,#REF!,4,FALSE))</f>
        <v>#REF!</v>
      </c>
      <c r="Y35"/>
      <c r="Z35"/>
      <c r="AA35"/>
      <c r="AB35"/>
      <c r="AC35"/>
      <c r="AD35"/>
      <c r="AE35"/>
      <c r="AF35"/>
      <c r="AG35"/>
      <c r="AH35"/>
      <c r="AI35"/>
    </row>
    <row r="36" spans="1:35" s="67" customFormat="1" ht="18" customHeight="1">
      <c r="A36" s="60"/>
      <c r="B36" s="109">
        <v>23</v>
      </c>
      <c r="C36" s="125" t="s">
        <v>700</v>
      </c>
      <c r="D36" s="271" t="s">
        <v>501</v>
      </c>
      <c r="E36" s="136" t="s">
        <v>534</v>
      </c>
      <c r="F36" s="306" t="s">
        <v>531</v>
      </c>
      <c r="G36" s="126" t="s">
        <v>527</v>
      </c>
      <c r="H36" s="22"/>
      <c r="I36" s="22"/>
      <c r="J36" s="62" t="str">
        <f t="shared" si="0"/>
        <v/>
      </c>
      <c r="K36" s="63"/>
      <c r="L36" s="63"/>
      <c r="M36" s="64" t="str">
        <f t="shared" si="1"/>
        <v/>
      </c>
      <c r="N36" s="22"/>
      <c r="O36" s="22"/>
      <c r="P36" s="62" t="str">
        <f t="shared" si="2"/>
        <v/>
      </c>
      <c r="Q36" s="63"/>
      <c r="R36" s="63"/>
      <c r="S36" s="64" t="str">
        <f t="shared" si="3"/>
        <v/>
      </c>
      <c r="T36" s="65"/>
      <c r="U36" s="66"/>
      <c r="V36" s="18" t="e">
        <f>IF($C36="","",VLOOKUP($C36,#REF!,4,FALSE))</f>
        <v>#REF!</v>
      </c>
      <c r="W36" s="69" t="e">
        <f>IF($E36="","",VLOOKUP($E36,#REF!,4,FALSE))</f>
        <v>#REF!</v>
      </c>
      <c r="Y36"/>
      <c r="Z36"/>
      <c r="AA36"/>
      <c r="AB36"/>
      <c r="AC36"/>
      <c r="AD36"/>
      <c r="AE36"/>
      <c r="AF36"/>
      <c r="AG36"/>
      <c r="AH36"/>
      <c r="AI36"/>
    </row>
    <row r="37" spans="1:35" s="67" customFormat="1" ht="18" customHeight="1">
      <c r="A37" s="60"/>
      <c r="B37" s="109">
        <v>24</v>
      </c>
      <c r="C37" s="328" t="s">
        <v>701</v>
      </c>
      <c r="D37" s="290">
        <v>34299</v>
      </c>
      <c r="E37" s="329" t="s">
        <v>609</v>
      </c>
      <c r="F37" s="306">
        <v>62092</v>
      </c>
      <c r="G37" s="104" t="s">
        <v>608</v>
      </c>
      <c r="H37" s="22"/>
      <c r="I37" s="22"/>
      <c r="J37" s="62" t="str">
        <f t="shared" si="0"/>
        <v/>
      </c>
      <c r="K37" s="63"/>
      <c r="L37" s="63"/>
      <c r="M37" s="64" t="str">
        <f t="shared" si="1"/>
        <v/>
      </c>
      <c r="N37" s="22"/>
      <c r="O37" s="22"/>
      <c r="P37" s="62" t="str">
        <f t="shared" si="2"/>
        <v/>
      </c>
      <c r="Q37" s="63"/>
      <c r="R37" s="63"/>
      <c r="S37" s="64" t="str">
        <f t="shared" si="3"/>
        <v/>
      </c>
      <c r="T37" s="65"/>
      <c r="U37" s="66"/>
      <c r="V37" s="18" t="e">
        <f>IF($C37="","",VLOOKUP($C37,#REF!,4,FALSE))</f>
        <v>#REF!</v>
      </c>
      <c r="W37" s="69" t="e">
        <f>IF(#REF!="","",VLOOKUP(#REF!,#REF!,4,FALSE))</f>
        <v>#REF!</v>
      </c>
      <c r="Y37"/>
      <c r="Z37"/>
      <c r="AA37"/>
      <c r="AB37"/>
      <c r="AC37"/>
      <c r="AD37"/>
      <c r="AE37"/>
      <c r="AF37"/>
      <c r="AG37"/>
      <c r="AH37"/>
      <c r="AI37"/>
    </row>
    <row r="38" spans="1:35" s="67" customFormat="1" ht="18" customHeight="1">
      <c r="A38" s="60"/>
      <c r="B38" s="109">
        <v>25</v>
      </c>
      <c r="C38" s="87" t="s">
        <v>702</v>
      </c>
      <c r="D38" s="271" t="s">
        <v>501</v>
      </c>
      <c r="E38" s="246" t="s">
        <v>703</v>
      </c>
      <c r="F38" s="280">
        <v>59843</v>
      </c>
      <c r="G38" s="103" t="s">
        <v>608</v>
      </c>
      <c r="H38" s="22"/>
      <c r="I38" s="22"/>
      <c r="J38" s="62" t="str">
        <f t="shared" si="0"/>
        <v/>
      </c>
      <c r="K38" s="63"/>
      <c r="L38" s="63"/>
      <c r="M38" s="64" t="str">
        <f t="shared" si="1"/>
        <v/>
      </c>
      <c r="N38" s="22"/>
      <c r="O38" s="22"/>
      <c r="P38" s="62" t="str">
        <f t="shared" si="2"/>
        <v/>
      </c>
      <c r="Q38" s="63"/>
      <c r="R38" s="63"/>
      <c r="S38" s="64" t="str">
        <f t="shared" si="3"/>
        <v/>
      </c>
      <c r="T38" s="65"/>
      <c r="U38" s="66"/>
      <c r="V38" s="18"/>
      <c r="W38" s="69"/>
      <c r="Y38"/>
      <c r="Z38"/>
      <c r="AA38"/>
      <c r="AB38"/>
      <c r="AC38"/>
      <c r="AD38"/>
      <c r="AE38"/>
      <c r="AF38"/>
      <c r="AG38"/>
      <c r="AH38"/>
      <c r="AI38"/>
    </row>
    <row r="39" spans="1:35" s="67" customFormat="1" ht="18" customHeight="1">
      <c r="A39" s="60"/>
      <c r="B39" s="109">
        <v>26</v>
      </c>
      <c r="C39" s="137" t="s">
        <v>498</v>
      </c>
      <c r="D39" s="271">
        <v>31486</v>
      </c>
      <c r="E39" s="140" t="s">
        <v>497</v>
      </c>
      <c r="F39" s="271">
        <v>60672</v>
      </c>
      <c r="G39" s="141" t="s">
        <v>492</v>
      </c>
      <c r="H39" s="22"/>
      <c r="I39" s="22"/>
      <c r="J39" s="62" t="str">
        <f t="shared" si="0"/>
        <v/>
      </c>
      <c r="K39" s="63"/>
      <c r="L39" s="63"/>
      <c r="M39" s="64" t="str">
        <f t="shared" si="1"/>
        <v/>
      </c>
      <c r="N39" s="22"/>
      <c r="O39" s="22"/>
      <c r="P39" s="62" t="str">
        <f t="shared" si="2"/>
        <v/>
      </c>
      <c r="Q39" s="63"/>
      <c r="R39" s="63"/>
      <c r="S39" s="64" t="str">
        <f t="shared" si="3"/>
        <v/>
      </c>
      <c r="T39" s="65"/>
      <c r="U39" s="66"/>
      <c r="V39" s="18" t="e">
        <f>IF($C39="","",VLOOKUP($C39,#REF!,4,FALSE))</f>
        <v>#REF!</v>
      </c>
      <c r="W39" s="69" t="e">
        <f>IF($E39="","",VLOOKUP($E39,#REF!,4,FALSE))</f>
        <v>#REF!</v>
      </c>
      <c r="Y39"/>
      <c r="Z39"/>
      <c r="AA39"/>
      <c r="AB39"/>
      <c r="AC39"/>
      <c r="AD39"/>
      <c r="AE39"/>
      <c r="AF39"/>
      <c r="AG39"/>
      <c r="AH39"/>
      <c r="AI39"/>
    </row>
    <row r="40" spans="1:35" s="67" customFormat="1" ht="18" customHeight="1">
      <c r="A40" s="60" t="s">
        <v>687</v>
      </c>
      <c r="B40" s="109">
        <v>27</v>
      </c>
      <c r="C40" s="133" t="s">
        <v>561</v>
      </c>
      <c r="D40" s="271">
        <v>32313</v>
      </c>
      <c r="E40" s="137" t="s">
        <v>563</v>
      </c>
      <c r="F40" s="279" t="s">
        <v>501</v>
      </c>
      <c r="G40" s="138" t="s">
        <v>564</v>
      </c>
      <c r="H40" s="22"/>
      <c r="I40" s="22"/>
      <c r="J40" s="62" t="str">
        <f t="shared" si="0"/>
        <v/>
      </c>
      <c r="K40" s="63"/>
      <c r="L40" s="63"/>
      <c r="M40" s="64" t="str">
        <f t="shared" si="1"/>
        <v/>
      </c>
      <c r="N40" s="22"/>
      <c r="O40" s="22"/>
      <c r="P40" s="62" t="str">
        <f t="shared" si="2"/>
        <v/>
      </c>
      <c r="Q40" s="63"/>
      <c r="R40" s="63"/>
      <c r="S40" s="64" t="str">
        <f t="shared" si="3"/>
        <v/>
      </c>
      <c r="T40" s="65"/>
      <c r="U40" s="66"/>
      <c r="V40" s="18" t="e">
        <f>IF($C40="","",VLOOKUP($C40,#REF!,4,FALSE))</f>
        <v>#REF!</v>
      </c>
      <c r="W40" s="69" t="e">
        <f>IF($E40="","",VLOOKUP($E40,#REF!,4,FALSE))</f>
        <v>#REF!</v>
      </c>
      <c r="Y40"/>
      <c r="Z40"/>
      <c r="AA40"/>
      <c r="AB40"/>
      <c r="AC40"/>
      <c r="AD40"/>
      <c r="AE40"/>
      <c r="AF40"/>
      <c r="AG40"/>
      <c r="AH40"/>
      <c r="AI40"/>
    </row>
    <row r="41" spans="1:35" s="67" customFormat="1" ht="18" customHeight="1">
      <c r="A41" s="60"/>
      <c r="B41" s="109">
        <v>28</v>
      </c>
      <c r="C41" s="191"/>
      <c r="D41" s="271"/>
      <c r="E41" s="192"/>
      <c r="F41" s="280"/>
      <c r="G41" s="87"/>
      <c r="H41" s="22"/>
      <c r="I41" s="22"/>
      <c r="J41" s="62"/>
      <c r="K41" s="63"/>
      <c r="L41" s="63"/>
      <c r="M41" s="64"/>
      <c r="N41" s="22"/>
      <c r="O41" s="22"/>
      <c r="P41" s="62"/>
      <c r="Q41" s="63"/>
      <c r="R41" s="63"/>
      <c r="S41" s="64"/>
      <c r="T41" s="65"/>
      <c r="U41" s="66"/>
      <c r="V41" s="18" t="str">
        <f>IF($C41="","",VLOOKUP($C41,#REF!,4,FALSE))</f>
        <v/>
      </c>
      <c r="W41" s="69" t="str">
        <f>IF($E41="","",VLOOKUP($E41,#REF!,4,FALSE))</f>
        <v/>
      </c>
      <c r="Y41"/>
      <c r="Z41"/>
      <c r="AA41"/>
      <c r="AB41"/>
      <c r="AC41"/>
      <c r="AD41"/>
      <c r="AE41"/>
      <c r="AF41"/>
      <c r="AG41"/>
      <c r="AH41"/>
      <c r="AI41"/>
    </row>
    <row r="42" spans="1:35" s="67" customFormat="1" ht="18" customHeight="1">
      <c r="A42" s="60"/>
      <c r="B42" s="109">
        <v>29</v>
      </c>
      <c r="C42" s="125"/>
      <c r="D42" s="271"/>
      <c r="E42" s="125"/>
      <c r="F42" s="271"/>
      <c r="G42" s="105"/>
      <c r="H42" s="22"/>
      <c r="I42" s="22"/>
      <c r="J42" s="62" t="str">
        <f t="shared" ref="J42:J74" si="4">IF(H42="","",H42+I42)</f>
        <v/>
      </c>
      <c r="K42" s="63"/>
      <c r="L42" s="63"/>
      <c r="M42" s="64" t="str">
        <f t="shared" ref="M42:M74" si="5">IF(L42="","",K42+L42)</f>
        <v/>
      </c>
      <c r="N42" s="22"/>
      <c r="O42" s="22"/>
      <c r="P42" s="62" t="str">
        <f t="shared" ref="P42:P74" si="6">IF(N42="","",N42+O42)</f>
        <v/>
      </c>
      <c r="Q42" s="63"/>
      <c r="R42" s="63"/>
      <c r="S42" s="64" t="str">
        <f t="shared" ref="S42:S74" si="7">IF(R42="","",Q42+R42)</f>
        <v/>
      </c>
      <c r="T42" s="65"/>
      <c r="U42" s="66"/>
      <c r="V42" s="18" t="str">
        <f>IF($C42="","",VLOOKUP($C42,#REF!,4,FALSE))</f>
        <v/>
      </c>
      <c r="W42" s="69" t="str">
        <f>IF($E42="","",VLOOKUP($E42,#REF!,4,FALSE))</f>
        <v/>
      </c>
      <c r="Y42"/>
      <c r="Z42"/>
      <c r="AA42"/>
      <c r="AB42"/>
      <c r="AC42"/>
      <c r="AD42"/>
      <c r="AE42"/>
      <c r="AF42"/>
      <c r="AG42"/>
      <c r="AH42"/>
      <c r="AI42"/>
    </row>
    <row r="43" spans="1:35" s="67" customFormat="1" ht="18" customHeight="1">
      <c r="A43" s="60"/>
      <c r="B43" s="109">
        <v>30</v>
      </c>
      <c r="C43" s="87"/>
      <c r="D43" s="273"/>
      <c r="E43" s="136"/>
      <c r="F43" s="280"/>
      <c r="G43" s="104"/>
      <c r="H43" s="22"/>
      <c r="I43" s="22"/>
      <c r="J43" s="62" t="str">
        <f t="shared" si="4"/>
        <v/>
      </c>
      <c r="K43" s="63"/>
      <c r="L43" s="63"/>
      <c r="M43" s="64" t="str">
        <f t="shared" si="5"/>
        <v/>
      </c>
      <c r="N43" s="22"/>
      <c r="O43" s="22"/>
      <c r="P43" s="62" t="str">
        <f t="shared" si="6"/>
        <v/>
      </c>
      <c r="Q43" s="63"/>
      <c r="R43" s="63"/>
      <c r="S43" s="64" t="str">
        <f t="shared" si="7"/>
        <v/>
      </c>
      <c r="T43" s="65"/>
      <c r="U43" s="66"/>
      <c r="V43" s="18" t="str">
        <f>IF($C43="","",VLOOKUP($C43,#REF!,4,FALSE))</f>
        <v/>
      </c>
      <c r="W43" s="69" t="str">
        <f>IF($E43="","",VLOOKUP($E43,#REF!,4,FALSE))</f>
        <v/>
      </c>
      <c r="Y43"/>
      <c r="Z43"/>
      <c r="AA43"/>
      <c r="AB43"/>
      <c r="AC43"/>
      <c r="AD43"/>
      <c r="AE43"/>
      <c r="AF43"/>
      <c r="AG43"/>
      <c r="AH43"/>
      <c r="AI43"/>
    </row>
    <row r="44" spans="1:35" s="67" customFormat="1" ht="18" customHeight="1">
      <c r="A44" s="60"/>
      <c r="B44" s="109">
        <v>31</v>
      </c>
      <c r="C44" s="137"/>
      <c r="D44" s="273"/>
      <c r="E44" s="136"/>
      <c r="F44" s="280"/>
      <c r="G44" s="126"/>
      <c r="H44" s="22"/>
      <c r="I44" s="22"/>
      <c r="J44" s="62" t="str">
        <f t="shared" si="4"/>
        <v/>
      </c>
      <c r="K44" s="63"/>
      <c r="L44" s="63"/>
      <c r="M44" s="64" t="str">
        <f t="shared" si="5"/>
        <v/>
      </c>
      <c r="N44" s="22"/>
      <c r="O44" s="22"/>
      <c r="P44" s="62" t="str">
        <f t="shared" si="6"/>
        <v/>
      </c>
      <c r="Q44" s="63"/>
      <c r="R44" s="63"/>
      <c r="S44" s="64" t="str">
        <f t="shared" si="7"/>
        <v/>
      </c>
      <c r="T44" s="65"/>
      <c r="U44" s="66"/>
      <c r="V44" s="18" t="str">
        <f>IF($C44="","",VLOOKUP($C44,#REF!,4,FALSE))</f>
        <v/>
      </c>
      <c r="W44" s="69" t="str">
        <f>IF($E44="","",VLOOKUP($E44,#REF!,4,FALSE))</f>
        <v/>
      </c>
      <c r="Y44"/>
      <c r="Z44"/>
      <c r="AA44"/>
      <c r="AB44"/>
      <c r="AC44"/>
      <c r="AD44"/>
      <c r="AE44"/>
      <c r="AF44"/>
      <c r="AG44"/>
      <c r="AH44"/>
      <c r="AI44"/>
    </row>
    <row r="45" spans="1:35" s="67" customFormat="1" ht="18" customHeight="1">
      <c r="A45" s="60"/>
      <c r="B45" s="109">
        <v>32</v>
      </c>
      <c r="C45" s="125"/>
      <c r="D45" s="271"/>
      <c r="E45" s="125"/>
      <c r="F45" s="271"/>
      <c r="G45" s="126"/>
      <c r="H45" s="22"/>
      <c r="I45" s="22"/>
      <c r="J45" s="62" t="str">
        <f t="shared" si="4"/>
        <v/>
      </c>
      <c r="K45" s="63"/>
      <c r="L45" s="63"/>
      <c r="M45" s="64" t="str">
        <f t="shared" si="5"/>
        <v/>
      </c>
      <c r="N45" s="22"/>
      <c r="O45" s="22"/>
      <c r="P45" s="62" t="str">
        <f t="shared" si="6"/>
        <v/>
      </c>
      <c r="Q45" s="63"/>
      <c r="R45" s="63"/>
      <c r="S45" s="64" t="str">
        <f t="shared" si="7"/>
        <v/>
      </c>
      <c r="T45" s="65"/>
      <c r="U45" s="66"/>
      <c r="V45" s="18" t="str">
        <f>IF($C45="","",VLOOKUP($C45,#REF!,4,FALSE))</f>
        <v/>
      </c>
      <c r="W45" s="69" t="str">
        <f>IF($E45="","",VLOOKUP($E45,#REF!,4,FALSE))</f>
        <v/>
      </c>
      <c r="Y45"/>
      <c r="Z45"/>
      <c r="AA45"/>
      <c r="AB45"/>
      <c r="AC45"/>
      <c r="AD45"/>
      <c r="AE45"/>
      <c r="AF45"/>
      <c r="AG45"/>
      <c r="AH45"/>
      <c r="AI45"/>
    </row>
    <row r="46" spans="1:35" s="67" customFormat="1" ht="18" customHeight="1">
      <c r="A46" s="60"/>
      <c r="B46" s="109">
        <v>33</v>
      </c>
      <c r="C46" s="125"/>
      <c r="D46" s="271"/>
      <c r="E46" s="125"/>
      <c r="F46" s="271"/>
      <c r="G46" s="209"/>
      <c r="H46" s="22"/>
      <c r="I46" s="22"/>
      <c r="J46" s="62" t="str">
        <f t="shared" si="4"/>
        <v/>
      </c>
      <c r="K46" s="63"/>
      <c r="L46" s="63"/>
      <c r="M46" s="64" t="str">
        <f t="shared" si="5"/>
        <v/>
      </c>
      <c r="N46" s="22"/>
      <c r="O46" s="22"/>
      <c r="P46" s="62" t="str">
        <f t="shared" si="6"/>
        <v/>
      </c>
      <c r="Q46" s="63"/>
      <c r="R46" s="63"/>
      <c r="S46" s="64" t="str">
        <f t="shared" si="7"/>
        <v/>
      </c>
      <c r="T46" s="65"/>
      <c r="U46" s="66"/>
      <c r="V46" s="18" t="str">
        <f>IF($C46="","",VLOOKUP($C46,#REF!,4,FALSE))</f>
        <v/>
      </c>
      <c r="W46" s="69" t="str">
        <f>IF($E46="","",VLOOKUP($E46,#REF!,4,FALSE))</f>
        <v/>
      </c>
      <c r="Y46"/>
      <c r="Z46"/>
      <c r="AA46"/>
      <c r="AB46"/>
      <c r="AC46"/>
      <c r="AD46"/>
      <c r="AE46"/>
      <c r="AF46"/>
      <c r="AG46"/>
      <c r="AH46"/>
      <c r="AI46"/>
    </row>
    <row r="47" spans="1:35" s="67" customFormat="1" ht="18" customHeight="1">
      <c r="A47" s="60"/>
      <c r="B47" s="109">
        <v>34</v>
      </c>
      <c r="C47" s="87"/>
      <c r="D47" s="273"/>
      <c r="E47" s="88" ph="1"/>
      <c r="F47" s="280"/>
      <c r="G47" s="103"/>
      <c r="H47" s="22"/>
      <c r="I47" s="22"/>
      <c r="J47" s="62" t="str">
        <f t="shared" si="4"/>
        <v/>
      </c>
      <c r="K47" s="63"/>
      <c r="L47" s="63"/>
      <c r="M47" s="64" t="str">
        <f t="shared" si="5"/>
        <v/>
      </c>
      <c r="N47" s="22"/>
      <c r="O47" s="22"/>
      <c r="P47" s="62" t="str">
        <f t="shared" si="6"/>
        <v/>
      </c>
      <c r="Q47" s="63"/>
      <c r="R47" s="63"/>
      <c r="S47" s="64" t="str">
        <f t="shared" si="7"/>
        <v/>
      </c>
      <c r="T47" s="65"/>
      <c r="U47" s="66"/>
      <c r="V47" s="18" t="str">
        <f>IF($C47="","",VLOOKUP($C47,#REF!,4,FALSE))</f>
        <v/>
      </c>
      <c r="W47" s="69" t="str">
        <f>IF($E47="","",VLOOKUP($E47,#REF!,4,FALSE))</f>
        <v/>
      </c>
      <c r="Y47"/>
      <c r="Z47"/>
      <c r="AA47"/>
      <c r="AB47"/>
      <c r="AC47"/>
      <c r="AD47"/>
      <c r="AE47"/>
      <c r="AF47"/>
      <c r="AG47"/>
      <c r="AH47"/>
      <c r="AI47"/>
    </row>
    <row r="48" spans="1:35" s="67" customFormat="1" ht="18" customHeight="1">
      <c r="A48" s="60"/>
      <c r="B48" s="109">
        <v>35</v>
      </c>
      <c r="C48" s="125"/>
      <c r="D48" s="271"/>
      <c r="E48" s="125"/>
      <c r="F48" s="271"/>
      <c r="G48" s="124"/>
      <c r="H48" s="22"/>
      <c r="I48" s="22"/>
      <c r="J48" s="62" t="str">
        <f t="shared" si="4"/>
        <v/>
      </c>
      <c r="K48" s="63"/>
      <c r="L48" s="63"/>
      <c r="M48" s="64" t="str">
        <f t="shared" si="5"/>
        <v/>
      </c>
      <c r="N48" s="22"/>
      <c r="O48" s="22"/>
      <c r="P48" s="62" t="str">
        <f t="shared" si="6"/>
        <v/>
      </c>
      <c r="Q48" s="63"/>
      <c r="R48" s="63"/>
      <c r="S48" s="64" t="str">
        <f t="shared" si="7"/>
        <v/>
      </c>
      <c r="T48" s="65"/>
      <c r="U48" s="66"/>
      <c r="V48" s="18" t="str">
        <f>IF($C48="","",VLOOKUP($C48,#REF!,4,FALSE))</f>
        <v/>
      </c>
      <c r="W48" s="69" t="str">
        <f>IF($E48="","",VLOOKUP($E48,#REF!,4,FALSE))</f>
        <v/>
      </c>
      <c r="Y48"/>
      <c r="Z48"/>
      <c r="AA48"/>
      <c r="AB48"/>
      <c r="AC48"/>
      <c r="AD48"/>
      <c r="AE48"/>
      <c r="AF48"/>
      <c r="AG48"/>
      <c r="AH48"/>
      <c r="AI48"/>
    </row>
    <row r="49" spans="1:35" s="67" customFormat="1" ht="18" customHeight="1">
      <c r="A49" s="60"/>
      <c r="B49" s="109">
        <v>36</v>
      </c>
      <c r="C49" s="125"/>
      <c r="D49" s="271"/>
      <c r="E49" s="125"/>
      <c r="F49" s="271"/>
      <c r="G49" s="126"/>
      <c r="H49" s="22"/>
      <c r="I49" s="22"/>
      <c r="J49" s="62" t="str">
        <f t="shared" si="4"/>
        <v/>
      </c>
      <c r="K49" s="63"/>
      <c r="L49" s="63"/>
      <c r="M49" s="64" t="str">
        <f t="shared" si="5"/>
        <v/>
      </c>
      <c r="N49" s="22"/>
      <c r="O49" s="22"/>
      <c r="P49" s="62" t="str">
        <f t="shared" si="6"/>
        <v/>
      </c>
      <c r="Q49" s="63"/>
      <c r="R49" s="63"/>
      <c r="S49" s="64" t="str">
        <f t="shared" si="7"/>
        <v/>
      </c>
      <c r="T49" s="65"/>
      <c r="U49" s="66"/>
      <c r="V49" s="18" t="str">
        <f>IF($C49="","",VLOOKUP($C49,#REF!,4,FALSE))</f>
        <v/>
      </c>
      <c r="W49" s="69" t="str">
        <f>IF($E49="","",VLOOKUP($E49,#REF!,4,FALSE))</f>
        <v/>
      </c>
      <c r="Y49"/>
      <c r="Z49"/>
      <c r="AA49"/>
      <c r="AB49"/>
      <c r="AC49"/>
      <c r="AD49"/>
      <c r="AE49"/>
      <c r="AF49"/>
      <c r="AG49"/>
      <c r="AH49"/>
      <c r="AI49"/>
    </row>
    <row r="50" spans="1:35" s="67" customFormat="1" ht="18" customHeight="1">
      <c r="A50" s="60"/>
      <c r="B50" s="109">
        <v>37</v>
      </c>
      <c r="C50" s="125"/>
      <c r="D50" s="271"/>
      <c r="E50" s="125"/>
      <c r="F50" s="271"/>
      <c r="G50" s="126"/>
      <c r="H50" s="22"/>
      <c r="I50" s="22"/>
      <c r="J50" s="62" t="str">
        <f t="shared" si="4"/>
        <v/>
      </c>
      <c r="K50" s="63"/>
      <c r="L50" s="63"/>
      <c r="M50" s="64" t="str">
        <f t="shared" si="5"/>
        <v/>
      </c>
      <c r="N50" s="22"/>
      <c r="O50" s="22"/>
      <c r="P50" s="62" t="str">
        <f t="shared" si="6"/>
        <v/>
      </c>
      <c r="Q50" s="63"/>
      <c r="R50" s="63"/>
      <c r="S50" s="64" t="str">
        <f t="shared" si="7"/>
        <v/>
      </c>
      <c r="T50" s="65"/>
      <c r="U50" s="66"/>
      <c r="V50" s="18" t="str">
        <f>IF($C50="","",VLOOKUP($C50,#REF!,4,FALSE))</f>
        <v/>
      </c>
      <c r="W50" s="69" t="str">
        <f>IF($E50="","",VLOOKUP($E50,#REF!,4,FALSE))</f>
        <v/>
      </c>
      <c r="Y50"/>
      <c r="Z50"/>
      <c r="AA50"/>
      <c r="AB50"/>
      <c r="AC50"/>
      <c r="AD50"/>
      <c r="AE50"/>
      <c r="AF50"/>
      <c r="AG50"/>
      <c r="AH50"/>
      <c r="AI50"/>
    </row>
    <row r="51" spans="1:35" s="67" customFormat="1" ht="18" customHeight="1">
      <c r="A51" s="60"/>
      <c r="B51" s="109">
        <v>38</v>
      </c>
      <c r="C51" s="137"/>
      <c r="D51" s="271"/>
      <c r="E51" s="137"/>
      <c r="F51" s="271"/>
      <c r="G51" s="104"/>
      <c r="H51" s="22"/>
      <c r="I51" s="22"/>
      <c r="J51" s="62" t="str">
        <f t="shared" si="4"/>
        <v/>
      </c>
      <c r="K51" s="63"/>
      <c r="L51" s="63"/>
      <c r="M51" s="64" t="str">
        <f t="shared" si="5"/>
        <v/>
      </c>
      <c r="N51" s="22"/>
      <c r="O51" s="22"/>
      <c r="P51" s="62" t="str">
        <f t="shared" si="6"/>
        <v/>
      </c>
      <c r="Q51" s="63"/>
      <c r="R51" s="63"/>
      <c r="S51" s="64" t="str">
        <f t="shared" si="7"/>
        <v/>
      </c>
      <c r="T51" s="65"/>
      <c r="U51" s="66"/>
      <c r="V51" s="18" t="str">
        <f>IF($C51="","",VLOOKUP($C51,#REF!,4,FALSE))</f>
        <v/>
      </c>
      <c r="W51" s="69" t="str">
        <f>IF($E51="","",VLOOKUP($E51,#REF!,4,FALSE))</f>
        <v/>
      </c>
      <c r="Y51"/>
      <c r="Z51"/>
      <c r="AA51"/>
      <c r="AB51"/>
      <c r="AC51"/>
      <c r="AD51"/>
      <c r="AE51"/>
      <c r="AF51"/>
      <c r="AG51"/>
      <c r="AH51"/>
      <c r="AI51"/>
    </row>
    <row r="52" spans="1:35" s="67" customFormat="1" ht="18" customHeight="1">
      <c r="A52" s="60"/>
      <c r="B52" s="109">
        <v>39</v>
      </c>
      <c r="C52" s="137"/>
      <c r="D52" s="271"/>
      <c r="E52" s="133"/>
      <c r="F52" s="283"/>
      <c r="G52" s="104"/>
      <c r="H52" s="22"/>
      <c r="I52" s="22"/>
      <c r="J52" s="62" t="str">
        <f t="shared" si="4"/>
        <v/>
      </c>
      <c r="K52" s="63"/>
      <c r="L52" s="63"/>
      <c r="M52" s="64" t="str">
        <f t="shared" si="5"/>
        <v/>
      </c>
      <c r="N52" s="22"/>
      <c r="O52" s="22"/>
      <c r="P52" s="62" t="str">
        <f t="shared" si="6"/>
        <v/>
      </c>
      <c r="Q52" s="63"/>
      <c r="R52" s="63"/>
      <c r="S52" s="64" t="str">
        <f t="shared" si="7"/>
        <v/>
      </c>
      <c r="T52" s="65"/>
      <c r="U52" s="66"/>
      <c r="V52" s="18" t="str">
        <f>IF($C52="","",VLOOKUP($C52,#REF!,4,FALSE))</f>
        <v/>
      </c>
      <c r="W52" s="69" t="str">
        <f>IF($E52="","",VLOOKUP($E52,#REF!,4,FALSE))</f>
        <v/>
      </c>
      <c r="Y52"/>
      <c r="Z52"/>
      <c r="AA52"/>
      <c r="AB52"/>
      <c r="AC52"/>
      <c r="AD52"/>
      <c r="AE52"/>
      <c r="AF52"/>
      <c r="AG52"/>
      <c r="AH52"/>
      <c r="AI52"/>
    </row>
    <row r="53" spans="1:35" s="67" customFormat="1" ht="18" customHeight="1">
      <c r="A53" s="60"/>
      <c r="B53" s="109">
        <v>40</v>
      </c>
      <c r="C53" s="137"/>
      <c r="D53" s="271"/>
      <c r="E53" s="135"/>
      <c r="F53" s="293"/>
      <c r="G53" s="143"/>
      <c r="H53" s="22"/>
      <c r="I53" s="22"/>
      <c r="J53" s="62" t="str">
        <f t="shared" si="4"/>
        <v/>
      </c>
      <c r="K53" s="63"/>
      <c r="L53" s="63"/>
      <c r="M53" s="64" t="str">
        <f t="shared" si="5"/>
        <v/>
      </c>
      <c r="N53" s="22"/>
      <c r="O53" s="22"/>
      <c r="P53" s="62" t="str">
        <f t="shared" si="6"/>
        <v/>
      </c>
      <c r="Q53" s="63"/>
      <c r="R53" s="63"/>
      <c r="S53" s="64" t="str">
        <f t="shared" si="7"/>
        <v/>
      </c>
      <c r="T53" s="65"/>
      <c r="U53" s="66"/>
      <c r="V53" s="18" t="str">
        <f>IF($C53="","",VLOOKUP($C53,#REF!,4,FALSE))</f>
        <v/>
      </c>
      <c r="W53" s="69" t="str">
        <f>IF($E53="","",VLOOKUP($E53,#REF!,4,FALSE))</f>
        <v/>
      </c>
      <c r="Y53"/>
      <c r="Z53"/>
      <c r="AA53"/>
      <c r="AB53"/>
      <c r="AC53"/>
      <c r="AD53"/>
      <c r="AE53"/>
      <c r="AF53"/>
      <c r="AG53"/>
      <c r="AH53"/>
      <c r="AI53"/>
    </row>
    <row r="54" spans="1:35" s="67" customFormat="1" ht="18" customHeight="1">
      <c r="A54" s="60"/>
      <c r="B54" s="109">
        <v>41</v>
      </c>
      <c r="C54" s="137"/>
      <c r="D54" s="271"/>
      <c r="E54" s="137"/>
      <c r="F54" s="279"/>
      <c r="G54" s="138"/>
      <c r="H54" s="22"/>
      <c r="I54" s="22"/>
      <c r="J54" s="62" t="str">
        <f t="shared" si="4"/>
        <v/>
      </c>
      <c r="K54" s="63"/>
      <c r="L54" s="63"/>
      <c r="M54" s="64" t="str">
        <f t="shared" si="5"/>
        <v/>
      </c>
      <c r="N54" s="22"/>
      <c r="O54" s="22"/>
      <c r="P54" s="62" t="str">
        <f t="shared" si="6"/>
        <v/>
      </c>
      <c r="Q54" s="63"/>
      <c r="R54" s="63"/>
      <c r="S54" s="64" t="str">
        <f t="shared" si="7"/>
        <v/>
      </c>
      <c r="T54" s="65"/>
      <c r="U54" s="66"/>
      <c r="V54" s="18" t="str">
        <f>IF($C54="","",VLOOKUP($C54,#REF!,4,FALSE))</f>
        <v/>
      </c>
      <c r="W54" s="69" t="str">
        <f>IF($E54="","",VLOOKUP($E54,#REF!,4,FALSE))</f>
        <v/>
      </c>
      <c r="Y54"/>
      <c r="Z54"/>
      <c r="AA54"/>
      <c r="AB54"/>
      <c r="AC54"/>
      <c r="AD54"/>
      <c r="AE54"/>
      <c r="AF54"/>
      <c r="AG54"/>
      <c r="AH54"/>
      <c r="AI54"/>
    </row>
    <row r="55" spans="1:35" s="67" customFormat="1" ht="18" customHeight="1">
      <c r="A55" s="60"/>
      <c r="B55" s="109">
        <v>42</v>
      </c>
      <c r="C55" s="137"/>
      <c r="D55" s="271"/>
      <c r="E55" s="137"/>
      <c r="F55" s="279"/>
      <c r="G55" s="138"/>
      <c r="H55" s="22"/>
      <c r="I55" s="22"/>
      <c r="J55" s="62" t="str">
        <f t="shared" si="4"/>
        <v/>
      </c>
      <c r="K55" s="63"/>
      <c r="L55" s="63"/>
      <c r="M55" s="64" t="str">
        <f t="shared" si="5"/>
        <v/>
      </c>
      <c r="N55" s="22"/>
      <c r="O55" s="22"/>
      <c r="P55" s="62" t="str">
        <f t="shared" si="6"/>
        <v/>
      </c>
      <c r="Q55" s="63"/>
      <c r="R55" s="63"/>
      <c r="S55" s="64" t="str">
        <f t="shared" si="7"/>
        <v/>
      </c>
      <c r="T55" s="65"/>
      <c r="U55" s="66"/>
      <c r="V55" s="18" t="str">
        <f>IF($C55="","",VLOOKUP($C55,#REF!,4,FALSE))</f>
        <v/>
      </c>
      <c r="W55" s="69" t="str">
        <f>IF($E55="","",VLOOKUP($E55,#REF!,4,FALSE))</f>
        <v/>
      </c>
      <c r="Y55"/>
      <c r="Z55"/>
      <c r="AA55"/>
      <c r="AB55"/>
      <c r="AC55"/>
      <c r="AD55"/>
      <c r="AE55"/>
      <c r="AF55"/>
      <c r="AG55"/>
      <c r="AH55"/>
      <c r="AI55"/>
    </row>
    <row r="56" spans="1:35" s="67" customFormat="1" ht="18" customHeight="1">
      <c r="A56" s="60"/>
      <c r="B56" s="109">
        <v>43</v>
      </c>
      <c r="C56" s="137"/>
      <c r="D56" s="271"/>
      <c r="E56" s="137"/>
      <c r="F56" s="279"/>
      <c r="G56" s="138"/>
      <c r="H56" s="22"/>
      <c r="I56" s="22"/>
      <c r="J56" s="62" t="str">
        <f t="shared" si="4"/>
        <v/>
      </c>
      <c r="K56" s="63"/>
      <c r="L56" s="63"/>
      <c r="M56" s="64" t="str">
        <f t="shared" si="5"/>
        <v/>
      </c>
      <c r="N56" s="22"/>
      <c r="O56" s="22"/>
      <c r="P56" s="62" t="str">
        <f t="shared" si="6"/>
        <v/>
      </c>
      <c r="Q56" s="63"/>
      <c r="R56" s="63"/>
      <c r="S56" s="64" t="str">
        <f t="shared" si="7"/>
        <v/>
      </c>
      <c r="T56" s="65"/>
      <c r="U56" s="66"/>
      <c r="V56" s="18" t="str">
        <f>IF($C56="","",VLOOKUP($C56,#REF!,4,FALSE))</f>
        <v/>
      </c>
      <c r="W56" s="69" t="str">
        <f>IF($E56="","",VLOOKUP($E56,#REF!,4,FALSE))</f>
        <v/>
      </c>
      <c r="Y56"/>
      <c r="Z56"/>
      <c r="AA56"/>
      <c r="AB56"/>
      <c r="AC56"/>
      <c r="AD56"/>
      <c r="AE56"/>
      <c r="AF56"/>
      <c r="AG56"/>
      <c r="AH56"/>
      <c r="AI56"/>
    </row>
    <row r="57" spans="1:35" s="67" customFormat="1" ht="18" customHeight="1">
      <c r="A57" s="60"/>
      <c r="B57" s="109">
        <v>44</v>
      </c>
      <c r="C57" s="137"/>
      <c r="D57" s="271"/>
      <c r="E57" s="137"/>
      <c r="F57" s="279"/>
      <c r="G57" s="138"/>
      <c r="H57" s="22"/>
      <c r="I57" s="22"/>
      <c r="J57" s="62" t="str">
        <f t="shared" si="4"/>
        <v/>
      </c>
      <c r="K57" s="63"/>
      <c r="L57" s="63"/>
      <c r="M57" s="64" t="str">
        <f t="shared" si="5"/>
        <v/>
      </c>
      <c r="N57" s="22"/>
      <c r="O57" s="22"/>
      <c r="P57" s="62" t="str">
        <f t="shared" si="6"/>
        <v/>
      </c>
      <c r="Q57" s="63"/>
      <c r="R57" s="63"/>
      <c r="S57" s="64" t="str">
        <f t="shared" si="7"/>
        <v/>
      </c>
      <c r="T57" s="65"/>
      <c r="U57" s="66"/>
      <c r="V57" s="18" t="str">
        <f>IF($C57="","",VLOOKUP($C57,#REF!,4,FALSE))</f>
        <v/>
      </c>
      <c r="W57" s="69" t="str">
        <f>IF($E57="","",VLOOKUP($E57,#REF!,4,FALSE))</f>
        <v/>
      </c>
      <c r="Y57"/>
      <c r="Z57"/>
      <c r="AA57"/>
      <c r="AB57"/>
      <c r="AC57"/>
      <c r="AD57"/>
      <c r="AE57"/>
      <c r="AF57"/>
      <c r="AG57"/>
      <c r="AH57"/>
      <c r="AI57"/>
    </row>
    <row r="58" spans="1:35" s="67" customFormat="1" ht="18" customHeight="1">
      <c r="A58" s="60"/>
      <c r="B58" s="109">
        <v>45</v>
      </c>
      <c r="C58" s="137"/>
      <c r="D58" s="271"/>
      <c r="E58" s="137"/>
      <c r="F58" s="279"/>
      <c r="G58" s="138"/>
      <c r="H58" s="22"/>
      <c r="I58" s="22"/>
      <c r="J58" s="62" t="str">
        <f t="shared" si="4"/>
        <v/>
      </c>
      <c r="K58" s="63"/>
      <c r="L58" s="63"/>
      <c r="M58" s="64" t="str">
        <f t="shared" si="5"/>
        <v/>
      </c>
      <c r="N58" s="22"/>
      <c r="O58" s="22"/>
      <c r="P58" s="62" t="str">
        <f t="shared" si="6"/>
        <v/>
      </c>
      <c r="Q58" s="63"/>
      <c r="R58" s="63"/>
      <c r="S58" s="64" t="str">
        <f t="shared" si="7"/>
        <v/>
      </c>
      <c r="T58" s="65"/>
      <c r="U58" s="66"/>
      <c r="V58" s="18" t="str">
        <f>IF($C58="","",VLOOKUP($C58,#REF!,4,FALSE))</f>
        <v/>
      </c>
      <c r="W58" s="69" t="str">
        <f>IF($E58="","",VLOOKUP($E58,#REF!,4,FALSE))</f>
        <v/>
      </c>
      <c r="Y58"/>
      <c r="Z58"/>
      <c r="AA58"/>
      <c r="AB58"/>
      <c r="AC58"/>
      <c r="AD58"/>
      <c r="AE58"/>
      <c r="AF58"/>
      <c r="AG58"/>
      <c r="AH58"/>
      <c r="AI58"/>
    </row>
    <row r="59" spans="1:35" s="67" customFormat="1" ht="18" customHeight="1">
      <c r="A59" s="60"/>
      <c r="B59" s="109">
        <v>46</v>
      </c>
      <c r="C59" s="137"/>
      <c r="D59" s="271"/>
      <c r="E59" s="137"/>
      <c r="F59" s="279"/>
      <c r="G59" s="138"/>
      <c r="H59" s="22"/>
      <c r="I59" s="22"/>
      <c r="J59" s="62" t="str">
        <f t="shared" si="4"/>
        <v/>
      </c>
      <c r="K59" s="63"/>
      <c r="L59" s="63"/>
      <c r="M59" s="64" t="str">
        <f t="shared" si="5"/>
        <v/>
      </c>
      <c r="N59" s="22"/>
      <c r="O59" s="22"/>
      <c r="P59" s="62" t="str">
        <f t="shared" si="6"/>
        <v/>
      </c>
      <c r="Q59" s="63"/>
      <c r="R59" s="63"/>
      <c r="S59" s="64" t="str">
        <f t="shared" si="7"/>
        <v/>
      </c>
      <c r="T59" s="65"/>
      <c r="U59" s="66"/>
      <c r="V59" s="18" t="str">
        <f>IF($C59="","",VLOOKUP($C59,#REF!,4,FALSE))</f>
        <v/>
      </c>
      <c r="W59" s="69" t="str">
        <f>IF($E59="","",VLOOKUP($E59,#REF!,4,FALSE))</f>
        <v/>
      </c>
      <c r="Y59"/>
      <c r="Z59"/>
      <c r="AA59"/>
      <c r="AB59"/>
      <c r="AC59"/>
      <c r="AD59"/>
      <c r="AE59"/>
      <c r="AF59"/>
      <c r="AG59"/>
      <c r="AH59"/>
      <c r="AI59"/>
    </row>
    <row r="60" spans="1:35" s="67" customFormat="1" ht="18" customHeight="1">
      <c r="A60" s="60"/>
      <c r="B60" s="109">
        <v>47</v>
      </c>
      <c r="C60" s="137"/>
      <c r="D60" s="271"/>
      <c r="E60" s="137"/>
      <c r="F60" s="279"/>
      <c r="G60" s="138"/>
      <c r="H60" s="22"/>
      <c r="I60" s="22"/>
      <c r="J60" s="62" t="str">
        <f t="shared" si="4"/>
        <v/>
      </c>
      <c r="K60" s="63"/>
      <c r="L60" s="63"/>
      <c r="M60" s="64" t="str">
        <f t="shared" si="5"/>
        <v/>
      </c>
      <c r="N60" s="22"/>
      <c r="O60" s="22"/>
      <c r="P60" s="62" t="str">
        <f t="shared" si="6"/>
        <v/>
      </c>
      <c r="Q60" s="63"/>
      <c r="R60" s="63"/>
      <c r="S60" s="64" t="str">
        <f t="shared" si="7"/>
        <v/>
      </c>
      <c r="T60" s="65"/>
      <c r="U60" s="66"/>
      <c r="V60" s="18" t="str">
        <f>IF($C60="","",VLOOKUP($C60,#REF!,4,FALSE))</f>
        <v/>
      </c>
      <c r="W60" s="69" t="str">
        <f>IF($E60="","",VLOOKUP($E60,#REF!,4,FALSE))</f>
        <v/>
      </c>
      <c r="Y60"/>
      <c r="Z60"/>
      <c r="AA60"/>
      <c r="AB60"/>
      <c r="AC60"/>
      <c r="AD60"/>
      <c r="AE60"/>
      <c r="AF60"/>
      <c r="AG60"/>
      <c r="AH60"/>
      <c r="AI60"/>
    </row>
    <row r="61" spans="1:35" s="67" customFormat="1" ht="18" customHeight="1">
      <c r="A61" s="60"/>
      <c r="B61" s="109">
        <v>48</v>
      </c>
      <c r="C61" s="21"/>
      <c r="D61" s="275" t="s">
        <v>76</v>
      </c>
      <c r="E61" s="21"/>
      <c r="F61" s="282" t="s">
        <v>76</v>
      </c>
      <c r="G61" s="23"/>
      <c r="H61" s="22"/>
      <c r="I61" s="22"/>
      <c r="J61" s="62" t="str">
        <f t="shared" si="4"/>
        <v/>
      </c>
      <c r="K61" s="63"/>
      <c r="L61" s="63"/>
      <c r="M61" s="64" t="str">
        <f t="shared" si="5"/>
        <v/>
      </c>
      <c r="N61" s="22"/>
      <c r="O61" s="22"/>
      <c r="P61" s="62" t="str">
        <f t="shared" si="6"/>
        <v/>
      </c>
      <c r="Q61" s="63"/>
      <c r="R61" s="63"/>
      <c r="S61" s="64" t="str">
        <f t="shared" si="7"/>
        <v/>
      </c>
      <c r="T61" s="65"/>
      <c r="U61" s="66"/>
      <c r="V61" s="18" t="str">
        <f>IF($C61="","",VLOOKUP($C61,#REF!,4,FALSE))</f>
        <v/>
      </c>
      <c r="W61" s="69" t="str">
        <f>IF($E61="","",VLOOKUP($E61,#REF!,4,FALSE))</f>
        <v/>
      </c>
      <c r="Y61"/>
      <c r="Z61"/>
      <c r="AA61"/>
      <c r="AB61"/>
      <c r="AC61"/>
      <c r="AD61"/>
      <c r="AE61"/>
      <c r="AF61"/>
      <c r="AG61"/>
      <c r="AH61"/>
      <c r="AI61"/>
    </row>
    <row r="62" spans="1:35" s="67" customFormat="1" ht="18" customHeight="1">
      <c r="A62" s="60"/>
      <c r="B62" s="109">
        <v>49</v>
      </c>
      <c r="C62" s="21"/>
      <c r="D62" s="275" t="s">
        <v>76</v>
      </c>
      <c r="E62" s="21"/>
      <c r="F62" s="282" t="s">
        <v>76</v>
      </c>
      <c r="G62" s="23"/>
      <c r="H62" s="22"/>
      <c r="I62" s="22"/>
      <c r="J62" s="62" t="str">
        <f t="shared" si="4"/>
        <v/>
      </c>
      <c r="K62" s="63"/>
      <c r="L62" s="63"/>
      <c r="M62" s="64" t="str">
        <f t="shared" si="5"/>
        <v/>
      </c>
      <c r="N62" s="22"/>
      <c r="O62" s="22"/>
      <c r="P62" s="62" t="str">
        <f t="shared" si="6"/>
        <v/>
      </c>
      <c r="Q62" s="63"/>
      <c r="R62" s="63"/>
      <c r="S62" s="64" t="str">
        <f t="shared" si="7"/>
        <v/>
      </c>
      <c r="T62" s="65"/>
      <c r="U62" s="66"/>
      <c r="V62" s="18" t="str">
        <f>IF($C62="","",VLOOKUP($C62,#REF!,4,FALSE))</f>
        <v/>
      </c>
      <c r="W62" s="69" t="str">
        <f>IF($E62="","",VLOOKUP($E62,#REF!,4,FALSE))</f>
        <v/>
      </c>
      <c r="Y62"/>
      <c r="Z62"/>
      <c r="AA62"/>
      <c r="AB62"/>
      <c r="AC62"/>
      <c r="AD62"/>
      <c r="AE62"/>
      <c r="AF62"/>
      <c r="AG62"/>
      <c r="AH62"/>
      <c r="AI62"/>
    </row>
    <row r="63" spans="1:35" s="67" customFormat="1" ht="18" customHeight="1">
      <c r="A63" s="60"/>
      <c r="B63" s="109">
        <v>50</v>
      </c>
      <c r="C63" s="21"/>
      <c r="D63" s="275" t="s">
        <v>76</v>
      </c>
      <c r="E63" s="21"/>
      <c r="F63" s="282" t="s">
        <v>76</v>
      </c>
      <c r="G63" s="23"/>
      <c r="H63" s="22"/>
      <c r="I63" s="22"/>
      <c r="J63" s="62" t="str">
        <f t="shared" si="4"/>
        <v/>
      </c>
      <c r="K63" s="63"/>
      <c r="L63" s="63"/>
      <c r="M63" s="64" t="str">
        <f t="shared" si="5"/>
        <v/>
      </c>
      <c r="N63" s="22"/>
      <c r="O63" s="22"/>
      <c r="P63" s="62" t="str">
        <f t="shared" si="6"/>
        <v/>
      </c>
      <c r="Q63" s="63"/>
      <c r="R63" s="63"/>
      <c r="S63" s="64" t="str">
        <f t="shared" si="7"/>
        <v/>
      </c>
      <c r="T63" s="65"/>
      <c r="U63" s="66"/>
      <c r="V63" s="18" t="str">
        <f>IF($C63="","",VLOOKUP($C63,#REF!,4,FALSE))</f>
        <v/>
      </c>
      <c r="W63" s="69" t="str">
        <f>IF($E63="","",VLOOKUP($E63,#REF!,4,FALSE))</f>
        <v/>
      </c>
      <c r="Y63"/>
      <c r="Z63"/>
      <c r="AA63"/>
      <c r="AB63"/>
      <c r="AC63"/>
      <c r="AD63"/>
      <c r="AE63"/>
      <c r="AF63"/>
      <c r="AG63"/>
      <c r="AH63"/>
      <c r="AI63"/>
    </row>
    <row r="64" spans="1:35" s="67" customFormat="1" ht="18" customHeight="1">
      <c r="A64" s="60"/>
      <c r="B64" s="109">
        <v>51</v>
      </c>
      <c r="C64" s="21"/>
      <c r="D64" s="275" t="s">
        <v>76</v>
      </c>
      <c r="E64" s="21"/>
      <c r="F64" s="282" t="s">
        <v>76</v>
      </c>
      <c r="G64" s="23"/>
      <c r="H64" s="22"/>
      <c r="I64" s="22"/>
      <c r="J64" s="62" t="str">
        <f t="shared" si="4"/>
        <v/>
      </c>
      <c r="K64" s="63"/>
      <c r="L64" s="63"/>
      <c r="M64" s="64" t="str">
        <f t="shared" si="5"/>
        <v/>
      </c>
      <c r="N64" s="22"/>
      <c r="O64" s="22"/>
      <c r="P64" s="62" t="str">
        <f t="shared" si="6"/>
        <v/>
      </c>
      <c r="Q64" s="63"/>
      <c r="R64" s="63"/>
      <c r="S64" s="64" t="str">
        <f t="shared" si="7"/>
        <v/>
      </c>
      <c r="T64" s="65"/>
      <c r="U64" s="66"/>
      <c r="V64" s="18" t="str">
        <f>IF($C64="","",VLOOKUP($C64,#REF!,4,FALSE))</f>
        <v/>
      </c>
      <c r="W64" s="69" t="str">
        <f>IF($E64="","",VLOOKUP($E64,#REF!,4,FALSE))</f>
        <v/>
      </c>
      <c r="Y64"/>
      <c r="Z64"/>
      <c r="AA64"/>
      <c r="AB64"/>
      <c r="AC64"/>
      <c r="AD64"/>
      <c r="AE64"/>
      <c r="AF64"/>
      <c r="AG64"/>
      <c r="AH64"/>
      <c r="AI64"/>
    </row>
    <row r="65" spans="1:35" s="67" customFormat="1" ht="18" customHeight="1">
      <c r="A65" s="60"/>
      <c r="B65" s="109">
        <v>52</v>
      </c>
      <c r="C65" s="21"/>
      <c r="D65" s="275" t="s">
        <v>76</v>
      </c>
      <c r="E65" s="21"/>
      <c r="F65" s="282" t="s">
        <v>76</v>
      </c>
      <c r="G65" s="23"/>
      <c r="H65" s="22"/>
      <c r="I65" s="22"/>
      <c r="J65" s="62" t="str">
        <f t="shared" si="4"/>
        <v/>
      </c>
      <c r="K65" s="63"/>
      <c r="L65" s="63"/>
      <c r="M65" s="64" t="str">
        <f t="shared" si="5"/>
        <v/>
      </c>
      <c r="N65" s="22"/>
      <c r="O65" s="22"/>
      <c r="P65" s="62" t="str">
        <f t="shared" si="6"/>
        <v/>
      </c>
      <c r="Q65" s="63"/>
      <c r="R65" s="63"/>
      <c r="S65" s="64" t="str">
        <f t="shared" si="7"/>
        <v/>
      </c>
      <c r="T65" s="65"/>
      <c r="U65" s="66"/>
      <c r="V65" s="18" t="str">
        <f>IF($C65="","",VLOOKUP($C65,#REF!,4,FALSE))</f>
        <v/>
      </c>
      <c r="W65" s="69" t="str">
        <f>IF($E65="","",VLOOKUP($E65,#REF!,4,FALSE))</f>
        <v/>
      </c>
      <c r="Y65"/>
      <c r="Z65"/>
      <c r="AA65"/>
      <c r="AB65"/>
      <c r="AC65"/>
      <c r="AD65"/>
      <c r="AE65"/>
      <c r="AF65"/>
      <c r="AG65"/>
      <c r="AH65"/>
      <c r="AI65"/>
    </row>
    <row r="66" spans="1:35" s="67" customFormat="1" ht="18" customHeight="1">
      <c r="A66" s="60"/>
      <c r="B66" s="109">
        <v>53</v>
      </c>
      <c r="C66" s="21"/>
      <c r="D66" s="275" t="s">
        <v>76</v>
      </c>
      <c r="E66" s="21"/>
      <c r="F66" s="282" t="s">
        <v>76</v>
      </c>
      <c r="G66" s="23"/>
      <c r="H66" s="22"/>
      <c r="I66" s="22"/>
      <c r="J66" s="62" t="str">
        <f t="shared" si="4"/>
        <v/>
      </c>
      <c r="K66" s="63"/>
      <c r="L66" s="63"/>
      <c r="M66" s="64" t="str">
        <f t="shared" si="5"/>
        <v/>
      </c>
      <c r="N66" s="22"/>
      <c r="O66" s="22"/>
      <c r="P66" s="62" t="str">
        <f t="shared" si="6"/>
        <v/>
      </c>
      <c r="Q66" s="63"/>
      <c r="R66" s="63"/>
      <c r="S66" s="64" t="str">
        <f t="shared" si="7"/>
        <v/>
      </c>
      <c r="T66" s="65"/>
      <c r="U66" s="66"/>
      <c r="V66" s="18" t="str">
        <f>IF($C66="","",VLOOKUP($C66,#REF!,4,FALSE))</f>
        <v/>
      </c>
      <c r="W66" s="69" t="str">
        <f>IF($E66="","",VLOOKUP($E66,#REF!,4,FALSE))</f>
        <v/>
      </c>
      <c r="Y66"/>
      <c r="Z66"/>
      <c r="AA66"/>
      <c r="AB66"/>
      <c r="AC66"/>
      <c r="AD66"/>
      <c r="AE66"/>
      <c r="AF66"/>
      <c r="AG66"/>
      <c r="AH66"/>
      <c r="AI66"/>
    </row>
    <row r="67" spans="1:35" s="67" customFormat="1" ht="18" customHeight="1">
      <c r="A67" s="60"/>
      <c r="B67" s="109">
        <v>54</v>
      </c>
      <c r="C67" s="21"/>
      <c r="D67" s="275" t="s">
        <v>76</v>
      </c>
      <c r="E67" s="21"/>
      <c r="F67" s="282" t="s">
        <v>76</v>
      </c>
      <c r="G67" s="23"/>
      <c r="H67" s="22"/>
      <c r="I67" s="22"/>
      <c r="J67" s="62" t="str">
        <f t="shared" si="4"/>
        <v/>
      </c>
      <c r="K67" s="63"/>
      <c r="L67" s="63"/>
      <c r="M67" s="64" t="str">
        <f t="shared" si="5"/>
        <v/>
      </c>
      <c r="N67" s="22"/>
      <c r="O67" s="22"/>
      <c r="P67" s="62" t="str">
        <f t="shared" si="6"/>
        <v/>
      </c>
      <c r="Q67" s="63"/>
      <c r="R67" s="63"/>
      <c r="S67" s="64" t="str">
        <f t="shared" si="7"/>
        <v/>
      </c>
      <c r="T67" s="65"/>
      <c r="U67" s="66"/>
      <c r="V67" s="18" t="str">
        <f>IF($C67="","",VLOOKUP($C67,#REF!,4,FALSE))</f>
        <v/>
      </c>
      <c r="W67" s="69" t="str">
        <f>IF($E67="","",VLOOKUP($E67,#REF!,4,FALSE))</f>
        <v/>
      </c>
      <c r="Y67"/>
      <c r="Z67"/>
      <c r="AA67"/>
      <c r="AB67"/>
      <c r="AC67"/>
      <c r="AD67"/>
      <c r="AE67"/>
      <c r="AF67"/>
      <c r="AG67"/>
      <c r="AH67"/>
      <c r="AI67"/>
    </row>
    <row r="68" spans="1:35" s="67" customFormat="1" ht="18" customHeight="1">
      <c r="A68" s="60"/>
      <c r="B68" s="109">
        <v>55</v>
      </c>
      <c r="C68" s="21"/>
      <c r="D68" s="275" t="s">
        <v>76</v>
      </c>
      <c r="E68" s="21"/>
      <c r="F68" s="282" t="s">
        <v>76</v>
      </c>
      <c r="G68" s="23"/>
      <c r="H68" s="22"/>
      <c r="I68" s="22"/>
      <c r="J68" s="62" t="str">
        <f t="shared" si="4"/>
        <v/>
      </c>
      <c r="K68" s="63"/>
      <c r="L68" s="63"/>
      <c r="M68" s="64" t="str">
        <f t="shared" si="5"/>
        <v/>
      </c>
      <c r="N68" s="22"/>
      <c r="O68" s="22"/>
      <c r="P68" s="62" t="str">
        <f t="shared" si="6"/>
        <v/>
      </c>
      <c r="Q68" s="63"/>
      <c r="R68" s="63"/>
      <c r="S68" s="64" t="str">
        <f t="shared" si="7"/>
        <v/>
      </c>
      <c r="T68" s="65"/>
      <c r="U68" s="66"/>
      <c r="V68" s="18" t="str">
        <f>IF($C68="","",VLOOKUP($C68,#REF!,4,FALSE))</f>
        <v/>
      </c>
      <c r="W68" s="69" t="str">
        <f>IF($E68="","",VLOOKUP($E68,#REF!,4,FALSE))</f>
        <v/>
      </c>
      <c r="Y68"/>
      <c r="Z68"/>
      <c r="AA68"/>
      <c r="AB68"/>
      <c r="AC68"/>
      <c r="AD68"/>
      <c r="AE68"/>
      <c r="AF68"/>
      <c r="AG68"/>
      <c r="AH68"/>
      <c r="AI68"/>
    </row>
    <row r="69" spans="1:35" s="67" customFormat="1" ht="18" customHeight="1">
      <c r="A69" s="60"/>
      <c r="B69" s="109">
        <v>56</v>
      </c>
      <c r="C69" s="21"/>
      <c r="D69" s="275" t="s">
        <v>76</v>
      </c>
      <c r="E69" s="21"/>
      <c r="F69" s="282" t="s">
        <v>76</v>
      </c>
      <c r="G69" s="23"/>
      <c r="H69" s="22"/>
      <c r="I69" s="22"/>
      <c r="J69" s="62" t="str">
        <f t="shared" si="4"/>
        <v/>
      </c>
      <c r="K69" s="63"/>
      <c r="L69" s="63"/>
      <c r="M69" s="64" t="str">
        <f t="shared" si="5"/>
        <v/>
      </c>
      <c r="N69" s="22"/>
      <c r="O69" s="22"/>
      <c r="P69" s="62" t="str">
        <f t="shared" si="6"/>
        <v/>
      </c>
      <c r="Q69" s="63"/>
      <c r="R69" s="63"/>
      <c r="S69" s="64" t="str">
        <f t="shared" si="7"/>
        <v/>
      </c>
      <c r="T69" s="65"/>
      <c r="U69" s="66"/>
      <c r="V69" s="18" t="str">
        <f>IF($C69="","",VLOOKUP($C69,#REF!,4,FALSE))</f>
        <v/>
      </c>
      <c r="W69" s="69" t="str">
        <f>IF($E69="","",VLOOKUP($E69,#REF!,4,FALSE))</f>
        <v/>
      </c>
      <c r="Y69"/>
      <c r="Z69"/>
      <c r="AA69"/>
      <c r="AB69"/>
      <c r="AC69"/>
      <c r="AD69"/>
      <c r="AE69"/>
      <c r="AF69"/>
      <c r="AG69"/>
      <c r="AH69"/>
      <c r="AI69"/>
    </row>
    <row r="70" spans="1:35" s="67" customFormat="1" ht="18" customHeight="1">
      <c r="A70" s="60"/>
      <c r="B70" s="109">
        <v>57</v>
      </c>
      <c r="C70" s="21"/>
      <c r="D70" s="275" t="s">
        <v>76</v>
      </c>
      <c r="E70" s="21"/>
      <c r="F70" s="282" t="s">
        <v>76</v>
      </c>
      <c r="G70" s="23"/>
      <c r="H70" s="22"/>
      <c r="I70" s="22"/>
      <c r="J70" s="62" t="str">
        <f t="shared" si="4"/>
        <v/>
      </c>
      <c r="K70" s="63"/>
      <c r="L70" s="63"/>
      <c r="M70" s="64" t="str">
        <f t="shared" si="5"/>
        <v/>
      </c>
      <c r="N70" s="22"/>
      <c r="O70" s="22"/>
      <c r="P70" s="62" t="str">
        <f t="shared" si="6"/>
        <v/>
      </c>
      <c r="Q70" s="63"/>
      <c r="R70" s="63"/>
      <c r="S70" s="64" t="str">
        <f t="shared" si="7"/>
        <v/>
      </c>
      <c r="T70" s="65"/>
      <c r="U70" s="66"/>
      <c r="V70" s="18" t="str">
        <f>IF($C70="","",VLOOKUP($C70,#REF!,4,FALSE))</f>
        <v/>
      </c>
      <c r="W70" s="69" t="str">
        <f>IF($E70="","",VLOOKUP($E70,#REF!,4,FALSE))</f>
        <v/>
      </c>
      <c r="Y70"/>
      <c r="Z70"/>
      <c r="AA70"/>
      <c r="AB70"/>
      <c r="AC70"/>
      <c r="AD70"/>
      <c r="AE70"/>
      <c r="AF70"/>
      <c r="AG70"/>
      <c r="AH70"/>
      <c r="AI70"/>
    </row>
    <row r="71" spans="1:35" s="67" customFormat="1" ht="18" customHeight="1">
      <c r="A71" s="60"/>
      <c r="B71" s="109">
        <v>58</v>
      </c>
      <c r="C71" s="21"/>
      <c r="D71" s="275" t="s">
        <v>76</v>
      </c>
      <c r="E71" s="21"/>
      <c r="F71" s="282" t="s">
        <v>76</v>
      </c>
      <c r="G71" s="23"/>
      <c r="H71" s="22"/>
      <c r="I71" s="22"/>
      <c r="J71" s="62" t="str">
        <f t="shared" si="4"/>
        <v/>
      </c>
      <c r="K71" s="63"/>
      <c r="L71" s="63"/>
      <c r="M71" s="64" t="str">
        <f t="shared" si="5"/>
        <v/>
      </c>
      <c r="N71" s="22"/>
      <c r="O71" s="22"/>
      <c r="P71" s="62" t="str">
        <f t="shared" si="6"/>
        <v/>
      </c>
      <c r="Q71" s="63"/>
      <c r="R71" s="63"/>
      <c r="S71" s="64" t="str">
        <f t="shared" si="7"/>
        <v/>
      </c>
      <c r="T71" s="65"/>
      <c r="U71" s="66"/>
      <c r="V71" s="18" t="str">
        <f>IF($C71="","",VLOOKUP($C71,#REF!,4,FALSE))</f>
        <v/>
      </c>
      <c r="W71" s="69" t="str">
        <f>IF($E71="","",VLOOKUP($E71,#REF!,4,FALSE))</f>
        <v/>
      </c>
      <c r="Y71"/>
      <c r="Z71"/>
      <c r="AA71"/>
      <c r="AB71"/>
      <c r="AC71"/>
      <c r="AD71"/>
      <c r="AE71"/>
      <c r="AF71"/>
      <c r="AG71"/>
      <c r="AH71"/>
      <c r="AI71"/>
    </row>
    <row r="72" spans="1:35" s="67" customFormat="1" ht="18" customHeight="1">
      <c r="A72" s="60"/>
      <c r="B72" s="109">
        <v>59</v>
      </c>
      <c r="C72" s="21"/>
      <c r="D72" s="275" t="s">
        <v>76</v>
      </c>
      <c r="E72" s="21"/>
      <c r="F72" s="282" t="s">
        <v>76</v>
      </c>
      <c r="G72" s="23"/>
      <c r="H72" s="22"/>
      <c r="I72" s="22"/>
      <c r="J72" s="62" t="str">
        <f t="shared" si="4"/>
        <v/>
      </c>
      <c r="K72" s="63"/>
      <c r="L72" s="63"/>
      <c r="M72" s="64" t="str">
        <f t="shared" si="5"/>
        <v/>
      </c>
      <c r="N72" s="22"/>
      <c r="O72" s="22"/>
      <c r="P72" s="62" t="str">
        <f t="shared" si="6"/>
        <v/>
      </c>
      <c r="Q72" s="63"/>
      <c r="R72" s="63"/>
      <c r="S72" s="64" t="str">
        <f t="shared" si="7"/>
        <v/>
      </c>
      <c r="T72" s="65"/>
      <c r="U72" s="66"/>
      <c r="V72" s="18" t="str">
        <f>IF($C72="","",VLOOKUP($C72,#REF!,4,FALSE))</f>
        <v/>
      </c>
      <c r="W72" s="69" t="str">
        <f>IF($E72="","",VLOOKUP($E72,#REF!,4,FALSE))</f>
        <v/>
      </c>
      <c r="Y72"/>
      <c r="Z72"/>
      <c r="AA72"/>
      <c r="AB72"/>
      <c r="AC72"/>
      <c r="AD72"/>
      <c r="AE72"/>
      <c r="AF72"/>
      <c r="AG72"/>
      <c r="AH72"/>
      <c r="AI72"/>
    </row>
    <row r="73" spans="1:35" s="67" customFormat="1" ht="18" customHeight="1">
      <c r="A73" s="60"/>
      <c r="B73" s="109">
        <v>60</v>
      </c>
      <c r="C73" s="21"/>
      <c r="D73" s="275" t="s">
        <v>76</v>
      </c>
      <c r="E73" s="21"/>
      <c r="F73" s="282" t="s">
        <v>76</v>
      </c>
      <c r="G73" s="23"/>
      <c r="H73" s="22"/>
      <c r="I73" s="22"/>
      <c r="J73" s="62" t="str">
        <f t="shared" si="4"/>
        <v/>
      </c>
      <c r="K73" s="63"/>
      <c r="L73" s="63"/>
      <c r="M73" s="64" t="str">
        <f t="shared" si="5"/>
        <v/>
      </c>
      <c r="N73" s="22"/>
      <c r="O73" s="22"/>
      <c r="P73" s="62" t="str">
        <f t="shared" si="6"/>
        <v/>
      </c>
      <c r="Q73" s="63"/>
      <c r="R73" s="63"/>
      <c r="S73" s="64" t="str">
        <f t="shared" si="7"/>
        <v/>
      </c>
      <c r="T73" s="65"/>
      <c r="U73" s="66"/>
      <c r="V73" s="18" t="str">
        <f>IF($C73="","",VLOOKUP($C73,#REF!,4,FALSE))</f>
        <v/>
      </c>
      <c r="W73" s="69" t="str">
        <f>IF($E73="","",VLOOKUP($E73,#REF!,4,FALSE))</f>
        <v/>
      </c>
      <c r="Y73"/>
      <c r="Z73"/>
      <c r="AA73"/>
      <c r="AB73"/>
      <c r="AC73"/>
      <c r="AD73"/>
      <c r="AE73"/>
      <c r="AF73"/>
      <c r="AG73"/>
      <c r="AH73"/>
      <c r="AI73"/>
    </row>
    <row r="74" spans="1:35" s="67" customFormat="1" ht="18" customHeight="1">
      <c r="A74" s="60"/>
      <c r="B74" s="61"/>
      <c r="C74" s="21"/>
      <c r="D74" s="275" t="s">
        <v>76</v>
      </c>
      <c r="E74" s="21"/>
      <c r="F74" s="282" t="s">
        <v>76</v>
      </c>
      <c r="G74" s="23"/>
      <c r="H74" s="22"/>
      <c r="I74" s="22"/>
      <c r="J74" s="62" t="str">
        <f t="shared" si="4"/>
        <v/>
      </c>
      <c r="K74" s="63"/>
      <c r="L74" s="63"/>
      <c r="M74" s="64" t="str">
        <f t="shared" si="5"/>
        <v/>
      </c>
      <c r="N74" s="22"/>
      <c r="O74" s="22"/>
      <c r="P74" s="62" t="str">
        <f t="shared" si="6"/>
        <v/>
      </c>
      <c r="Q74" s="63"/>
      <c r="R74" s="63"/>
      <c r="S74" s="64" t="str">
        <f t="shared" si="7"/>
        <v/>
      </c>
      <c r="T74" s="65"/>
      <c r="U74" s="66"/>
      <c r="V74" s="18" t="str">
        <f>IF($C74="","",VLOOKUP($C74,#REF!,4,FALSE))</f>
        <v/>
      </c>
      <c r="W74" s="69" t="str">
        <f>IF($E74="","",VLOOKUP($E74,#REF!,4,FALSE))</f>
        <v/>
      </c>
      <c r="Y74"/>
      <c r="Z74"/>
      <c r="AA74"/>
      <c r="AB74"/>
      <c r="AC74"/>
      <c r="AD74"/>
      <c r="AE74"/>
      <c r="AF74"/>
      <c r="AG74"/>
      <c r="AH74"/>
      <c r="AI74"/>
    </row>
    <row r="75" spans="1:35" ht="18" customHeight="1">
      <c r="AE75"/>
      <c r="AF75"/>
      <c r="AG75"/>
      <c r="AH75"/>
      <c r="AI75"/>
    </row>
    <row r="76" spans="1:35" ht="18" customHeight="1">
      <c r="AE76"/>
      <c r="AF76"/>
      <c r="AG76"/>
      <c r="AH76"/>
      <c r="AI76"/>
    </row>
    <row r="77" spans="1:35" ht="18" customHeight="1">
      <c r="AE77"/>
      <c r="AF77"/>
      <c r="AG77"/>
      <c r="AH77"/>
      <c r="AI77"/>
    </row>
    <row r="78" spans="1:35" ht="18" customHeight="1">
      <c r="AE78"/>
      <c r="AF78"/>
      <c r="AG78"/>
      <c r="AH78"/>
      <c r="AI78"/>
    </row>
    <row r="79" spans="1:35" ht="18" customHeight="1">
      <c r="AE79"/>
      <c r="AF79"/>
      <c r="AG79"/>
      <c r="AH79"/>
      <c r="AI79"/>
    </row>
    <row r="80" spans="1:35" ht="18" customHeight="1">
      <c r="AE80"/>
      <c r="AF80"/>
      <c r="AG80"/>
      <c r="AH80"/>
      <c r="AI80"/>
    </row>
    <row r="81" spans="31:35" ht="18" customHeight="1">
      <c r="AE81"/>
      <c r="AF81"/>
      <c r="AG81"/>
      <c r="AH81"/>
      <c r="AI81"/>
    </row>
    <row r="82" spans="31:35" ht="18" customHeight="1">
      <c r="AE82"/>
      <c r="AF82"/>
      <c r="AG82"/>
      <c r="AH82"/>
      <c r="AI82"/>
    </row>
    <row r="83" spans="31:35" ht="18" customHeight="1">
      <c r="AE83"/>
      <c r="AF83"/>
      <c r="AG83"/>
      <c r="AH83"/>
      <c r="AI83"/>
    </row>
    <row r="84" spans="31:35" ht="18" customHeight="1">
      <c r="AE84"/>
      <c r="AF84"/>
      <c r="AG84"/>
      <c r="AH84"/>
      <c r="AI84"/>
    </row>
    <row r="85" spans="31:35" ht="18" customHeight="1">
      <c r="AE85"/>
      <c r="AF85"/>
      <c r="AG85"/>
      <c r="AH85"/>
      <c r="AI85"/>
    </row>
    <row r="86" spans="31:35" ht="18" customHeight="1">
      <c r="AE86"/>
      <c r="AF86"/>
      <c r="AG86"/>
      <c r="AH86"/>
      <c r="AI86"/>
    </row>
    <row r="87" spans="31:35" ht="18" customHeight="1">
      <c r="AE87"/>
      <c r="AF87"/>
      <c r="AG87"/>
      <c r="AH87"/>
      <c r="AI87"/>
    </row>
    <row r="88" spans="31:35" ht="18" customHeight="1">
      <c r="AE88"/>
      <c r="AF88"/>
      <c r="AG88"/>
      <c r="AH88"/>
      <c r="AI88"/>
    </row>
    <row r="89" spans="31:35" ht="18" customHeight="1">
      <c r="AE89"/>
      <c r="AF89"/>
      <c r="AG89"/>
      <c r="AH89"/>
      <c r="AI89"/>
    </row>
    <row r="90" spans="31:35" ht="18" customHeight="1">
      <c r="AE90"/>
      <c r="AF90"/>
      <c r="AG90"/>
      <c r="AH90"/>
      <c r="AI90"/>
    </row>
    <row r="91" spans="31:35" ht="18" customHeight="1">
      <c r="AE91"/>
      <c r="AF91"/>
      <c r="AG91"/>
      <c r="AH91"/>
      <c r="AI91"/>
    </row>
    <row r="92" spans="31:35" ht="18" customHeight="1">
      <c r="AE92"/>
      <c r="AF92"/>
      <c r="AG92"/>
      <c r="AH92"/>
      <c r="AI92"/>
    </row>
    <row r="93" spans="31:35" ht="18" customHeight="1">
      <c r="AE93"/>
      <c r="AF93"/>
      <c r="AG93"/>
      <c r="AH93"/>
      <c r="AI93"/>
    </row>
    <row r="94" spans="31:35" ht="18" customHeight="1">
      <c r="AE94"/>
      <c r="AF94"/>
      <c r="AG94"/>
      <c r="AH94"/>
      <c r="AI94"/>
    </row>
    <row r="95" spans="31:35" ht="18" customHeight="1">
      <c r="AE95"/>
      <c r="AF95"/>
      <c r="AG95"/>
      <c r="AH95"/>
      <c r="AI95"/>
    </row>
    <row r="96" spans="31:35" ht="18" customHeight="1">
      <c r="AE96"/>
      <c r="AF96"/>
      <c r="AG96"/>
      <c r="AH96"/>
      <c r="AI96"/>
    </row>
    <row r="97" spans="31:35" ht="18" customHeight="1">
      <c r="AE97"/>
      <c r="AF97"/>
      <c r="AG97"/>
      <c r="AH97"/>
      <c r="AI97"/>
    </row>
    <row r="127" spans="5:5" ht="18" customHeight="1">
      <c r="E127" s="20" ph="1"/>
    </row>
    <row r="138" spans="5:5" ht="18" customHeight="1">
      <c r="E138" s="20" ph="1"/>
    </row>
    <row r="154" spans="5:5" ht="18" customHeight="1">
      <c r="E154" s="20" ph="1"/>
    </row>
    <row r="155" spans="5:5" ht="18" customHeight="1">
      <c r="E155" s="20" ph="1"/>
    </row>
    <row r="174" spans="5:5" ht="18" customHeight="1">
      <c r="E174" s="20" ph="1"/>
    </row>
    <row r="182" spans="5:5" ht="18" customHeight="1">
      <c r="E182" s="20" ph="1"/>
    </row>
    <row r="183" spans="5:5" ht="18" customHeight="1">
      <c r="E183" s="20" ph="1"/>
    </row>
    <row r="197" spans="5:5" ht="18" customHeight="1">
      <c r="E197" s="20" ph="1"/>
    </row>
    <row r="199" spans="5:5" ht="18" customHeight="1">
      <c r="E199" s="20" ph="1"/>
    </row>
    <row r="200" spans="5:5" ht="18" customHeight="1">
      <c r="E200" s="20" ph="1"/>
    </row>
    <row r="201" spans="5:5" ht="18" customHeight="1">
      <c r="E201" s="20" ph="1"/>
    </row>
    <row r="202" spans="5:5" ht="18" customHeight="1">
      <c r="E202" s="20" ph="1"/>
    </row>
  </sheetData>
  <autoFilter ref="A13:W13" xr:uid="{00000000-0001-0000-0D00-000000000000}">
    <sortState xmlns:xlrd2="http://schemas.microsoft.com/office/spreadsheetml/2017/richdata2" ref="A14:W74">
      <sortCondition ref="B13"/>
    </sortState>
  </autoFilter>
  <sortState xmlns:xlrd2="http://schemas.microsoft.com/office/spreadsheetml/2017/richdata2" ref="A26:AI27">
    <sortCondition ref="B26:B27"/>
  </sortState>
  <phoneticPr fontId="10"/>
  <conditionalFormatting sqref="V14:V74">
    <cfRule type="cellIs" dxfId="33" priority="6" stopIfTrue="1" operator="notBetween">
      <formula>"A"</formula>
      <formula>"Ｂ"</formula>
    </cfRule>
  </conditionalFormatting>
  <conditionalFormatting sqref="W14:W74">
    <cfRule type="cellIs" dxfId="32" priority="5" stopIfTrue="1" operator="between">
      <formula>"-"</formula>
      <formula>"申請中"</formula>
    </cfRule>
  </conditionalFormatting>
  <conditionalFormatting sqref="Y45:Z73">
    <cfRule type="expression" dxfId="31" priority="2">
      <formula>Y45&lt;&gt;C45</formula>
    </cfRule>
  </conditionalFormatting>
  <conditionalFormatting sqref="AB45:AC73">
    <cfRule type="expression" dxfId="30" priority="1">
      <formula>AB45&lt;&gt;E45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GetJEFInfo">
                <anchor moveWithCells="1" sizeWithCells="1">
                  <from>
                    <xdr:col>23</xdr:col>
                    <xdr:colOff>419100</xdr:colOff>
                    <xdr:row>1</xdr:row>
                    <xdr:rowOff>175260</xdr:rowOff>
                  </from>
                  <to>
                    <xdr:col>25</xdr:col>
                    <xdr:colOff>640080</xdr:colOff>
                    <xdr:row>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2">
    <tabColor rgb="FFFFC000"/>
  </sheetPr>
  <dimension ref="A1:AD201"/>
  <sheetViews>
    <sheetView topLeftCell="A7" zoomScale="89" zoomScaleNormal="89" workbookViewId="0">
      <selection activeCell="I26" sqref="I26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24" width="9.6640625" style="20"/>
    <col min="29" max="16384" width="9.6640625" style="20"/>
  </cols>
  <sheetData>
    <row r="1" spans="1:30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Y1"/>
      <c r="Z1"/>
      <c r="AA1"/>
      <c r="AB1"/>
    </row>
    <row r="2" spans="1:30" s="25" customFormat="1" ht="18" customHeight="1">
      <c r="B2" s="26" t="s">
        <v>1</v>
      </c>
      <c r="C2" s="27"/>
      <c r="E2" s="26" t="s">
        <v>2</v>
      </c>
      <c r="F2" s="30"/>
      <c r="G2" s="175">
        <v>46277</v>
      </c>
      <c r="L2" s="28"/>
      <c r="N2" s="26" t="s">
        <v>3</v>
      </c>
      <c r="O2" s="29"/>
      <c r="P2" s="30"/>
      <c r="Q2" s="30"/>
      <c r="R2" s="30"/>
      <c r="S2" s="30"/>
      <c r="T2" s="30"/>
      <c r="Y2"/>
      <c r="Z2"/>
      <c r="AA2"/>
      <c r="AB2"/>
    </row>
    <row r="3" spans="1:30" s="25" customFormat="1" ht="18" customHeight="1">
      <c r="A3" s="31"/>
      <c r="B3" s="26" t="s">
        <v>4</v>
      </c>
      <c r="C3" s="71" t="s">
        <v>481</v>
      </c>
      <c r="D3" s="139"/>
      <c r="E3" s="139"/>
      <c r="F3" s="139"/>
      <c r="G3" s="139"/>
      <c r="Q3" s="26" t="s">
        <v>5</v>
      </c>
      <c r="R3" s="29"/>
      <c r="S3" s="30"/>
      <c r="T3" s="30"/>
      <c r="U3" s="32"/>
      <c r="Y3"/>
      <c r="Z3"/>
      <c r="AA3"/>
      <c r="AB3"/>
    </row>
    <row r="4" spans="1:30" s="25" customFormat="1" ht="18" customHeight="1">
      <c r="B4" s="26" t="s">
        <v>6</v>
      </c>
      <c r="C4" s="33">
        <v>14</v>
      </c>
      <c r="D4" s="25" t="s">
        <v>7</v>
      </c>
      <c r="E4" s="26" t="s">
        <v>8</v>
      </c>
      <c r="F4" s="276" t="s">
        <v>81</v>
      </c>
      <c r="G4" s="30"/>
      <c r="H4" s="72" t="s">
        <v>60</v>
      </c>
      <c r="J4" s="26" t="s">
        <v>9</v>
      </c>
      <c r="K4" s="34" t="s">
        <v>59</v>
      </c>
      <c r="N4" s="26" t="s">
        <v>10</v>
      </c>
      <c r="O4" s="35"/>
      <c r="Y4"/>
      <c r="Z4"/>
      <c r="AA4"/>
      <c r="AB4"/>
    </row>
    <row r="5" spans="1:30" s="25" customFormat="1" ht="18" customHeight="1">
      <c r="C5" s="26" t="s">
        <v>11</v>
      </c>
      <c r="D5" s="27" t="s">
        <v>59</v>
      </c>
      <c r="E5" s="26" t="s">
        <v>12</v>
      </c>
      <c r="F5" s="36" t="s">
        <v>59</v>
      </c>
      <c r="G5" s="26" t="s">
        <v>13</v>
      </c>
      <c r="H5" s="70"/>
      <c r="I5" s="36"/>
      <c r="J5" s="37" t="s">
        <v>14</v>
      </c>
      <c r="K5" s="38"/>
      <c r="L5" s="26" t="s">
        <v>15</v>
      </c>
      <c r="M5" s="39"/>
      <c r="O5" s="26" t="s">
        <v>16</v>
      </c>
      <c r="P5" s="39"/>
      <c r="R5" s="26" t="s">
        <v>17</v>
      </c>
      <c r="S5" s="39"/>
      <c r="Y5"/>
      <c r="Z5"/>
      <c r="AA5"/>
      <c r="AB5"/>
    </row>
    <row r="6" spans="1:30" s="25" customFormat="1" ht="35.1" customHeight="1">
      <c r="C6" s="40" t="s">
        <v>18</v>
      </c>
      <c r="D6" s="269" t="s">
        <v>40</v>
      </c>
      <c r="E6" s="26" t="s">
        <v>19</v>
      </c>
      <c r="F6" s="277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  <c r="Y6"/>
      <c r="Z6"/>
      <c r="AA6"/>
      <c r="AB6"/>
    </row>
    <row r="7" spans="1:30" s="25" customFormat="1" ht="15" customHeight="1">
      <c r="A7" s="26" t="s">
        <v>69</v>
      </c>
      <c r="B7" s="74" t="s">
        <v>0</v>
      </c>
      <c r="C7" s="77"/>
      <c r="D7" s="26" t="s">
        <v>70</v>
      </c>
      <c r="E7" s="75"/>
      <c r="F7" s="32"/>
      <c r="I7" s="26"/>
      <c r="J7" s="37"/>
      <c r="K7" s="32"/>
      <c r="L7" s="26"/>
      <c r="M7" s="32"/>
      <c r="N7" s="26"/>
      <c r="O7" s="42"/>
      <c r="Q7" s="26"/>
      <c r="R7" s="43"/>
      <c r="Y7"/>
      <c r="Z7"/>
      <c r="AA7"/>
      <c r="AB7"/>
    </row>
    <row r="8" spans="1:30" s="25" customFormat="1" ht="15" customHeight="1">
      <c r="A8" s="26" t="s">
        <v>71</v>
      </c>
      <c r="B8" s="74" t="s">
        <v>0</v>
      </c>
      <c r="C8" s="73"/>
      <c r="D8" s="26" t="s">
        <v>70</v>
      </c>
      <c r="E8" s="76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  <c r="Y8"/>
      <c r="Z8"/>
      <c r="AA8"/>
      <c r="AB8"/>
    </row>
    <row r="9" spans="1:30" s="25" customFormat="1" ht="15" customHeight="1">
      <c r="A9" s="26" t="s">
        <v>72</v>
      </c>
      <c r="B9" s="74" t="s">
        <v>0</v>
      </c>
      <c r="C9" s="73"/>
      <c r="D9" s="26" t="s">
        <v>70</v>
      </c>
      <c r="E9" s="76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  <c r="Y9"/>
      <c r="Z9"/>
      <c r="AA9"/>
      <c r="AB9"/>
    </row>
    <row r="10" spans="1:30" s="25" customFormat="1" ht="15" customHeight="1">
      <c r="A10" s="26" t="s">
        <v>73</v>
      </c>
      <c r="B10" s="74" t="s">
        <v>0</v>
      </c>
      <c r="C10" s="73"/>
      <c r="D10" s="26" t="s">
        <v>70</v>
      </c>
      <c r="E10" s="76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  <c r="Y10"/>
      <c r="Z10"/>
      <c r="AA10"/>
      <c r="AB10"/>
    </row>
    <row r="11" spans="1:30" s="25" customFormat="1" ht="15" customHeight="1">
      <c r="A11" s="26" t="s">
        <v>74</v>
      </c>
      <c r="B11" s="74" t="s">
        <v>0</v>
      </c>
      <c r="C11" s="73"/>
      <c r="D11" s="26" t="s">
        <v>70</v>
      </c>
      <c r="E11" s="76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  <c r="Y11"/>
      <c r="Z11"/>
      <c r="AA11"/>
      <c r="AB11"/>
    </row>
    <row r="12" spans="1:30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51</v>
      </c>
      <c r="W12" s="15" t="s">
        <v>52</v>
      </c>
    </row>
    <row r="13" spans="1:30" ht="35.1" customHeight="1">
      <c r="A13" s="52" t="s">
        <v>24</v>
      </c>
      <c r="B13" s="113" t="s">
        <v>25</v>
      </c>
      <c r="C13" s="114" t="s">
        <v>26</v>
      </c>
      <c r="D13" s="289" t="s">
        <v>0</v>
      </c>
      <c r="E13" s="114" t="s">
        <v>27</v>
      </c>
      <c r="F13" s="289" t="s">
        <v>28</v>
      </c>
      <c r="G13" s="114" t="s">
        <v>29</v>
      </c>
      <c r="H13" s="115" t="s">
        <v>30</v>
      </c>
      <c r="I13" s="114" t="s">
        <v>31</v>
      </c>
      <c r="J13" s="115" t="s">
        <v>32</v>
      </c>
      <c r="K13" s="115" t="s">
        <v>33</v>
      </c>
      <c r="L13" s="115" t="s">
        <v>34</v>
      </c>
      <c r="M13" s="114" t="s">
        <v>35</v>
      </c>
      <c r="N13" s="55" t="s">
        <v>30</v>
      </c>
      <c r="O13" s="56" t="s">
        <v>31</v>
      </c>
      <c r="P13" s="55" t="s">
        <v>32</v>
      </c>
      <c r="Q13" s="55" t="s">
        <v>33</v>
      </c>
      <c r="R13" s="57" t="s">
        <v>36</v>
      </c>
      <c r="S13" s="58" t="s">
        <v>37</v>
      </c>
      <c r="T13" s="59" t="s">
        <v>38</v>
      </c>
      <c r="V13" s="15" t="s">
        <v>57</v>
      </c>
      <c r="W13" s="15" t="s">
        <v>58</v>
      </c>
      <c r="AC13"/>
      <c r="AD13"/>
    </row>
    <row r="14" spans="1:30" s="67" customFormat="1" ht="18" customHeight="1">
      <c r="A14" s="60"/>
      <c r="B14" s="86">
        <v>1</v>
      </c>
      <c r="C14" s="261" t="s">
        <v>733</v>
      </c>
      <c r="D14" s="313">
        <v>25255</v>
      </c>
      <c r="E14" s="262" t="s">
        <v>734</v>
      </c>
      <c r="F14" s="314" t="s">
        <v>501</v>
      </c>
      <c r="G14" s="87" t="s">
        <v>723</v>
      </c>
      <c r="H14" s="120"/>
      <c r="I14" s="120"/>
      <c r="J14" s="121" t="str">
        <f t="shared" ref="J14:J45" si="0">IF(H14="","",H14+I14)</f>
        <v/>
      </c>
      <c r="K14" s="109"/>
      <c r="L14" s="109"/>
      <c r="M14" s="122" t="str">
        <f t="shared" ref="M14:M45" si="1">IF(L14="","",K14+L14)</f>
        <v/>
      </c>
      <c r="N14" s="22"/>
      <c r="O14" s="22"/>
      <c r="P14" s="62" t="str">
        <f t="shared" ref="P14:P45" si="2">IF(N14="","",N14+O14)</f>
        <v/>
      </c>
      <c r="Q14" s="63"/>
      <c r="R14" s="63"/>
      <c r="S14" s="64" t="str">
        <f t="shared" ref="S14:S45" si="3">IF(R14="","",Q14+R14)</f>
        <v/>
      </c>
      <c r="T14" s="65"/>
      <c r="U14" s="66"/>
      <c r="V14" s="18" t="e">
        <f>IF($C14="","",VLOOKUP($C14,#REF!,4,FALSE))</f>
        <v>#REF!</v>
      </c>
      <c r="W14" s="69" t="e">
        <f>IF($E14="","",VLOOKUP($E14,#REF!,4,FALSE))</f>
        <v>#REF!</v>
      </c>
      <c r="Y14"/>
      <c r="Z14"/>
      <c r="AA14"/>
      <c r="AB14"/>
      <c r="AC14"/>
      <c r="AD14"/>
    </row>
    <row r="15" spans="1:30" s="67" customFormat="1" ht="18" customHeight="1">
      <c r="A15" s="60"/>
      <c r="B15" s="86">
        <v>2</v>
      </c>
      <c r="C15" s="255" t="s">
        <v>639</v>
      </c>
      <c r="D15" s="316">
        <v>30642</v>
      </c>
      <c r="E15" s="252" t="s">
        <v>640</v>
      </c>
      <c r="F15" s="319">
        <v>58902</v>
      </c>
      <c r="G15" s="188" t="s">
        <v>636</v>
      </c>
      <c r="H15" s="120"/>
      <c r="I15" s="120"/>
      <c r="J15" s="121" t="str">
        <f t="shared" si="0"/>
        <v/>
      </c>
      <c r="K15" s="109"/>
      <c r="L15" s="109"/>
      <c r="M15" s="122" t="str">
        <f t="shared" si="1"/>
        <v/>
      </c>
      <c r="N15" s="22"/>
      <c r="O15" s="22"/>
      <c r="P15" s="62" t="str">
        <f t="shared" si="2"/>
        <v/>
      </c>
      <c r="Q15" s="63"/>
      <c r="R15" s="63"/>
      <c r="S15" s="64" t="str">
        <f t="shared" si="3"/>
        <v/>
      </c>
      <c r="T15" s="65"/>
      <c r="U15" s="66"/>
      <c r="V15" s="18" t="e">
        <f>IF($C15="","",VLOOKUP($C15,#REF!,4,FALSE))</f>
        <v>#REF!</v>
      </c>
      <c r="W15" s="69" t="e">
        <f>IF($E15="","",VLOOKUP($E15,#REF!,4,FALSE))</f>
        <v>#REF!</v>
      </c>
      <c r="Y15"/>
      <c r="Z15"/>
      <c r="AA15"/>
      <c r="AB15"/>
      <c r="AC15"/>
      <c r="AD15"/>
    </row>
    <row r="16" spans="1:30" s="67" customFormat="1" ht="18" customHeight="1">
      <c r="A16" s="60" t="s">
        <v>704</v>
      </c>
      <c r="B16" s="86">
        <v>3</v>
      </c>
      <c r="C16" s="87" t="s">
        <v>514</v>
      </c>
      <c r="D16" s="273">
        <v>23529</v>
      </c>
      <c r="E16" s="88" t="s" ph="1">
        <v>518</v>
      </c>
      <c r="F16" s="280">
        <v>60111</v>
      </c>
      <c r="G16" s="130" t="s">
        <v>516</v>
      </c>
      <c r="H16" s="120"/>
      <c r="I16" s="120"/>
      <c r="J16" s="121" t="str">
        <f t="shared" si="0"/>
        <v/>
      </c>
      <c r="K16" s="109"/>
      <c r="L16" s="109"/>
      <c r="M16" s="122" t="str">
        <f t="shared" si="1"/>
        <v/>
      </c>
      <c r="N16" s="22"/>
      <c r="O16" s="22"/>
      <c r="P16" s="62" t="str">
        <f t="shared" si="2"/>
        <v/>
      </c>
      <c r="Q16" s="63"/>
      <c r="R16" s="63"/>
      <c r="S16" s="64" t="str">
        <f t="shared" si="3"/>
        <v/>
      </c>
      <c r="T16" s="65"/>
      <c r="U16" s="66"/>
      <c r="V16" s="18" t="e">
        <f>IF($C16="","",VLOOKUP($C16,#REF!,4,FALSE))</f>
        <v>#REF!</v>
      </c>
      <c r="W16" s="69" t="e">
        <f>IF($E16="","",VLOOKUP($E16,#REF!,4,FALSE))</f>
        <v>#REF!</v>
      </c>
      <c r="Y16"/>
      <c r="Z16"/>
      <c r="AA16"/>
      <c r="AB16"/>
      <c r="AC16"/>
      <c r="AD16"/>
    </row>
    <row r="17" spans="1:30" s="67" customFormat="1" ht="18" customHeight="1">
      <c r="A17" s="60" t="s">
        <v>704</v>
      </c>
      <c r="B17" s="86">
        <v>4</v>
      </c>
      <c r="C17" s="87" t="s">
        <v>403</v>
      </c>
      <c r="D17" s="273">
        <v>28809</v>
      </c>
      <c r="E17" s="88" t="s">
        <v>540</v>
      </c>
      <c r="F17" s="280">
        <v>55915</v>
      </c>
      <c r="G17" s="87" t="s">
        <v>537</v>
      </c>
      <c r="H17" s="120"/>
      <c r="I17" s="120"/>
      <c r="J17" s="121" t="str">
        <f t="shared" si="0"/>
        <v/>
      </c>
      <c r="K17" s="109"/>
      <c r="L17" s="109"/>
      <c r="M17" s="122" t="str">
        <f t="shared" si="1"/>
        <v/>
      </c>
      <c r="N17" s="22"/>
      <c r="O17" s="22"/>
      <c r="P17" s="62" t="str">
        <f t="shared" si="2"/>
        <v/>
      </c>
      <c r="Q17" s="63"/>
      <c r="R17" s="63"/>
      <c r="S17" s="64" t="str">
        <f t="shared" si="3"/>
        <v/>
      </c>
      <c r="T17" s="65"/>
      <c r="U17" s="66"/>
      <c r="V17" s="18" t="e">
        <f>IF($C17="","",VLOOKUP($C17,#REF!,4,FALSE))</f>
        <v>#REF!</v>
      </c>
      <c r="W17" s="69" t="e">
        <f>IF($E17="","",VLOOKUP($E17,#REF!,4,FALSE))</f>
        <v>#REF!</v>
      </c>
      <c r="Y17"/>
      <c r="Z17"/>
      <c r="AA17"/>
      <c r="AB17"/>
      <c r="AC17"/>
      <c r="AD17"/>
    </row>
    <row r="18" spans="1:30" s="67" customFormat="1" ht="18" customHeight="1">
      <c r="A18" s="60" t="s">
        <v>704</v>
      </c>
      <c r="B18" s="86">
        <v>5</v>
      </c>
      <c r="C18" s="137" t="s">
        <v>705</v>
      </c>
      <c r="D18" s="271">
        <v>4416</v>
      </c>
      <c r="E18" s="140" t="s">
        <v>513</v>
      </c>
      <c r="F18" s="294" t="s">
        <v>501</v>
      </c>
      <c r="G18" s="141" t="s">
        <v>658</v>
      </c>
      <c r="H18" s="22"/>
      <c r="I18" s="22"/>
      <c r="J18" s="62" t="str">
        <f t="shared" si="0"/>
        <v/>
      </c>
      <c r="K18" s="63"/>
      <c r="L18" s="63"/>
      <c r="M18" s="64" t="str">
        <f t="shared" si="1"/>
        <v/>
      </c>
      <c r="N18" s="22"/>
      <c r="O18" s="22"/>
      <c r="P18" s="62" t="str">
        <f t="shared" si="2"/>
        <v/>
      </c>
      <c r="Q18" s="63"/>
      <c r="R18" s="63"/>
      <c r="S18" s="64" t="str">
        <f t="shared" si="3"/>
        <v/>
      </c>
      <c r="T18" s="65"/>
      <c r="U18" s="66"/>
      <c r="V18" s="18" t="e">
        <f>IF($C18="","",VLOOKUP($C18,#REF!,4,FALSE))</f>
        <v>#REF!</v>
      </c>
      <c r="W18" s="69" t="e">
        <f>IF($E18="","",VLOOKUP($E18,#REF!,4,FALSE))</f>
        <v>#REF!</v>
      </c>
      <c r="Y18"/>
      <c r="Z18"/>
      <c r="AA18"/>
      <c r="AB18"/>
      <c r="AC18"/>
      <c r="AD18"/>
    </row>
    <row r="19" spans="1:30" s="67" customFormat="1" ht="18" customHeight="1">
      <c r="A19" s="60" t="s">
        <v>704</v>
      </c>
      <c r="B19" s="86">
        <v>6</v>
      </c>
      <c r="C19" s="125" t="s">
        <v>115</v>
      </c>
      <c r="D19" s="271">
        <v>12159</v>
      </c>
      <c r="E19" s="125" t="s">
        <v>523</v>
      </c>
      <c r="F19" s="271">
        <v>59064</v>
      </c>
      <c r="G19" s="124" t="s">
        <v>521</v>
      </c>
      <c r="H19" s="120"/>
      <c r="I19" s="120"/>
      <c r="J19" s="121" t="str">
        <f t="shared" si="0"/>
        <v/>
      </c>
      <c r="K19" s="109"/>
      <c r="L19" s="109"/>
      <c r="M19" s="122" t="str">
        <f t="shared" si="1"/>
        <v/>
      </c>
      <c r="N19" s="22"/>
      <c r="O19" s="22"/>
      <c r="P19" s="62" t="str">
        <f t="shared" si="2"/>
        <v/>
      </c>
      <c r="Q19" s="63"/>
      <c r="R19" s="63"/>
      <c r="S19" s="64" t="str">
        <f t="shared" si="3"/>
        <v/>
      </c>
      <c r="T19" s="65"/>
      <c r="U19" s="66"/>
      <c r="V19" s="18" t="e">
        <f>IF($C19="","",VLOOKUP($C19,#REF!,4,FALSE))</f>
        <v>#REF!</v>
      </c>
      <c r="W19" s="69" t="e">
        <f>IF($E19="","",VLOOKUP($E19,#REF!,4,FALSE))</f>
        <v>#REF!</v>
      </c>
      <c r="Y19"/>
      <c r="Z19"/>
      <c r="AA19"/>
      <c r="AB19"/>
      <c r="AC19"/>
      <c r="AD19"/>
    </row>
    <row r="20" spans="1:30" s="67" customFormat="1" ht="18" customHeight="1">
      <c r="A20" s="60" t="s">
        <v>642</v>
      </c>
      <c r="B20" s="86">
        <v>7</v>
      </c>
      <c r="C20" s="137" t="s">
        <v>619</v>
      </c>
      <c r="D20" s="271">
        <v>18717</v>
      </c>
      <c r="E20" s="253" t="s">
        <v>530</v>
      </c>
      <c r="F20" s="279" t="s">
        <v>531</v>
      </c>
      <c r="G20" s="138" t="s">
        <v>527</v>
      </c>
      <c r="H20" s="22"/>
      <c r="I20" s="22"/>
      <c r="J20" s="62" t="str">
        <f t="shared" si="0"/>
        <v/>
      </c>
      <c r="K20" s="63"/>
      <c r="L20" s="63"/>
      <c r="M20" s="64" t="str">
        <f t="shared" si="1"/>
        <v/>
      </c>
      <c r="N20" s="22"/>
      <c r="O20" s="22"/>
      <c r="P20" s="62" t="str">
        <f t="shared" si="2"/>
        <v/>
      </c>
      <c r="Q20" s="63"/>
      <c r="R20" s="63"/>
      <c r="S20" s="64" t="str">
        <f t="shared" si="3"/>
        <v/>
      </c>
      <c r="T20" s="65"/>
      <c r="U20" s="66"/>
      <c r="V20" s="18" t="e">
        <f>IF($C20="","",VLOOKUP($C20,#REF!,4,FALSE))</f>
        <v>#REF!</v>
      </c>
      <c r="W20" s="69" t="e">
        <f>IF($E20="","",VLOOKUP($E20,#REF!,4,FALSE))</f>
        <v>#REF!</v>
      </c>
      <c r="Y20"/>
      <c r="Z20"/>
      <c r="AA20"/>
      <c r="AB20"/>
      <c r="AC20"/>
      <c r="AD20"/>
    </row>
    <row r="21" spans="1:30" s="67" customFormat="1" ht="18" customHeight="1">
      <c r="A21" s="60" t="s">
        <v>704</v>
      </c>
      <c r="B21" s="86">
        <v>8</v>
      </c>
      <c r="C21" s="125" t="s">
        <v>626</v>
      </c>
      <c r="D21" s="271">
        <v>14546</v>
      </c>
      <c r="E21" s="125" t="s">
        <v>573</v>
      </c>
      <c r="F21" s="271">
        <v>60834</v>
      </c>
      <c r="G21" s="124" t="s">
        <v>574</v>
      </c>
      <c r="H21" s="120"/>
      <c r="I21" s="120"/>
      <c r="J21" s="121" t="str">
        <f t="shared" si="0"/>
        <v/>
      </c>
      <c r="K21" s="109"/>
      <c r="L21" s="109"/>
      <c r="M21" s="122" t="str">
        <f t="shared" si="1"/>
        <v/>
      </c>
      <c r="N21" s="22"/>
      <c r="O21" s="22"/>
      <c r="P21" s="62" t="str">
        <f t="shared" si="2"/>
        <v/>
      </c>
      <c r="Q21" s="63"/>
      <c r="R21" s="63"/>
      <c r="S21" s="64" t="str">
        <f t="shared" si="3"/>
        <v/>
      </c>
      <c r="T21" s="65"/>
      <c r="U21" s="66"/>
      <c r="V21" s="18" t="e">
        <f>IF($C21="","",VLOOKUP($C21,#REF!,4,FALSE))</f>
        <v>#REF!</v>
      </c>
      <c r="W21" s="69" t="e">
        <f>IF($E21="","",VLOOKUP($E21,#REF!,4,FALSE))</f>
        <v>#REF!</v>
      </c>
      <c r="Y21"/>
      <c r="Z21"/>
      <c r="AA21"/>
      <c r="AB21"/>
      <c r="AC21"/>
      <c r="AD21"/>
    </row>
    <row r="22" spans="1:30" s="67" customFormat="1" ht="18" customHeight="1">
      <c r="A22" s="60"/>
      <c r="B22" s="86">
        <v>9</v>
      </c>
      <c r="C22" s="133" t="s">
        <v>272</v>
      </c>
      <c r="D22" s="271">
        <v>26053</v>
      </c>
      <c r="E22" s="140" t="s">
        <v>557</v>
      </c>
      <c r="F22" s="294">
        <v>61561</v>
      </c>
      <c r="G22" s="141" t="s">
        <v>553</v>
      </c>
      <c r="H22" s="22"/>
      <c r="I22" s="22"/>
      <c r="J22" s="62" t="str">
        <f t="shared" si="0"/>
        <v/>
      </c>
      <c r="K22" s="63"/>
      <c r="L22" s="63"/>
      <c r="M22" s="64" t="str">
        <f t="shared" si="1"/>
        <v/>
      </c>
      <c r="N22" s="22"/>
      <c r="O22" s="22"/>
      <c r="P22" s="62" t="str">
        <f t="shared" si="2"/>
        <v/>
      </c>
      <c r="Q22" s="63"/>
      <c r="R22" s="63"/>
      <c r="S22" s="64" t="str">
        <f t="shared" si="3"/>
        <v/>
      </c>
      <c r="T22" s="65"/>
      <c r="U22" s="66"/>
      <c r="V22" s="18" t="e">
        <f>IF($C22="","",VLOOKUP($C22,#REF!,4,FALSE))</f>
        <v>#REF!</v>
      </c>
      <c r="W22" s="69" t="e">
        <f>IF($E22="","",VLOOKUP($E22,#REF!,4,FALSE))</f>
        <v>#REF!</v>
      </c>
      <c r="Y22"/>
      <c r="Z22"/>
      <c r="AA22"/>
      <c r="AB22"/>
      <c r="AC22"/>
      <c r="AD22"/>
    </row>
    <row r="23" spans="1:30" s="67" customFormat="1" ht="18" customHeight="1">
      <c r="A23" s="60"/>
      <c r="B23" s="86">
        <v>10</v>
      </c>
      <c r="C23" s="87" t="s">
        <v>706</v>
      </c>
      <c r="D23" s="273">
        <v>15774</v>
      </c>
      <c r="E23" s="88" t="s">
        <v>568</v>
      </c>
      <c r="F23" s="280">
        <v>59762</v>
      </c>
      <c r="G23" s="87" t="s">
        <v>567</v>
      </c>
      <c r="H23" s="120"/>
      <c r="I23" s="120"/>
      <c r="J23" s="121" t="str">
        <f t="shared" si="0"/>
        <v/>
      </c>
      <c r="K23" s="109"/>
      <c r="L23" s="109"/>
      <c r="M23" s="122" t="str">
        <f t="shared" si="1"/>
        <v/>
      </c>
      <c r="N23" s="22"/>
      <c r="O23" s="22"/>
      <c r="P23" s="62" t="str">
        <f t="shared" si="2"/>
        <v/>
      </c>
      <c r="Q23" s="63"/>
      <c r="R23" s="63"/>
      <c r="S23" s="64" t="str">
        <f t="shared" si="3"/>
        <v/>
      </c>
      <c r="T23" s="65"/>
      <c r="U23" s="66"/>
      <c r="V23" s="18" t="e">
        <f>IF($C23="","",VLOOKUP($C23,#REF!,4,FALSE))</f>
        <v>#REF!</v>
      </c>
      <c r="W23" s="69" t="e">
        <f>IF($E23="","",VLOOKUP($E23,#REF!,4,FALSE))</f>
        <v>#REF!</v>
      </c>
      <c r="Y23"/>
      <c r="Z23"/>
      <c r="AA23"/>
      <c r="AB23"/>
      <c r="AC23"/>
      <c r="AD23"/>
    </row>
    <row r="24" spans="1:30" s="67" customFormat="1" ht="18" customHeight="1">
      <c r="A24" s="60"/>
      <c r="B24" s="86">
        <v>11</v>
      </c>
      <c r="C24" s="87" t="s">
        <v>701</v>
      </c>
      <c r="D24" s="273">
        <v>34299</v>
      </c>
      <c r="E24" s="88" t="s">
        <v>703</v>
      </c>
      <c r="F24" s="280">
        <v>59843</v>
      </c>
      <c r="G24" s="102" t="s">
        <v>608</v>
      </c>
      <c r="H24" s="120"/>
      <c r="I24" s="120"/>
      <c r="J24" s="121" t="str">
        <f t="shared" si="0"/>
        <v/>
      </c>
      <c r="K24" s="109"/>
      <c r="L24" s="109"/>
      <c r="M24" s="122" t="str">
        <f t="shared" si="1"/>
        <v/>
      </c>
      <c r="N24" s="22"/>
      <c r="O24" s="22"/>
      <c r="P24" s="62" t="str">
        <f t="shared" si="2"/>
        <v/>
      </c>
      <c r="Q24" s="63"/>
      <c r="R24" s="63"/>
      <c r="S24" s="64" t="str">
        <f t="shared" si="3"/>
        <v/>
      </c>
      <c r="T24" s="65"/>
      <c r="U24" s="66"/>
      <c r="V24" s="18" t="e">
        <f>IF($C24="","",VLOOKUP($C24,#REF!,4,FALSE))</f>
        <v>#REF!</v>
      </c>
      <c r="W24" s="69" t="e">
        <f>IF($E24="","",VLOOKUP($E24,#REF!,4,FALSE))</f>
        <v>#REF!</v>
      </c>
      <c r="Y24"/>
      <c r="Z24"/>
      <c r="AA24"/>
      <c r="AB24"/>
      <c r="AC24"/>
      <c r="AD24"/>
    </row>
    <row r="25" spans="1:30" s="67" customFormat="1" ht="18" customHeight="1">
      <c r="A25" s="60"/>
      <c r="B25" s="86">
        <v>12</v>
      </c>
      <c r="C25" s="125" t="s">
        <v>707</v>
      </c>
      <c r="D25" s="271">
        <v>33843</v>
      </c>
      <c r="E25" s="125" t="s">
        <v>540</v>
      </c>
      <c r="F25" s="271">
        <v>55915</v>
      </c>
      <c r="G25" s="124" t="s">
        <v>537</v>
      </c>
      <c r="H25" s="120"/>
      <c r="I25" s="120"/>
      <c r="J25" s="121" t="str">
        <f t="shared" si="0"/>
        <v/>
      </c>
      <c r="K25" s="109"/>
      <c r="L25" s="109"/>
      <c r="M25" s="122" t="str">
        <f t="shared" si="1"/>
        <v/>
      </c>
      <c r="N25" s="22"/>
      <c r="O25" s="22"/>
      <c r="P25" s="62" t="str">
        <f t="shared" si="2"/>
        <v/>
      </c>
      <c r="Q25" s="63"/>
      <c r="R25" s="63"/>
      <c r="S25" s="64" t="str">
        <f t="shared" si="3"/>
        <v/>
      </c>
      <c r="T25" s="65"/>
      <c r="U25" s="66"/>
      <c r="V25" s="18" t="e">
        <f>IF($C25="","",VLOOKUP($C25,#REF!,4,FALSE))</f>
        <v>#REF!</v>
      </c>
      <c r="W25" s="69" t="e">
        <f>IF($E25="","",VLOOKUP($E25,#REF!,4,FALSE))</f>
        <v>#REF!</v>
      </c>
      <c r="Y25"/>
      <c r="Z25"/>
      <c r="AA25"/>
      <c r="AB25"/>
      <c r="AC25"/>
      <c r="AD25"/>
    </row>
    <row r="26" spans="1:30" s="67" customFormat="1" ht="18" customHeight="1">
      <c r="A26" s="60"/>
      <c r="B26" s="86">
        <v>13</v>
      </c>
      <c r="C26" s="87" t="s">
        <v>113</v>
      </c>
      <c r="D26" s="273">
        <v>19572</v>
      </c>
      <c r="E26" s="88" t="s">
        <v>632</v>
      </c>
      <c r="F26" s="280">
        <v>61394</v>
      </c>
      <c r="G26" s="87" t="s">
        <v>553</v>
      </c>
      <c r="H26" s="120"/>
      <c r="I26" s="120"/>
      <c r="J26" s="121" t="str">
        <f t="shared" si="0"/>
        <v/>
      </c>
      <c r="K26" s="109"/>
      <c r="L26" s="109"/>
      <c r="M26" s="122" t="str">
        <f t="shared" si="1"/>
        <v/>
      </c>
      <c r="N26" s="22"/>
      <c r="O26" s="22"/>
      <c r="P26" s="62" t="str">
        <f t="shared" si="2"/>
        <v/>
      </c>
      <c r="Q26" s="63"/>
      <c r="R26" s="63"/>
      <c r="S26" s="64" t="str">
        <f t="shared" si="3"/>
        <v/>
      </c>
      <c r="T26" s="65"/>
      <c r="U26" s="66"/>
      <c r="V26" s="18" t="e">
        <f>IF($C26="","",VLOOKUP($C26,#REF!,4,FALSE))</f>
        <v>#REF!</v>
      </c>
      <c r="W26" s="69" t="e">
        <f>IF($E26="","",VLOOKUP($E26,#REF!,4,FALSE))</f>
        <v>#REF!</v>
      </c>
      <c r="Y26"/>
      <c r="Z26"/>
      <c r="AA26"/>
      <c r="AB26"/>
      <c r="AC26"/>
      <c r="AD26"/>
    </row>
    <row r="27" spans="1:30" s="67" customFormat="1" ht="18" customHeight="1">
      <c r="A27" s="60"/>
      <c r="B27" s="86">
        <v>14</v>
      </c>
      <c r="C27" s="137" t="s">
        <v>708</v>
      </c>
      <c r="D27" s="271" t="s">
        <v>501</v>
      </c>
      <c r="E27" s="137" t="s">
        <v>545</v>
      </c>
      <c r="F27" s="279">
        <v>57887</v>
      </c>
      <c r="G27" s="138" t="s">
        <v>542</v>
      </c>
      <c r="H27" s="22"/>
      <c r="I27" s="22"/>
      <c r="J27" s="62" t="str">
        <f t="shared" si="0"/>
        <v/>
      </c>
      <c r="K27" s="63"/>
      <c r="L27" s="63"/>
      <c r="M27" s="64" t="str">
        <f t="shared" si="1"/>
        <v/>
      </c>
      <c r="N27" s="22"/>
      <c r="O27" s="22"/>
      <c r="P27" s="62" t="str">
        <f t="shared" si="2"/>
        <v/>
      </c>
      <c r="Q27" s="63"/>
      <c r="R27" s="63"/>
      <c r="S27" s="64" t="str">
        <f t="shared" si="3"/>
        <v/>
      </c>
      <c r="T27" s="65"/>
      <c r="U27" s="66"/>
      <c r="V27" s="18" t="e">
        <f>IF($C27="","",VLOOKUP($C27,#REF!,4,FALSE))</f>
        <v>#REF!</v>
      </c>
      <c r="W27" s="69" t="e">
        <f>IF($E27="","",VLOOKUP($E27,#REF!,4,FALSE))</f>
        <v>#REF!</v>
      </c>
      <c r="Y27"/>
      <c r="Z27"/>
      <c r="AA27"/>
      <c r="AB27"/>
      <c r="AC27"/>
      <c r="AD27"/>
    </row>
    <row r="28" spans="1:30" s="67" customFormat="1" ht="18" customHeight="1">
      <c r="A28" s="60"/>
      <c r="B28" s="86">
        <v>15</v>
      </c>
      <c r="C28" s="144" t="s">
        <v>633</v>
      </c>
      <c r="D28" s="279">
        <v>32428</v>
      </c>
      <c r="E28" s="254" t="s">
        <v>496</v>
      </c>
      <c r="F28" s="279">
        <v>60948</v>
      </c>
      <c r="G28" s="144" t="s">
        <v>492</v>
      </c>
      <c r="H28" s="22"/>
      <c r="I28" s="22"/>
      <c r="J28" s="62" t="str">
        <f t="shared" si="0"/>
        <v/>
      </c>
      <c r="K28" s="63"/>
      <c r="L28" s="63"/>
      <c r="M28" s="64" t="str">
        <f t="shared" si="1"/>
        <v/>
      </c>
      <c r="N28" s="22"/>
      <c r="O28" s="22"/>
      <c r="P28" s="62" t="str">
        <f t="shared" si="2"/>
        <v/>
      </c>
      <c r="Q28" s="63"/>
      <c r="R28" s="63"/>
      <c r="S28" s="64" t="str">
        <f t="shared" si="3"/>
        <v/>
      </c>
      <c r="T28" s="65"/>
      <c r="U28" s="66"/>
      <c r="V28" s="18" t="e">
        <f>IF($C28="","",VLOOKUP($C28,#REF!,4,FALSE))</f>
        <v>#REF!</v>
      </c>
      <c r="W28" s="69" t="e">
        <f>IF($E28="","",VLOOKUP($E28,#REF!,4,FALSE))</f>
        <v>#REF!</v>
      </c>
      <c r="Y28"/>
      <c r="Z28"/>
      <c r="AA28"/>
      <c r="AB28"/>
      <c r="AC28"/>
      <c r="AD28"/>
    </row>
    <row r="29" spans="1:30" s="67" customFormat="1" ht="18" customHeight="1">
      <c r="A29" s="60"/>
      <c r="B29" s="86">
        <v>16</v>
      </c>
      <c r="C29" s="125" t="s">
        <v>709</v>
      </c>
      <c r="D29" s="271" t="s">
        <v>501</v>
      </c>
      <c r="E29" s="220" t="s">
        <v>710</v>
      </c>
      <c r="F29" s="271">
        <v>58208</v>
      </c>
      <c r="G29" s="124" t="s">
        <v>608</v>
      </c>
      <c r="H29" s="22"/>
      <c r="I29" s="22"/>
      <c r="J29" s="62" t="str">
        <f t="shared" si="0"/>
        <v/>
      </c>
      <c r="K29" s="63"/>
      <c r="L29" s="63"/>
      <c r="M29" s="64" t="str">
        <f t="shared" si="1"/>
        <v/>
      </c>
      <c r="N29" s="22"/>
      <c r="O29" s="22"/>
      <c r="P29" s="62" t="str">
        <f t="shared" si="2"/>
        <v/>
      </c>
      <c r="Q29" s="63"/>
      <c r="R29" s="63"/>
      <c r="S29" s="64" t="str">
        <f t="shared" si="3"/>
        <v/>
      </c>
      <c r="T29" s="65"/>
      <c r="U29" s="66"/>
      <c r="V29" s="18" t="e">
        <f>IF($C29="","",VLOOKUP($C29,#REF!,4,FALSE))</f>
        <v>#REF!</v>
      </c>
      <c r="W29" s="69" t="e">
        <f>IF($E29="","",VLOOKUP($E29,#REF!,4,FALSE))</f>
        <v>#REF!</v>
      </c>
      <c r="Y29"/>
      <c r="Z29"/>
      <c r="AA29"/>
      <c r="AB29"/>
      <c r="AC29"/>
      <c r="AD29"/>
    </row>
    <row r="30" spans="1:30" s="67" customFormat="1" ht="18" customHeight="1">
      <c r="A30" s="60"/>
      <c r="B30" s="86">
        <v>17</v>
      </c>
      <c r="C30" s="87" t="s">
        <v>698</v>
      </c>
      <c r="D30" s="273">
        <v>32215</v>
      </c>
      <c r="E30" s="88" t="s">
        <v>518</v>
      </c>
      <c r="F30" s="280">
        <v>60111</v>
      </c>
      <c r="G30" s="87" t="s">
        <v>516</v>
      </c>
      <c r="H30" s="120"/>
      <c r="I30" s="120"/>
      <c r="J30" s="121" t="str">
        <f t="shared" si="0"/>
        <v/>
      </c>
      <c r="K30" s="109"/>
      <c r="L30" s="109"/>
      <c r="M30" s="122" t="str">
        <f t="shared" si="1"/>
        <v/>
      </c>
      <c r="N30" s="22"/>
      <c r="O30" s="22"/>
      <c r="P30" s="62" t="str">
        <f t="shared" si="2"/>
        <v/>
      </c>
      <c r="Q30" s="63"/>
      <c r="R30" s="63"/>
      <c r="S30" s="64" t="str">
        <f t="shared" si="3"/>
        <v/>
      </c>
      <c r="T30" s="65"/>
      <c r="U30" s="66"/>
      <c r="V30" s="18" t="e">
        <f>IF($C30="","",VLOOKUP($C30,#REF!,4,FALSE))</f>
        <v>#REF!</v>
      </c>
      <c r="W30" s="69" t="e">
        <f>IF($E30="","",VLOOKUP($E30,#REF!,4,FALSE))</f>
        <v>#REF!</v>
      </c>
      <c r="Y30"/>
      <c r="Z30"/>
      <c r="AA30"/>
      <c r="AB30"/>
      <c r="AC30"/>
      <c r="AD30"/>
    </row>
    <row r="31" spans="1:30" s="67" customFormat="1" ht="18" customHeight="1">
      <c r="A31" s="60"/>
      <c r="B31" s="86">
        <v>18</v>
      </c>
      <c r="C31" s="125" t="s">
        <v>535</v>
      </c>
      <c r="D31" s="271">
        <v>33610</v>
      </c>
      <c r="E31" s="125" t="s">
        <v>536</v>
      </c>
      <c r="F31" s="271">
        <v>61089</v>
      </c>
      <c r="G31" s="124" t="s">
        <v>527</v>
      </c>
      <c r="H31" s="120"/>
      <c r="I31" s="120"/>
      <c r="J31" s="121" t="str">
        <f t="shared" si="0"/>
        <v/>
      </c>
      <c r="K31" s="109"/>
      <c r="L31" s="109"/>
      <c r="M31" s="122" t="str">
        <f t="shared" si="1"/>
        <v/>
      </c>
      <c r="N31" s="22"/>
      <c r="O31" s="22"/>
      <c r="P31" s="62" t="str">
        <f t="shared" si="2"/>
        <v/>
      </c>
      <c r="Q31" s="63"/>
      <c r="R31" s="63"/>
      <c r="S31" s="64" t="str">
        <f t="shared" si="3"/>
        <v/>
      </c>
      <c r="T31" s="65"/>
      <c r="U31" s="66"/>
      <c r="V31" s="18" t="e">
        <f>IF($C31="","",VLOOKUP($C31,#REF!,4,FALSE))</f>
        <v>#REF!</v>
      </c>
      <c r="W31" s="69" t="e">
        <f>IF($E31="","",VLOOKUP($E31,#REF!,4,FALSE))</f>
        <v>#REF!</v>
      </c>
      <c r="Y31"/>
      <c r="Z31"/>
      <c r="AA31"/>
      <c r="AB31"/>
      <c r="AC31"/>
      <c r="AD31"/>
    </row>
    <row r="32" spans="1:30" s="67" customFormat="1" ht="18" customHeight="1">
      <c r="A32" s="60"/>
      <c r="B32" s="86">
        <v>19</v>
      </c>
      <c r="C32" s="87" t="s">
        <v>362</v>
      </c>
      <c r="D32" s="273">
        <v>12188</v>
      </c>
      <c r="E32" s="88" t="s">
        <v>711</v>
      </c>
      <c r="F32" s="280">
        <v>62119</v>
      </c>
      <c r="G32" s="102" t="s">
        <v>602</v>
      </c>
      <c r="H32" s="120"/>
      <c r="I32" s="120"/>
      <c r="J32" s="121" t="str">
        <f t="shared" si="0"/>
        <v/>
      </c>
      <c r="K32" s="109"/>
      <c r="L32" s="109"/>
      <c r="M32" s="122" t="str">
        <f t="shared" si="1"/>
        <v/>
      </c>
      <c r="N32" s="22"/>
      <c r="O32" s="22"/>
      <c r="P32" s="62" t="str">
        <f t="shared" si="2"/>
        <v/>
      </c>
      <c r="Q32" s="63"/>
      <c r="R32" s="63"/>
      <c r="S32" s="64" t="str">
        <f t="shared" si="3"/>
        <v/>
      </c>
      <c r="T32" s="65"/>
      <c r="U32" s="66"/>
      <c r="V32" s="18" t="e">
        <f>IF($C32="","",VLOOKUP($C32,#REF!,4,FALSE))</f>
        <v>#REF!</v>
      </c>
      <c r="W32" s="69" t="e">
        <f>IF($E32="","",VLOOKUP($E32,#REF!,4,FALSE))</f>
        <v>#REF!</v>
      </c>
      <c r="Y32"/>
      <c r="Z32"/>
      <c r="AA32"/>
      <c r="AB32"/>
      <c r="AC32"/>
      <c r="AD32"/>
    </row>
    <row r="33" spans="1:30" s="67" customFormat="1" ht="18" customHeight="1">
      <c r="A33" s="60"/>
      <c r="B33" s="86">
        <v>20</v>
      </c>
      <c r="C33" s="125" t="s">
        <v>622</v>
      </c>
      <c r="D33" s="271">
        <v>28816</v>
      </c>
      <c r="E33" s="125" t="s">
        <v>623</v>
      </c>
      <c r="F33" s="271">
        <v>58420</v>
      </c>
      <c r="G33" s="126" t="s">
        <v>559</v>
      </c>
      <c r="H33" s="120"/>
      <c r="I33" s="120"/>
      <c r="J33" s="121" t="str">
        <f t="shared" si="0"/>
        <v/>
      </c>
      <c r="K33" s="109"/>
      <c r="L33" s="109"/>
      <c r="M33" s="122" t="str">
        <f t="shared" si="1"/>
        <v/>
      </c>
      <c r="N33" s="22"/>
      <c r="O33" s="22"/>
      <c r="P33" s="62" t="str">
        <f t="shared" si="2"/>
        <v/>
      </c>
      <c r="Q33" s="63"/>
      <c r="R33" s="63"/>
      <c r="S33" s="64" t="str">
        <f t="shared" si="3"/>
        <v/>
      </c>
      <c r="T33" s="65"/>
      <c r="U33" s="66"/>
      <c r="V33" s="18" t="e">
        <f>IF($C33="","",VLOOKUP($C33,#REF!,4,FALSE))</f>
        <v>#REF!</v>
      </c>
      <c r="W33" s="69" t="e">
        <f>IF($E33="","",VLOOKUP($E33,#REF!,4,FALSE))</f>
        <v>#REF!</v>
      </c>
      <c r="Y33"/>
      <c r="Z33"/>
      <c r="AA33"/>
      <c r="AB33"/>
      <c r="AC33"/>
      <c r="AD33"/>
    </row>
    <row r="34" spans="1:30" s="67" customFormat="1" ht="18" customHeight="1">
      <c r="A34" s="60" t="s">
        <v>642</v>
      </c>
      <c r="B34" s="86">
        <v>21</v>
      </c>
      <c r="C34" s="103" t="s">
        <v>134</v>
      </c>
      <c r="D34" s="300">
        <v>13141</v>
      </c>
      <c r="E34" s="136" t="s">
        <v>712</v>
      </c>
      <c r="F34" s="306" t="s">
        <v>501</v>
      </c>
      <c r="G34" s="103" t="s">
        <v>607</v>
      </c>
      <c r="H34" s="120"/>
      <c r="I34" s="120"/>
      <c r="J34" s="121" t="str">
        <f t="shared" si="0"/>
        <v/>
      </c>
      <c r="K34" s="109"/>
      <c r="L34" s="109"/>
      <c r="M34" s="122" t="str">
        <f t="shared" si="1"/>
        <v/>
      </c>
      <c r="N34" s="22"/>
      <c r="O34" s="22"/>
      <c r="P34" s="62" t="str">
        <f t="shared" si="2"/>
        <v/>
      </c>
      <c r="Q34" s="63"/>
      <c r="R34" s="63"/>
      <c r="S34" s="64" t="str">
        <f t="shared" si="3"/>
        <v/>
      </c>
      <c r="T34" s="65"/>
      <c r="U34" s="66"/>
      <c r="V34" s="18" t="e">
        <f>IF($C34="","",VLOOKUP($C34,#REF!,4,FALSE))</f>
        <v>#REF!</v>
      </c>
      <c r="W34" s="69" t="e">
        <f>IF($E34="","",VLOOKUP($E34,#REF!,4,FALSE))</f>
        <v>#REF!</v>
      </c>
      <c r="Y34"/>
      <c r="Z34"/>
      <c r="AA34"/>
      <c r="AB34"/>
      <c r="AC34"/>
      <c r="AD34"/>
    </row>
    <row r="35" spans="1:30" s="67" customFormat="1" ht="18" customHeight="1">
      <c r="A35" s="60"/>
      <c r="B35" s="86">
        <v>22</v>
      </c>
      <c r="C35" s="193" t="s">
        <v>733</v>
      </c>
      <c r="D35" s="317">
        <v>25255</v>
      </c>
      <c r="E35" s="194" t="s">
        <v>735</v>
      </c>
      <c r="F35" s="320">
        <v>59824</v>
      </c>
      <c r="G35" s="195" t="s">
        <v>723</v>
      </c>
      <c r="H35" s="22"/>
      <c r="I35" s="22"/>
      <c r="J35" s="62" t="str">
        <f t="shared" si="0"/>
        <v/>
      </c>
      <c r="K35" s="63"/>
      <c r="L35" s="63"/>
      <c r="M35" s="64" t="str">
        <f t="shared" si="1"/>
        <v/>
      </c>
      <c r="N35" s="22"/>
      <c r="O35" s="22"/>
      <c r="P35" s="62" t="str">
        <f t="shared" si="2"/>
        <v/>
      </c>
      <c r="Q35" s="63"/>
      <c r="R35" s="63"/>
      <c r="S35" s="64" t="str">
        <f t="shared" si="3"/>
        <v/>
      </c>
      <c r="T35" s="65"/>
      <c r="U35" s="66"/>
      <c r="V35" s="18" t="e">
        <f>IF($C35="","",VLOOKUP($C35,#REF!,4,FALSE))</f>
        <v>#REF!</v>
      </c>
      <c r="W35" s="69" t="e">
        <f>IF($E35="","",VLOOKUP($E35,#REF!,4,FALSE))</f>
        <v>#REF!</v>
      </c>
      <c r="Y35"/>
      <c r="Z35"/>
      <c r="AA35"/>
      <c r="AB35"/>
      <c r="AC35"/>
      <c r="AD35"/>
    </row>
    <row r="36" spans="1:30" s="67" customFormat="1" ht="18" customHeight="1">
      <c r="A36" s="60"/>
      <c r="B36" s="86">
        <v>23</v>
      </c>
      <c r="C36" s="89"/>
      <c r="D36" s="318"/>
      <c r="E36" s="145"/>
      <c r="F36" s="321"/>
      <c r="G36" s="196"/>
      <c r="H36" s="120"/>
      <c r="I36" s="120"/>
      <c r="J36" s="121" t="str">
        <f t="shared" si="0"/>
        <v/>
      </c>
      <c r="K36" s="109"/>
      <c r="L36" s="109"/>
      <c r="M36" s="122" t="str">
        <f t="shared" si="1"/>
        <v/>
      </c>
      <c r="N36" s="22"/>
      <c r="O36" s="22"/>
      <c r="P36" s="62" t="str">
        <f t="shared" si="2"/>
        <v/>
      </c>
      <c r="Q36" s="63"/>
      <c r="R36" s="63"/>
      <c r="S36" s="64" t="str">
        <f t="shared" si="3"/>
        <v/>
      </c>
      <c r="T36" s="65"/>
      <c r="U36" s="66"/>
      <c r="V36" s="18" t="str">
        <f>IF($C36="","",VLOOKUP($C36,#REF!,4,FALSE))</f>
        <v/>
      </c>
      <c r="W36" s="69" t="str">
        <f>IF($E36="","",VLOOKUP($E36,#REF!,4,FALSE))</f>
        <v/>
      </c>
      <c r="Y36"/>
      <c r="Z36"/>
      <c r="AA36"/>
      <c r="AB36"/>
      <c r="AC36"/>
      <c r="AD36"/>
    </row>
    <row r="37" spans="1:30" s="67" customFormat="1" ht="18" customHeight="1">
      <c r="A37" s="60"/>
      <c r="B37" s="86">
        <v>24</v>
      </c>
      <c r="C37" s="87"/>
      <c r="D37" s="273"/>
      <c r="E37" s="88"/>
      <c r="F37" s="280"/>
      <c r="G37" s="87"/>
      <c r="H37" s="120"/>
      <c r="I37" s="120"/>
      <c r="J37" s="121" t="str">
        <f t="shared" si="0"/>
        <v/>
      </c>
      <c r="K37" s="109"/>
      <c r="L37" s="109"/>
      <c r="M37" s="122" t="str">
        <f t="shared" si="1"/>
        <v/>
      </c>
      <c r="N37" s="22"/>
      <c r="O37" s="22"/>
      <c r="P37" s="62" t="str">
        <f t="shared" si="2"/>
        <v/>
      </c>
      <c r="Q37" s="63"/>
      <c r="R37" s="63"/>
      <c r="S37" s="64" t="str">
        <f t="shared" si="3"/>
        <v/>
      </c>
      <c r="T37" s="65"/>
      <c r="U37" s="66"/>
      <c r="V37" s="18" t="str">
        <f>IF($C37="","",VLOOKUP($C37,#REF!,4,FALSE))</f>
        <v/>
      </c>
      <c r="W37" s="69" t="str">
        <f>IF($E37="","",VLOOKUP($E37,#REF!,4,FALSE))</f>
        <v/>
      </c>
      <c r="Y37"/>
      <c r="Z37"/>
      <c r="AA37"/>
      <c r="AB37"/>
      <c r="AC37"/>
      <c r="AD37"/>
    </row>
    <row r="38" spans="1:30" s="67" customFormat="1" ht="18" customHeight="1">
      <c r="A38" s="60"/>
      <c r="B38" s="86">
        <v>25</v>
      </c>
      <c r="C38" s="171"/>
      <c r="D38" s="291"/>
      <c r="E38" s="135"/>
      <c r="F38" s="293"/>
      <c r="G38" s="143"/>
      <c r="H38" s="22"/>
      <c r="I38" s="22"/>
      <c r="J38" s="62" t="str">
        <f t="shared" si="0"/>
        <v/>
      </c>
      <c r="K38" s="63"/>
      <c r="L38" s="63"/>
      <c r="M38" s="64" t="str">
        <f t="shared" si="1"/>
        <v/>
      </c>
      <c r="N38" s="22"/>
      <c r="O38" s="22"/>
      <c r="P38" s="62" t="str">
        <f t="shared" si="2"/>
        <v/>
      </c>
      <c r="Q38" s="63"/>
      <c r="R38" s="63"/>
      <c r="S38" s="64" t="str">
        <f t="shared" si="3"/>
        <v/>
      </c>
      <c r="T38" s="65"/>
      <c r="U38" s="66"/>
      <c r="V38" s="18" t="str">
        <f>IF($C38="","",VLOOKUP($C38,#REF!,4,FALSE))</f>
        <v/>
      </c>
      <c r="W38" s="69" t="str">
        <f>IF($E38="","",VLOOKUP($E38,#REF!,4,FALSE))</f>
        <v/>
      </c>
      <c r="Y38"/>
      <c r="Z38"/>
      <c r="AA38"/>
      <c r="AB38"/>
      <c r="AC38"/>
      <c r="AD38"/>
    </row>
    <row r="39" spans="1:30" s="67" customFormat="1" ht="18" customHeight="1">
      <c r="A39" s="60"/>
      <c r="B39" s="86">
        <v>26</v>
      </c>
      <c r="C39" s="137"/>
      <c r="D39" s="271"/>
      <c r="E39" s="137"/>
      <c r="F39" s="279"/>
      <c r="G39" s="124"/>
      <c r="H39" s="22"/>
      <c r="I39" s="22"/>
      <c r="J39" s="62" t="str">
        <f t="shared" si="0"/>
        <v/>
      </c>
      <c r="K39" s="63"/>
      <c r="L39" s="63"/>
      <c r="M39" s="64" t="str">
        <f t="shared" si="1"/>
        <v/>
      </c>
      <c r="N39" s="22"/>
      <c r="O39" s="22"/>
      <c r="P39" s="62" t="str">
        <f t="shared" si="2"/>
        <v/>
      </c>
      <c r="Q39" s="63"/>
      <c r="R39" s="63"/>
      <c r="S39" s="64" t="str">
        <f t="shared" si="3"/>
        <v/>
      </c>
      <c r="T39" s="65"/>
      <c r="U39" s="66"/>
      <c r="V39" s="18" t="str">
        <f>IF($C39="","",VLOOKUP($C39,#REF!,4,FALSE))</f>
        <v/>
      </c>
      <c r="W39" s="69" t="str">
        <f>IF($E39="","",VLOOKUP($E39,#REF!,4,FALSE))</f>
        <v/>
      </c>
      <c r="Y39"/>
      <c r="Z39"/>
      <c r="AA39"/>
      <c r="AB39"/>
      <c r="AC39"/>
      <c r="AD39"/>
    </row>
    <row r="40" spans="1:30" s="67" customFormat="1" ht="18" customHeight="1">
      <c r="A40" s="60"/>
      <c r="B40" s="86">
        <v>27</v>
      </c>
      <c r="C40" s="137"/>
      <c r="D40" s="271"/>
      <c r="E40" s="137"/>
      <c r="F40" s="279"/>
      <c r="G40" s="141"/>
      <c r="H40" s="22"/>
      <c r="I40" s="22"/>
      <c r="J40" s="62" t="str">
        <f t="shared" si="0"/>
        <v/>
      </c>
      <c r="K40" s="63"/>
      <c r="L40" s="63"/>
      <c r="M40" s="64" t="str">
        <f t="shared" si="1"/>
        <v/>
      </c>
      <c r="N40" s="22"/>
      <c r="O40" s="22"/>
      <c r="P40" s="62" t="str">
        <f t="shared" si="2"/>
        <v/>
      </c>
      <c r="Q40" s="63"/>
      <c r="R40" s="63"/>
      <c r="S40" s="64" t="str">
        <f t="shared" si="3"/>
        <v/>
      </c>
      <c r="T40" s="65"/>
      <c r="U40" s="66"/>
      <c r="V40" s="18" t="str">
        <f>IF($C40="","",VLOOKUP($C40,#REF!,4,FALSE))</f>
        <v/>
      </c>
      <c r="W40" s="69" t="str">
        <f>IF($E40="","",VLOOKUP($E40,#REF!,4,FALSE))</f>
        <v/>
      </c>
      <c r="Y40"/>
      <c r="Z40"/>
      <c r="AA40"/>
      <c r="AB40"/>
      <c r="AC40"/>
      <c r="AD40"/>
    </row>
    <row r="41" spans="1:30" s="67" customFormat="1" ht="18" customHeight="1">
      <c r="A41" s="60"/>
      <c r="B41" s="86">
        <v>28</v>
      </c>
      <c r="C41" s="153"/>
      <c r="D41" s="315"/>
      <c r="E41" s="137"/>
      <c r="F41" s="279"/>
      <c r="G41" s="138"/>
      <c r="H41" s="22"/>
      <c r="I41" s="22"/>
      <c r="J41" s="62" t="str">
        <f t="shared" si="0"/>
        <v/>
      </c>
      <c r="K41" s="63"/>
      <c r="L41" s="63"/>
      <c r="M41" s="64" t="str">
        <f t="shared" si="1"/>
        <v/>
      </c>
      <c r="N41" s="22"/>
      <c r="O41" s="22"/>
      <c r="P41" s="62" t="str">
        <f t="shared" si="2"/>
        <v/>
      </c>
      <c r="Q41" s="63"/>
      <c r="R41" s="63"/>
      <c r="S41" s="64" t="str">
        <f t="shared" si="3"/>
        <v/>
      </c>
      <c r="T41" s="65"/>
      <c r="U41" s="66"/>
      <c r="V41" s="18" t="str">
        <f>IF($C41="","",VLOOKUP($C41,#REF!,4,FALSE))</f>
        <v/>
      </c>
      <c r="W41" s="69" t="str">
        <f>IF($E41="","",VLOOKUP($E41,#REF!,4,FALSE))</f>
        <v/>
      </c>
      <c r="Y41"/>
      <c r="Z41"/>
      <c r="AA41"/>
      <c r="AB41"/>
      <c r="AC41"/>
      <c r="AD41"/>
    </row>
    <row r="42" spans="1:30" s="67" customFormat="1" ht="18" customHeight="1">
      <c r="A42" s="60"/>
      <c r="B42" s="86">
        <v>29</v>
      </c>
      <c r="C42" s="144"/>
      <c r="D42" s="279"/>
      <c r="E42" s="144"/>
      <c r="F42" s="279"/>
      <c r="G42" s="144"/>
      <c r="H42" s="22"/>
      <c r="I42" s="22"/>
      <c r="J42" s="62" t="str">
        <f t="shared" si="0"/>
        <v/>
      </c>
      <c r="K42" s="63"/>
      <c r="L42" s="63"/>
      <c r="M42" s="64" t="str">
        <f t="shared" si="1"/>
        <v/>
      </c>
      <c r="N42" s="22"/>
      <c r="O42" s="22"/>
      <c r="P42" s="62" t="str">
        <f t="shared" si="2"/>
        <v/>
      </c>
      <c r="Q42" s="63"/>
      <c r="R42" s="63"/>
      <c r="S42" s="64" t="str">
        <f t="shared" si="3"/>
        <v/>
      </c>
      <c r="T42" s="65"/>
      <c r="U42" s="66"/>
      <c r="V42" s="18" t="str">
        <f>IF($C42="","",VLOOKUP($C42,#REF!,4,FALSE))</f>
        <v/>
      </c>
      <c r="W42" s="69" t="str">
        <f>IF($E42="","",VLOOKUP($E42,#REF!,4,FALSE))</f>
        <v/>
      </c>
      <c r="Y42"/>
      <c r="Z42"/>
      <c r="AA42"/>
      <c r="AB42"/>
      <c r="AC42"/>
      <c r="AD42"/>
    </row>
    <row r="43" spans="1:30" s="67" customFormat="1" ht="18" customHeight="1">
      <c r="A43" s="60"/>
      <c r="B43" s="86">
        <v>30</v>
      </c>
      <c r="C43" s="87"/>
      <c r="D43" s="273"/>
      <c r="E43" s="88"/>
      <c r="F43" s="280"/>
      <c r="G43" s="87"/>
      <c r="H43" s="120"/>
      <c r="I43" s="120"/>
      <c r="J43" s="121" t="str">
        <f t="shared" si="0"/>
        <v/>
      </c>
      <c r="K43" s="109"/>
      <c r="L43" s="109"/>
      <c r="M43" s="122" t="str">
        <f t="shared" si="1"/>
        <v/>
      </c>
      <c r="N43" s="22"/>
      <c r="O43" s="22"/>
      <c r="P43" s="62" t="str">
        <f t="shared" si="2"/>
        <v/>
      </c>
      <c r="Q43" s="63"/>
      <c r="R43" s="63"/>
      <c r="S43" s="64" t="str">
        <f t="shared" si="3"/>
        <v/>
      </c>
      <c r="T43" s="65"/>
      <c r="U43" s="66"/>
      <c r="V43" s="18" t="str">
        <f>IF($C43="","",VLOOKUP($C43,#REF!,4,FALSE))</f>
        <v/>
      </c>
      <c r="W43" s="69" t="str">
        <f>IF($E43="","",VLOOKUP($E43,#REF!,4,FALSE))</f>
        <v/>
      </c>
      <c r="Y43"/>
      <c r="Z43"/>
      <c r="AA43"/>
      <c r="AB43"/>
      <c r="AC43"/>
      <c r="AD43"/>
    </row>
    <row r="44" spans="1:30" s="67" customFormat="1" ht="18" customHeight="1">
      <c r="A44" s="60"/>
      <c r="B44" s="86">
        <v>31</v>
      </c>
      <c r="C44" s="137"/>
      <c r="D44" s="271"/>
      <c r="E44" s="137"/>
      <c r="F44" s="279"/>
      <c r="G44" s="138"/>
      <c r="H44" s="22"/>
      <c r="I44" s="22"/>
      <c r="J44" s="62" t="str">
        <f t="shared" si="0"/>
        <v/>
      </c>
      <c r="K44" s="63"/>
      <c r="L44" s="63"/>
      <c r="M44" s="64" t="str">
        <f t="shared" si="1"/>
        <v/>
      </c>
      <c r="N44" s="22"/>
      <c r="O44" s="22"/>
      <c r="P44" s="62" t="str">
        <f t="shared" si="2"/>
        <v/>
      </c>
      <c r="Q44" s="63"/>
      <c r="R44" s="63"/>
      <c r="S44" s="64" t="str">
        <f t="shared" si="3"/>
        <v/>
      </c>
      <c r="T44" s="65"/>
      <c r="U44" s="66"/>
      <c r="V44" s="18" t="str">
        <f>IF($C44="","",VLOOKUP($C44,#REF!,4,FALSE))</f>
        <v/>
      </c>
      <c r="W44" s="69" t="str">
        <f>IF($E44="","",VLOOKUP($E44,#REF!,4,FALSE))</f>
        <v/>
      </c>
      <c r="Y44"/>
      <c r="Z44"/>
      <c r="AA44"/>
      <c r="AB44"/>
      <c r="AC44"/>
      <c r="AD44"/>
    </row>
    <row r="45" spans="1:30" s="67" customFormat="1" ht="18" customHeight="1">
      <c r="A45" s="60"/>
      <c r="B45" s="86">
        <v>32</v>
      </c>
      <c r="C45" s="137"/>
      <c r="D45" s="271"/>
      <c r="E45" s="137"/>
      <c r="F45" s="279"/>
      <c r="G45" s="138"/>
      <c r="H45" s="22"/>
      <c r="I45" s="22"/>
      <c r="J45" s="62" t="str">
        <f t="shared" si="0"/>
        <v/>
      </c>
      <c r="K45" s="63"/>
      <c r="L45" s="63"/>
      <c r="M45" s="64" t="str">
        <f t="shared" si="1"/>
        <v/>
      </c>
      <c r="N45" s="22"/>
      <c r="O45" s="22"/>
      <c r="P45" s="62" t="str">
        <f t="shared" si="2"/>
        <v/>
      </c>
      <c r="Q45" s="63"/>
      <c r="R45" s="63"/>
      <c r="S45" s="64" t="str">
        <f t="shared" si="3"/>
        <v/>
      </c>
      <c r="T45" s="65"/>
      <c r="U45" s="66"/>
      <c r="V45" s="18" t="str">
        <f>IF($C45="","",VLOOKUP($C45,#REF!,4,FALSE))</f>
        <v/>
      </c>
      <c r="W45" s="69" t="str">
        <f>IF($E45="","",VLOOKUP($E45,#REF!,4,FALSE))</f>
        <v/>
      </c>
      <c r="Y45"/>
      <c r="Z45"/>
      <c r="AA45"/>
      <c r="AB45"/>
      <c r="AC45"/>
      <c r="AD45"/>
    </row>
    <row r="46" spans="1:30" s="67" customFormat="1" ht="18" customHeight="1">
      <c r="A46" s="60"/>
      <c r="B46" s="86">
        <v>33</v>
      </c>
      <c r="C46" s="137"/>
      <c r="D46" s="271"/>
      <c r="E46" s="137"/>
      <c r="F46" s="279"/>
      <c r="G46" s="138"/>
      <c r="H46" s="22"/>
      <c r="I46" s="22"/>
      <c r="J46" s="62" t="str">
        <f t="shared" ref="J46:J73" si="4">IF(H46="","",H46+I46)</f>
        <v/>
      </c>
      <c r="K46" s="63"/>
      <c r="L46" s="63"/>
      <c r="M46" s="64" t="str">
        <f t="shared" ref="M46:M73" si="5">IF(L46="","",K46+L46)</f>
        <v/>
      </c>
      <c r="N46" s="22"/>
      <c r="O46" s="22"/>
      <c r="P46" s="62" t="str">
        <f t="shared" ref="P46:P73" si="6">IF(N46="","",N46+O46)</f>
        <v/>
      </c>
      <c r="Q46" s="63"/>
      <c r="R46" s="63"/>
      <c r="S46" s="64" t="str">
        <f t="shared" ref="S46:S73" si="7">IF(R46="","",Q46+R46)</f>
        <v/>
      </c>
      <c r="T46" s="65"/>
      <c r="U46" s="66"/>
      <c r="V46" s="18" t="str">
        <f>IF($C46="","",VLOOKUP($C46,#REF!,4,FALSE))</f>
        <v/>
      </c>
      <c r="W46" s="69" t="str">
        <f>IF($E46="","",VLOOKUP($E46,#REF!,4,FALSE))</f>
        <v/>
      </c>
      <c r="Y46"/>
      <c r="Z46"/>
      <c r="AA46"/>
      <c r="AB46"/>
      <c r="AC46"/>
    </row>
    <row r="47" spans="1:30" s="67" customFormat="1" ht="18" customHeight="1">
      <c r="A47" s="60"/>
      <c r="B47" s="86">
        <v>34</v>
      </c>
      <c r="C47" s="137"/>
      <c r="D47" s="271"/>
      <c r="E47" s="137"/>
      <c r="F47" s="279"/>
      <c r="G47" s="138"/>
      <c r="H47" s="22"/>
      <c r="I47" s="22"/>
      <c r="J47" s="62" t="str">
        <f t="shared" si="4"/>
        <v/>
      </c>
      <c r="K47" s="63"/>
      <c r="L47" s="63"/>
      <c r="M47" s="64" t="str">
        <f t="shared" si="5"/>
        <v/>
      </c>
      <c r="N47" s="22"/>
      <c r="O47" s="22"/>
      <c r="P47" s="62" t="str">
        <f t="shared" si="6"/>
        <v/>
      </c>
      <c r="Q47" s="63"/>
      <c r="R47" s="63"/>
      <c r="S47" s="64" t="str">
        <f t="shared" si="7"/>
        <v/>
      </c>
      <c r="T47" s="65"/>
      <c r="U47" s="66"/>
      <c r="V47" s="18" t="str">
        <f>IF($C47="","",VLOOKUP($C47,#REF!,4,FALSE))</f>
        <v/>
      </c>
      <c r="W47" s="69" t="str">
        <f>IF($E47="","",VLOOKUP($E47,#REF!,4,FALSE))</f>
        <v/>
      </c>
      <c r="Y47"/>
      <c r="Z47"/>
      <c r="AA47"/>
      <c r="AB47"/>
      <c r="AC47"/>
    </row>
    <row r="48" spans="1:30" s="67" customFormat="1" ht="18" customHeight="1">
      <c r="A48" s="60"/>
      <c r="B48" s="86">
        <v>35</v>
      </c>
      <c r="C48" s="137"/>
      <c r="D48" s="271"/>
      <c r="E48" s="137"/>
      <c r="F48" s="279"/>
      <c r="G48" s="138"/>
      <c r="H48" s="22"/>
      <c r="I48" s="22"/>
      <c r="J48" s="62" t="str">
        <f t="shared" si="4"/>
        <v/>
      </c>
      <c r="K48" s="63"/>
      <c r="L48" s="63"/>
      <c r="M48" s="64" t="str">
        <f t="shared" si="5"/>
        <v/>
      </c>
      <c r="N48" s="22"/>
      <c r="O48" s="22"/>
      <c r="P48" s="62" t="str">
        <f t="shared" si="6"/>
        <v/>
      </c>
      <c r="Q48" s="63"/>
      <c r="R48" s="63"/>
      <c r="S48" s="64" t="str">
        <f t="shared" si="7"/>
        <v/>
      </c>
      <c r="T48" s="65"/>
      <c r="U48" s="66"/>
      <c r="V48" s="18" t="str">
        <f>IF($C48="","",VLOOKUP($C48,#REF!,4,FALSE))</f>
        <v/>
      </c>
      <c r="W48" s="69" t="str">
        <f>IF($E48="","",VLOOKUP($E48,#REF!,4,FALSE))</f>
        <v/>
      </c>
      <c r="Y48"/>
      <c r="Z48"/>
      <c r="AA48"/>
      <c r="AB48"/>
      <c r="AC48"/>
    </row>
    <row r="49" spans="1:29" s="67" customFormat="1" ht="18" customHeight="1">
      <c r="A49" s="60"/>
      <c r="B49" s="86">
        <v>36</v>
      </c>
      <c r="C49" s="137"/>
      <c r="D49" s="271"/>
      <c r="E49" s="137"/>
      <c r="F49" s="279"/>
      <c r="G49" s="138"/>
      <c r="H49" s="22"/>
      <c r="I49" s="22"/>
      <c r="J49" s="62" t="str">
        <f t="shared" si="4"/>
        <v/>
      </c>
      <c r="K49" s="63"/>
      <c r="L49" s="63"/>
      <c r="M49" s="64" t="str">
        <f t="shared" si="5"/>
        <v/>
      </c>
      <c r="N49" s="22"/>
      <c r="O49" s="22"/>
      <c r="P49" s="62" t="str">
        <f t="shared" si="6"/>
        <v/>
      </c>
      <c r="Q49" s="63"/>
      <c r="R49" s="63"/>
      <c r="S49" s="64" t="str">
        <f t="shared" si="7"/>
        <v/>
      </c>
      <c r="T49" s="65"/>
      <c r="U49" s="66"/>
      <c r="V49" s="18" t="str">
        <f>IF($C49="","",VLOOKUP($C49,#REF!,4,FALSE))</f>
        <v/>
      </c>
      <c r="W49" s="69" t="str">
        <f>IF($E49="","",VLOOKUP($E49,#REF!,4,FALSE))</f>
        <v/>
      </c>
      <c r="Y49"/>
      <c r="Z49"/>
      <c r="AA49"/>
      <c r="AB49"/>
      <c r="AC49"/>
    </row>
    <row r="50" spans="1:29" s="67" customFormat="1" ht="18" customHeight="1">
      <c r="A50" s="60"/>
      <c r="B50" s="86">
        <v>37</v>
      </c>
      <c r="C50" s="137"/>
      <c r="D50" s="271"/>
      <c r="E50" s="137"/>
      <c r="F50" s="279"/>
      <c r="G50" s="138"/>
      <c r="H50" s="22"/>
      <c r="I50" s="22"/>
      <c r="J50" s="62" t="str">
        <f t="shared" si="4"/>
        <v/>
      </c>
      <c r="K50" s="63"/>
      <c r="L50" s="63"/>
      <c r="M50" s="64" t="str">
        <f t="shared" si="5"/>
        <v/>
      </c>
      <c r="N50" s="22"/>
      <c r="O50" s="22"/>
      <c r="P50" s="62" t="str">
        <f t="shared" si="6"/>
        <v/>
      </c>
      <c r="Q50" s="63"/>
      <c r="R50" s="63"/>
      <c r="S50" s="64" t="str">
        <f t="shared" si="7"/>
        <v/>
      </c>
      <c r="T50" s="65"/>
      <c r="U50" s="66"/>
      <c r="V50" s="18" t="str">
        <f>IF($C50="","",VLOOKUP($C50,#REF!,4,FALSE))</f>
        <v/>
      </c>
      <c r="W50" s="69" t="str">
        <f>IF($E50="","",VLOOKUP($E50,#REF!,4,FALSE))</f>
        <v/>
      </c>
      <c r="Y50"/>
      <c r="Z50"/>
      <c r="AA50"/>
      <c r="AB50"/>
      <c r="AC50"/>
    </row>
    <row r="51" spans="1:29" s="67" customFormat="1" ht="18" customHeight="1">
      <c r="A51" s="60"/>
      <c r="B51" s="86">
        <v>38</v>
      </c>
      <c r="C51" s="137"/>
      <c r="D51" s="271"/>
      <c r="E51" s="137"/>
      <c r="F51" s="279"/>
      <c r="G51" s="138"/>
      <c r="H51" s="22"/>
      <c r="I51" s="22"/>
      <c r="J51" s="62" t="str">
        <f t="shared" si="4"/>
        <v/>
      </c>
      <c r="K51" s="63"/>
      <c r="L51" s="63"/>
      <c r="M51" s="64" t="str">
        <f t="shared" si="5"/>
        <v/>
      </c>
      <c r="N51" s="22"/>
      <c r="O51" s="22"/>
      <c r="P51" s="62" t="str">
        <f t="shared" si="6"/>
        <v/>
      </c>
      <c r="Q51" s="63"/>
      <c r="R51" s="63"/>
      <c r="S51" s="64" t="str">
        <f t="shared" si="7"/>
        <v/>
      </c>
      <c r="T51" s="65"/>
      <c r="U51" s="66"/>
      <c r="V51" s="18" t="str">
        <f>IF($C51="","",VLOOKUP($C51,#REF!,4,FALSE))</f>
        <v/>
      </c>
      <c r="W51" s="69" t="str">
        <f>IF($E51="","",VLOOKUP($E51,#REF!,4,FALSE))</f>
        <v/>
      </c>
      <c r="Y51"/>
      <c r="Z51"/>
      <c r="AA51"/>
      <c r="AB51"/>
      <c r="AC51"/>
    </row>
    <row r="52" spans="1:29" s="67" customFormat="1" ht="18" customHeight="1">
      <c r="A52" s="60"/>
      <c r="B52" s="86">
        <v>39</v>
      </c>
      <c r="C52" s="137"/>
      <c r="D52" s="271"/>
      <c r="E52" s="137"/>
      <c r="F52" s="279"/>
      <c r="G52" s="138"/>
      <c r="H52" s="22"/>
      <c r="I52" s="22"/>
      <c r="J52" s="62" t="str">
        <f t="shared" si="4"/>
        <v/>
      </c>
      <c r="K52" s="63"/>
      <c r="L52" s="63"/>
      <c r="M52" s="64" t="str">
        <f t="shared" si="5"/>
        <v/>
      </c>
      <c r="N52" s="22"/>
      <c r="O52" s="22"/>
      <c r="P52" s="62" t="str">
        <f t="shared" si="6"/>
        <v/>
      </c>
      <c r="Q52" s="63"/>
      <c r="R52" s="63"/>
      <c r="S52" s="64" t="str">
        <f t="shared" si="7"/>
        <v/>
      </c>
      <c r="T52" s="65"/>
      <c r="U52" s="66"/>
      <c r="V52" s="18" t="str">
        <f>IF($C52="","",VLOOKUP($C52,#REF!,4,FALSE))</f>
        <v/>
      </c>
      <c r="W52" s="69" t="str">
        <f>IF($E52="","",VLOOKUP($E52,#REF!,4,FALSE))</f>
        <v/>
      </c>
      <c r="Y52"/>
      <c r="Z52"/>
      <c r="AA52"/>
      <c r="AB52"/>
      <c r="AC52"/>
    </row>
    <row r="53" spans="1:29" s="67" customFormat="1" ht="18" customHeight="1">
      <c r="A53" s="60"/>
      <c r="B53" s="86">
        <v>40</v>
      </c>
      <c r="C53" s="21"/>
      <c r="D53" s="275" t="s">
        <v>76</v>
      </c>
      <c r="E53" s="21"/>
      <c r="F53" s="282" t="s">
        <v>76</v>
      </c>
      <c r="G53" s="23"/>
      <c r="H53" s="22"/>
      <c r="I53" s="22"/>
      <c r="J53" s="62" t="str">
        <f t="shared" si="4"/>
        <v/>
      </c>
      <c r="K53" s="63"/>
      <c r="L53" s="63"/>
      <c r="M53" s="64" t="str">
        <f t="shared" si="5"/>
        <v/>
      </c>
      <c r="N53" s="22"/>
      <c r="O53" s="22"/>
      <c r="P53" s="62" t="str">
        <f t="shared" si="6"/>
        <v/>
      </c>
      <c r="Q53" s="63"/>
      <c r="R53" s="63"/>
      <c r="S53" s="64" t="str">
        <f t="shared" si="7"/>
        <v/>
      </c>
      <c r="T53" s="65"/>
      <c r="U53" s="66"/>
      <c r="V53" s="18" t="str">
        <f>IF($C53="","",VLOOKUP($C53,#REF!,4,FALSE))</f>
        <v/>
      </c>
      <c r="W53" s="69" t="str">
        <f>IF($E53="","",VLOOKUP($E53,#REF!,4,FALSE))</f>
        <v/>
      </c>
      <c r="Y53"/>
      <c r="Z53"/>
      <c r="AA53"/>
      <c r="AB53"/>
      <c r="AC53"/>
    </row>
    <row r="54" spans="1:29" s="67" customFormat="1" ht="18" customHeight="1">
      <c r="A54" s="60"/>
      <c r="B54" s="86">
        <v>41</v>
      </c>
      <c r="C54" s="21"/>
      <c r="D54" s="275" t="s">
        <v>76</v>
      </c>
      <c r="E54" s="21"/>
      <c r="F54" s="282" t="s">
        <v>76</v>
      </c>
      <c r="G54" s="23"/>
      <c r="H54" s="22"/>
      <c r="I54" s="22"/>
      <c r="J54" s="62" t="str">
        <f t="shared" si="4"/>
        <v/>
      </c>
      <c r="K54" s="63"/>
      <c r="L54" s="63"/>
      <c r="M54" s="64" t="str">
        <f t="shared" si="5"/>
        <v/>
      </c>
      <c r="N54" s="22"/>
      <c r="O54" s="22"/>
      <c r="P54" s="62" t="str">
        <f t="shared" si="6"/>
        <v/>
      </c>
      <c r="Q54" s="63"/>
      <c r="R54" s="63"/>
      <c r="S54" s="64" t="str">
        <f t="shared" si="7"/>
        <v/>
      </c>
      <c r="T54" s="65"/>
      <c r="U54" s="66"/>
      <c r="V54" s="18" t="str">
        <f>IF($C54="","",VLOOKUP($C54,#REF!,4,FALSE))</f>
        <v/>
      </c>
      <c r="W54" s="69" t="str">
        <f>IF($E54="","",VLOOKUP($E54,#REF!,4,FALSE))</f>
        <v/>
      </c>
      <c r="Y54"/>
      <c r="Z54"/>
      <c r="AA54"/>
      <c r="AB54"/>
      <c r="AC54"/>
    </row>
    <row r="55" spans="1:29" s="67" customFormat="1" ht="18" customHeight="1">
      <c r="A55" s="60"/>
      <c r="B55" s="86">
        <v>42</v>
      </c>
      <c r="C55" s="21"/>
      <c r="D55" s="275" t="s">
        <v>76</v>
      </c>
      <c r="E55" s="21"/>
      <c r="F55" s="282" t="s">
        <v>76</v>
      </c>
      <c r="G55" s="23"/>
      <c r="H55" s="22"/>
      <c r="I55" s="22"/>
      <c r="J55" s="62" t="str">
        <f t="shared" si="4"/>
        <v/>
      </c>
      <c r="K55" s="63"/>
      <c r="L55" s="63"/>
      <c r="M55" s="64" t="str">
        <f t="shared" si="5"/>
        <v/>
      </c>
      <c r="N55" s="22"/>
      <c r="O55" s="22"/>
      <c r="P55" s="62" t="str">
        <f t="shared" si="6"/>
        <v/>
      </c>
      <c r="Q55" s="63"/>
      <c r="R55" s="63"/>
      <c r="S55" s="64" t="str">
        <f t="shared" si="7"/>
        <v/>
      </c>
      <c r="T55" s="65"/>
      <c r="U55" s="66"/>
      <c r="V55" s="18" t="str">
        <f>IF($C55="","",VLOOKUP($C55,#REF!,4,FALSE))</f>
        <v/>
      </c>
      <c r="W55" s="69" t="str">
        <f>IF($E55="","",VLOOKUP($E55,#REF!,4,FALSE))</f>
        <v/>
      </c>
      <c r="Y55"/>
      <c r="Z55"/>
      <c r="AA55"/>
      <c r="AB55"/>
      <c r="AC55"/>
    </row>
    <row r="56" spans="1:29" s="67" customFormat="1" ht="18" customHeight="1">
      <c r="A56" s="60"/>
      <c r="B56" s="86">
        <v>43</v>
      </c>
      <c r="C56" s="21"/>
      <c r="D56" s="275" t="s">
        <v>76</v>
      </c>
      <c r="E56" s="21"/>
      <c r="F56" s="282" t="s">
        <v>76</v>
      </c>
      <c r="G56" s="23"/>
      <c r="H56" s="22"/>
      <c r="I56" s="22"/>
      <c r="J56" s="62" t="str">
        <f t="shared" si="4"/>
        <v/>
      </c>
      <c r="K56" s="63"/>
      <c r="L56" s="63"/>
      <c r="M56" s="64" t="str">
        <f t="shared" si="5"/>
        <v/>
      </c>
      <c r="N56" s="22"/>
      <c r="O56" s="22"/>
      <c r="P56" s="62" t="str">
        <f t="shared" si="6"/>
        <v/>
      </c>
      <c r="Q56" s="63"/>
      <c r="R56" s="63"/>
      <c r="S56" s="64" t="str">
        <f t="shared" si="7"/>
        <v/>
      </c>
      <c r="T56" s="65"/>
      <c r="U56" s="66"/>
      <c r="V56" s="18" t="str">
        <f>IF($C56="","",VLOOKUP($C56,#REF!,4,FALSE))</f>
        <v/>
      </c>
      <c r="W56" s="69" t="str">
        <f>IF($E56="","",VLOOKUP($E56,#REF!,4,FALSE))</f>
        <v/>
      </c>
      <c r="Y56"/>
      <c r="Z56"/>
      <c r="AA56"/>
      <c r="AB56"/>
      <c r="AC56"/>
    </row>
    <row r="57" spans="1:29" s="67" customFormat="1" ht="18" customHeight="1">
      <c r="A57" s="60"/>
      <c r="B57" s="86">
        <v>44</v>
      </c>
      <c r="C57" s="21"/>
      <c r="D57" s="275" t="s">
        <v>76</v>
      </c>
      <c r="E57" s="21"/>
      <c r="F57" s="282" t="s">
        <v>76</v>
      </c>
      <c r="G57" s="23"/>
      <c r="H57" s="22"/>
      <c r="I57" s="22"/>
      <c r="J57" s="62" t="str">
        <f t="shared" si="4"/>
        <v/>
      </c>
      <c r="K57" s="63"/>
      <c r="L57" s="63"/>
      <c r="M57" s="64" t="str">
        <f t="shared" si="5"/>
        <v/>
      </c>
      <c r="N57" s="22"/>
      <c r="O57" s="22"/>
      <c r="P57" s="62" t="str">
        <f t="shared" si="6"/>
        <v/>
      </c>
      <c r="Q57" s="63"/>
      <c r="R57" s="63"/>
      <c r="S57" s="64" t="str">
        <f t="shared" si="7"/>
        <v/>
      </c>
      <c r="T57" s="65"/>
      <c r="U57" s="66"/>
      <c r="V57" s="18" t="str">
        <f>IF($C57="","",VLOOKUP($C57,#REF!,4,FALSE))</f>
        <v/>
      </c>
      <c r="W57" s="69" t="str">
        <f>IF($E57="","",VLOOKUP($E57,#REF!,4,FALSE))</f>
        <v/>
      </c>
      <c r="Y57"/>
      <c r="Z57"/>
      <c r="AA57"/>
      <c r="AB57"/>
      <c r="AC57"/>
    </row>
    <row r="58" spans="1:29" s="67" customFormat="1" ht="18" customHeight="1">
      <c r="A58" s="60"/>
      <c r="B58" s="86">
        <v>45</v>
      </c>
      <c r="C58" s="21"/>
      <c r="D58" s="275" t="s">
        <v>76</v>
      </c>
      <c r="E58" s="21"/>
      <c r="F58" s="282" t="s">
        <v>76</v>
      </c>
      <c r="G58" s="23"/>
      <c r="H58" s="22"/>
      <c r="I58" s="22"/>
      <c r="J58" s="62" t="str">
        <f t="shared" si="4"/>
        <v/>
      </c>
      <c r="K58" s="63"/>
      <c r="L58" s="63"/>
      <c r="M58" s="64" t="str">
        <f t="shared" si="5"/>
        <v/>
      </c>
      <c r="N58" s="22"/>
      <c r="O58" s="22"/>
      <c r="P58" s="62" t="str">
        <f t="shared" si="6"/>
        <v/>
      </c>
      <c r="Q58" s="63"/>
      <c r="R58" s="63"/>
      <c r="S58" s="64" t="str">
        <f t="shared" si="7"/>
        <v/>
      </c>
      <c r="T58" s="65"/>
      <c r="U58" s="66"/>
      <c r="V58" s="18" t="str">
        <f>IF($C58="","",VLOOKUP($C58,#REF!,4,FALSE))</f>
        <v/>
      </c>
      <c r="W58" s="69" t="str">
        <f>IF($E58="","",VLOOKUP($E58,#REF!,4,FALSE))</f>
        <v/>
      </c>
      <c r="Y58"/>
      <c r="Z58"/>
      <c r="AA58"/>
      <c r="AB58"/>
      <c r="AC58"/>
    </row>
    <row r="59" spans="1:29" s="67" customFormat="1" ht="18" customHeight="1">
      <c r="A59" s="60"/>
      <c r="B59" s="86">
        <v>46</v>
      </c>
      <c r="C59" s="21"/>
      <c r="D59" s="275" t="s">
        <v>76</v>
      </c>
      <c r="E59" s="21"/>
      <c r="F59" s="282" t="s">
        <v>76</v>
      </c>
      <c r="G59" s="23"/>
      <c r="H59" s="22"/>
      <c r="I59" s="22"/>
      <c r="J59" s="62" t="str">
        <f t="shared" si="4"/>
        <v/>
      </c>
      <c r="K59" s="63"/>
      <c r="L59" s="63"/>
      <c r="M59" s="64" t="str">
        <f t="shared" si="5"/>
        <v/>
      </c>
      <c r="N59" s="22"/>
      <c r="O59" s="22"/>
      <c r="P59" s="62" t="str">
        <f t="shared" si="6"/>
        <v/>
      </c>
      <c r="Q59" s="63"/>
      <c r="R59" s="63"/>
      <c r="S59" s="64" t="str">
        <f t="shared" si="7"/>
        <v/>
      </c>
      <c r="T59" s="65"/>
      <c r="U59" s="66"/>
      <c r="V59" s="18" t="str">
        <f>IF($C59="","",VLOOKUP($C59,#REF!,4,FALSE))</f>
        <v/>
      </c>
      <c r="W59" s="69" t="str">
        <f>IF($E59="","",VLOOKUP($E59,#REF!,4,FALSE))</f>
        <v/>
      </c>
      <c r="Y59"/>
      <c r="Z59"/>
      <c r="AA59"/>
      <c r="AB59"/>
      <c r="AC59"/>
    </row>
    <row r="60" spans="1:29" s="67" customFormat="1" ht="18" customHeight="1">
      <c r="A60" s="60"/>
      <c r="B60" s="86">
        <v>47</v>
      </c>
      <c r="C60" s="21"/>
      <c r="D60" s="275" t="s">
        <v>76</v>
      </c>
      <c r="E60" s="21"/>
      <c r="F60" s="282" t="s">
        <v>76</v>
      </c>
      <c r="G60" s="23"/>
      <c r="H60" s="22"/>
      <c r="I60" s="22"/>
      <c r="J60" s="62" t="str">
        <f t="shared" si="4"/>
        <v/>
      </c>
      <c r="K60" s="63"/>
      <c r="L60" s="63"/>
      <c r="M60" s="64" t="str">
        <f t="shared" si="5"/>
        <v/>
      </c>
      <c r="N60" s="22"/>
      <c r="O60" s="22"/>
      <c r="P60" s="62" t="str">
        <f t="shared" si="6"/>
        <v/>
      </c>
      <c r="Q60" s="63"/>
      <c r="R60" s="63"/>
      <c r="S60" s="64" t="str">
        <f t="shared" si="7"/>
        <v/>
      </c>
      <c r="T60" s="65"/>
      <c r="U60" s="66"/>
      <c r="V60" s="18" t="str">
        <f>IF($C60="","",VLOOKUP($C60,#REF!,4,FALSE))</f>
        <v/>
      </c>
      <c r="W60" s="69" t="str">
        <f>IF($E60="","",VLOOKUP($E60,#REF!,4,FALSE))</f>
        <v/>
      </c>
      <c r="Y60"/>
      <c r="Z60"/>
      <c r="AA60"/>
      <c r="AB60"/>
      <c r="AC60"/>
    </row>
    <row r="61" spans="1:29" s="67" customFormat="1" ht="18" customHeight="1">
      <c r="A61" s="60"/>
      <c r="B61" s="86">
        <v>48</v>
      </c>
      <c r="C61" s="21"/>
      <c r="D61" s="275" t="s">
        <v>76</v>
      </c>
      <c r="E61" s="21"/>
      <c r="F61" s="282" t="s">
        <v>76</v>
      </c>
      <c r="G61" s="23"/>
      <c r="H61" s="22"/>
      <c r="I61" s="22"/>
      <c r="J61" s="62" t="str">
        <f t="shared" si="4"/>
        <v/>
      </c>
      <c r="K61" s="63"/>
      <c r="L61" s="63"/>
      <c r="M61" s="64" t="str">
        <f t="shared" si="5"/>
        <v/>
      </c>
      <c r="N61" s="22"/>
      <c r="O61" s="22"/>
      <c r="P61" s="62" t="str">
        <f t="shared" si="6"/>
        <v/>
      </c>
      <c r="Q61" s="63"/>
      <c r="R61" s="63"/>
      <c r="S61" s="64" t="str">
        <f t="shared" si="7"/>
        <v/>
      </c>
      <c r="T61" s="65"/>
      <c r="U61" s="66"/>
      <c r="V61" s="18" t="str">
        <f>IF($C61="","",VLOOKUP($C61,#REF!,4,FALSE))</f>
        <v/>
      </c>
      <c r="W61" s="69" t="str">
        <f>IF($E61="","",VLOOKUP($E61,#REF!,4,FALSE))</f>
        <v/>
      </c>
      <c r="Y61"/>
      <c r="Z61"/>
      <c r="AA61"/>
      <c r="AB61"/>
      <c r="AC61"/>
    </row>
    <row r="62" spans="1:29" s="67" customFormat="1" ht="18" customHeight="1">
      <c r="A62" s="60"/>
      <c r="B62" s="86">
        <v>49</v>
      </c>
      <c r="C62" s="21"/>
      <c r="D62" s="275" t="s">
        <v>76</v>
      </c>
      <c r="E62" s="21"/>
      <c r="F62" s="282" t="s">
        <v>76</v>
      </c>
      <c r="G62" s="23"/>
      <c r="H62" s="22"/>
      <c r="I62" s="22"/>
      <c r="J62" s="62" t="str">
        <f t="shared" si="4"/>
        <v/>
      </c>
      <c r="K62" s="63"/>
      <c r="L62" s="63"/>
      <c r="M62" s="64" t="str">
        <f t="shared" si="5"/>
        <v/>
      </c>
      <c r="N62" s="22"/>
      <c r="O62" s="22"/>
      <c r="P62" s="62" t="str">
        <f t="shared" si="6"/>
        <v/>
      </c>
      <c r="Q62" s="63"/>
      <c r="R62" s="63"/>
      <c r="S62" s="64" t="str">
        <f t="shared" si="7"/>
        <v/>
      </c>
      <c r="T62" s="65"/>
      <c r="U62" s="66"/>
      <c r="V62" s="18" t="str">
        <f>IF($C62="","",VLOOKUP($C62,#REF!,4,FALSE))</f>
        <v/>
      </c>
      <c r="W62" s="69" t="str">
        <f>IF($E62="","",VLOOKUP($E62,#REF!,4,FALSE))</f>
        <v/>
      </c>
      <c r="Y62"/>
      <c r="Z62"/>
      <c r="AA62"/>
      <c r="AB62"/>
      <c r="AC62"/>
    </row>
    <row r="63" spans="1:29" s="67" customFormat="1" ht="18" customHeight="1">
      <c r="A63" s="60"/>
      <c r="B63" s="86">
        <v>50</v>
      </c>
      <c r="C63" s="21"/>
      <c r="D63" s="275" t="s">
        <v>76</v>
      </c>
      <c r="E63" s="21"/>
      <c r="F63" s="282" t="s">
        <v>76</v>
      </c>
      <c r="G63" s="23"/>
      <c r="H63" s="22"/>
      <c r="I63" s="22"/>
      <c r="J63" s="62" t="str">
        <f t="shared" si="4"/>
        <v/>
      </c>
      <c r="K63" s="63"/>
      <c r="L63" s="63"/>
      <c r="M63" s="64" t="str">
        <f t="shared" si="5"/>
        <v/>
      </c>
      <c r="N63" s="22"/>
      <c r="O63" s="22"/>
      <c r="P63" s="62" t="str">
        <f t="shared" si="6"/>
        <v/>
      </c>
      <c r="Q63" s="63"/>
      <c r="R63" s="63"/>
      <c r="S63" s="64" t="str">
        <f t="shared" si="7"/>
        <v/>
      </c>
      <c r="T63" s="65"/>
      <c r="U63" s="66"/>
      <c r="V63" s="18" t="str">
        <f>IF($C63="","",VLOOKUP($C63,#REF!,4,FALSE))</f>
        <v/>
      </c>
      <c r="W63" s="69" t="str">
        <f>IF($E63="","",VLOOKUP($E63,#REF!,4,FALSE))</f>
        <v/>
      </c>
      <c r="Y63"/>
      <c r="Z63"/>
      <c r="AA63"/>
      <c r="AB63"/>
      <c r="AC63"/>
    </row>
    <row r="64" spans="1:29" s="67" customFormat="1" ht="18" customHeight="1">
      <c r="A64" s="60"/>
      <c r="B64" s="86">
        <v>51</v>
      </c>
      <c r="C64" s="21"/>
      <c r="D64" s="275" t="s">
        <v>76</v>
      </c>
      <c r="E64" s="21"/>
      <c r="F64" s="282" t="s">
        <v>76</v>
      </c>
      <c r="G64" s="23"/>
      <c r="H64" s="22"/>
      <c r="I64" s="22"/>
      <c r="J64" s="62" t="str">
        <f t="shared" si="4"/>
        <v/>
      </c>
      <c r="K64" s="63"/>
      <c r="L64" s="63"/>
      <c r="M64" s="64" t="str">
        <f t="shared" si="5"/>
        <v/>
      </c>
      <c r="N64" s="22"/>
      <c r="O64" s="22"/>
      <c r="P64" s="62" t="str">
        <f t="shared" si="6"/>
        <v/>
      </c>
      <c r="Q64" s="63"/>
      <c r="R64" s="63"/>
      <c r="S64" s="64" t="str">
        <f t="shared" si="7"/>
        <v/>
      </c>
      <c r="T64" s="65"/>
      <c r="U64" s="66"/>
      <c r="V64" s="18" t="str">
        <f>IF($C64="","",VLOOKUP($C64,#REF!,4,FALSE))</f>
        <v/>
      </c>
      <c r="W64" s="69" t="str">
        <f>IF($E64="","",VLOOKUP($E64,#REF!,4,FALSE))</f>
        <v/>
      </c>
      <c r="Y64"/>
      <c r="Z64"/>
      <c r="AA64"/>
      <c r="AB64"/>
      <c r="AC64"/>
    </row>
    <row r="65" spans="1:29" s="67" customFormat="1" ht="18" customHeight="1">
      <c r="A65" s="60"/>
      <c r="B65" s="86">
        <v>52</v>
      </c>
      <c r="C65" s="21"/>
      <c r="D65" s="275" t="s">
        <v>76</v>
      </c>
      <c r="E65" s="21"/>
      <c r="F65" s="282" t="s">
        <v>76</v>
      </c>
      <c r="G65" s="23"/>
      <c r="H65" s="22"/>
      <c r="I65" s="22"/>
      <c r="J65" s="62" t="str">
        <f t="shared" si="4"/>
        <v/>
      </c>
      <c r="K65" s="63"/>
      <c r="L65" s="63"/>
      <c r="M65" s="64" t="str">
        <f t="shared" si="5"/>
        <v/>
      </c>
      <c r="N65" s="22"/>
      <c r="O65" s="22"/>
      <c r="P65" s="62" t="str">
        <f t="shared" si="6"/>
        <v/>
      </c>
      <c r="Q65" s="63"/>
      <c r="R65" s="63"/>
      <c r="S65" s="64" t="str">
        <f t="shared" si="7"/>
        <v/>
      </c>
      <c r="T65" s="65"/>
      <c r="U65" s="66"/>
      <c r="V65" s="18" t="str">
        <f>IF($C65="","",VLOOKUP($C65,#REF!,4,FALSE))</f>
        <v/>
      </c>
      <c r="W65" s="69" t="str">
        <f>IF($E65="","",VLOOKUP($E65,#REF!,4,FALSE))</f>
        <v/>
      </c>
      <c r="Y65"/>
      <c r="Z65"/>
      <c r="AA65"/>
      <c r="AB65"/>
      <c r="AC65"/>
    </row>
    <row r="66" spans="1:29" s="67" customFormat="1" ht="18" customHeight="1">
      <c r="A66" s="60"/>
      <c r="B66" s="86">
        <v>53</v>
      </c>
      <c r="C66" s="21"/>
      <c r="D66" s="275" t="s">
        <v>76</v>
      </c>
      <c r="E66" s="21"/>
      <c r="F66" s="282" t="s">
        <v>76</v>
      </c>
      <c r="G66" s="23"/>
      <c r="H66" s="22"/>
      <c r="I66" s="22"/>
      <c r="J66" s="62" t="str">
        <f t="shared" si="4"/>
        <v/>
      </c>
      <c r="K66" s="63"/>
      <c r="L66" s="63"/>
      <c r="M66" s="64" t="str">
        <f t="shared" si="5"/>
        <v/>
      </c>
      <c r="N66" s="22"/>
      <c r="O66" s="22"/>
      <c r="P66" s="62" t="str">
        <f t="shared" si="6"/>
        <v/>
      </c>
      <c r="Q66" s="63"/>
      <c r="R66" s="63"/>
      <c r="S66" s="64" t="str">
        <f t="shared" si="7"/>
        <v/>
      </c>
      <c r="T66" s="65"/>
      <c r="U66" s="66"/>
      <c r="V66" s="18" t="str">
        <f>IF($C66="","",VLOOKUP($C66,#REF!,4,FALSE))</f>
        <v/>
      </c>
      <c r="W66" s="69" t="str">
        <f>IF($E66="","",VLOOKUP($E66,#REF!,4,FALSE))</f>
        <v/>
      </c>
      <c r="Y66"/>
      <c r="Z66"/>
      <c r="AA66"/>
      <c r="AB66"/>
      <c r="AC66"/>
    </row>
    <row r="67" spans="1:29" s="67" customFormat="1" ht="18" customHeight="1">
      <c r="A67" s="60"/>
      <c r="B67" s="86">
        <v>54</v>
      </c>
      <c r="C67" s="21"/>
      <c r="D67" s="275" t="s">
        <v>76</v>
      </c>
      <c r="E67" s="21"/>
      <c r="F67" s="282" t="s">
        <v>76</v>
      </c>
      <c r="G67" s="23"/>
      <c r="H67" s="22"/>
      <c r="I67" s="22"/>
      <c r="J67" s="62" t="str">
        <f t="shared" si="4"/>
        <v/>
      </c>
      <c r="K67" s="63"/>
      <c r="L67" s="63"/>
      <c r="M67" s="64" t="str">
        <f t="shared" si="5"/>
        <v/>
      </c>
      <c r="N67" s="22"/>
      <c r="O67" s="22"/>
      <c r="P67" s="62" t="str">
        <f t="shared" si="6"/>
        <v/>
      </c>
      <c r="Q67" s="63"/>
      <c r="R67" s="63"/>
      <c r="S67" s="64" t="str">
        <f t="shared" si="7"/>
        <v/>
      </c>
      <c r="T67" s="65"/>
      <c r="U67" s="66"/>
      <c r="V67" s="18" t="str">
        <f>IF($C67="","",VLOOKUP($C67,#REF!,4,FALSE))</f>
        <v/>
      </c>
      <c r="W67" s="69" t="str">
        <f>IF($E67="","",VLOOKUP($E67,#REF!,4,FALSE))</f>
        <v/>
      </c>
      <c r="Y67"/>
      <c r="Z67"/>
      <c r="AA67"/>
      <c r="AB67"/>
      <c r="AC67"/>
    </row>
    <row r="68" spans="1:29" s="67" customFormat="1" ht="18" customHeight="1">
      <c r="A68" s="60"/>
      <c r="B68" s="86">
        <v>55</v>
      </c>
      <c r="C68" s="21"/>
      <c r="D68" s="275" t="s">
        <v>76</v>
      </c>
      <c r="E68" s="21"/>
      <c r="F68" s="282" t="s">
        <v>76</v>
      </c>
      <c r="G68" s="23"/>
      <c r="H68" s="22"/>
      <c r="I68" s="22"/>
      <c r="J68" s="62" t="str">
        <f t="shared" si="4"/>
        <v/>
      </c>
      <c r="K68" s="63"/>
      <c r="L68" s="63"/>
      <c r="M68" s="64" t="str">
        <f t="shared" si="5"/>
        <v/>
      </c>
      <c r="N68" s="22"/>
      <c r="O68" s="22"/>
      <c r="P68" s="62" t="str">
        <f t="shared" si="6"/>
        <v/>
      </c>
      <c r="Q68" s="63"/>
      <c r="R68" s="63"/>
      <c r="S68" s="64" t="str">
        <f t="shared" si="7"/>
        <v/>
      </c>
      <c r="T68" s="65"/>
      <c r="U68" s="66"/>
      <c r="V68" s="18" t="str">
        <f>IF($C68="","",VLOOKUP($C68,#REF!,4,FALSE))</f>
        <v/>
      </c>
      <c r="W68" s="69" t="str">
        <f>IF($E68="","",VLOOKUP($E68,#REF!,4,FALSE))</f>
        <v/>
      </c>
      <c r="Y68"/>
      <c r="Z68"/>
      <c r="AA68"/>
      <c r="AB68"/>
      <c r="AC68"/>
    </row>
    <row r="69" spans="1:29" s="67" customFormat="1" ht="18" customHeight="1">
      <c r="A69" s="60"/>
      <c r="B69" s="86">
        <v>56</v>
      </c>
      <c r="C69" s="21"/>
      <c r="D69" s="275" t="s">
        <v>76</v>
      </c>
      <c r="E69" s="21"/>
      <c r="F69" s="282" t="s">
        <v>76</v>
      </c>
      <c r="G69" s="23"/>
      <c r="H69" s="22"/>
      <c r="I69" s="22"/>
      <c r="J69" s="62" t="str">
        <f t="shared" si="4"/>
        <v/>
      </c>
      <c r="K69" s="63"/>
      <c r="L69" s="63"/>
      <c r="M69" s="64" t="str">
        <f t="shared" si="5"/>
        <v/>
      </c>
      <c r="N69" s="22"/>
      <c r="O69" s="22"/>
      <c r="P69" s="62" t="str">
        <f t="shared" si="6"/>
        <v/>
      </c>
      <c r="Q69" s="63"/>
      <c r="R69" s="63"/>
      <c r="S69" s="64" t="str">
        <f t="shared" si="7"/>
        <v/>
      </c>
      <c r="T69" s="65"/>
      <c r="U69" s="66"/>
      <c r="V69" s="18" t="str">
        <f>IF($C69="","",VLOOKUP($C69,#REF!,4,FALSE))</f>
        <v/>
      </c>
      <c r="W69" s="69" t="str">
        <f>IF($E69="","",VLOOKUP($E69,#REF!,4,FALSE))</f>
        <v/>
      </c>
      <c r="Y69"/>
      <c r="Z69"/>
      <c r="AA69"/>
      <c r="AB69"/>
      <c r="AC69"/>
    </row>
    <row r="70" spans="1:29" s="67" customFormat="1" ht="18" customHeight="1">
      <c r="A70" s="60"/>
      <c r="B70" s="86">
        <v>57</v>
      </c>
      <c r="C70" s="21"/>
      <c r="D70" s="275" t="s">
        <v>76</v>
      </c>
      <c r="E70" s="21"/>
      <c r="F70" s="282" t="s">
        <v>76</v>
      </c>
      <c r="G70" s="23"/>
      <c r="H70" s="22"/>
      <c r="I70" s="22"/>
      <c r="J70" s="62" t="str">
        <f t="shared" si="4"/>
        <v/>
      </c>
      <c r="K70" s="63"/>
      <c r="L70" s="63"/>
      <c r="M70" s="64" t="str">
        <f t="shared" si="5"/>
        <v/>
      </c>
      <c r="N70" s="22"/>
      <c r="O70" s="22"/>
      <c r="P70" s="62" t="str">
        <f t="shared" si="6"/>
        <v/>
      </c>
      <c r="Q70" s="63"/>
      <c r="R70" s="63"/>
      <c r="S70" s="64" t="str">
        <f t="shared" si="7"/>
        <v/>
      </c>
      <c r="T70" s="65"/>
      <c r="U70" s="66"/>
      <c r="V70" s="18" t="str">
        <f>IF($C70="","",VLOOKUP($C70,#REF!,4,FALSE))</f>
        <v/>
      </c>
      <c r="W70" s="69" t="str">
        <f>IF($E70="","",VLOOKUP($E70,#REF!,4,FALSE))</f>
        <v/>
      </c>
      <c r="Y70"/>
      <c r="Z70"/>
      <c r="AA70"/>
      <c r="AB70"/>
      <c r="AC70"/>
    </row>
    <row r="71" spans="1:29" s="67" customFormat="1" ht="18" customHeight="1">
      <c r="A71" s="60"/>
      <c r="B71" s="86">
        <v>58</v>
      </c>
      <c r="C71" s="21"/>
      <c r="D71" s="275" t="s">
        <v>76</v>
      </c>
      <c r="E71" s="21"/>
      <c r="F71" s="282" t="s">
        <v>76</v>
      </c>
      <c r="G71" s="23"/>
      <c r="H71" s="22"/>
      <c r="I71" s="22"/>
      <c r="J71" s="62" t="str">
        <f t="shared" si="4"/>
        <v/>
      </c>
      <c r="K71" s="63"/>
      <c r="L71" s="63"/>
      <c r="M71" s="64" t="str">
        <f t="shared" si="5"/>
        <v/>
      </c>
      <c r="N71" s="22"/>
      <c r="O71" s="22"/>
      <c r="P71" s="62" t="str">
        <f t="shared" si="6"/>
        <v/>
      </c>
      <c r="Q71" s="63"/>
      <c r="R71" s="63"/>
      <c r="S71" s="64" t="str">
        <f t="shared" si="7"/>
        <v/>
      </c>
      <c r="T71" s="65"/>
      <c r="U71" s="66"/>
      <c r="V71" s="18" t="str">
        <f>IF($C71="","",VLOOKUP($C71,#REF!,4,FALSE))</f>
        <v/>
      </c>
      <c r="W71" s="69" t="str">
        <f>IF($E71="","",VLOOKUP($E71,#REF!,4,FALSE))</f>
        <v/>
      </c>
      <c r="Y71"/>
      <c r="Z71"/>
      <c r="AA71"/>
      <c r="AB71"/>
      <c r="AC71"/>
    </row>
    <row r="72" spans="1:29" s="67" customFormat="1" ht="18" customHeight="1">
      <c r="A72" s="60"/>
      <c r="B72" s="86">
        <v>59</v>
      </c>
      <c r="C72" s="21"/>
      <c r="D72" s="275" t="s">
        <v>76</v>
      </c>
      <c r="E72" s="21"/>
      <c r="F72" s="282" t="s">
        <v>76</v>
      </c>
      <c r="G72" s="23"/>
      <c r="H72" s="22"/>
      <c r="I72" s="22"/>
      <c r="J72" s="62" t="str">
        <f t="shared" si="4"/>
        <v/>
      </c>
      <c r="K72" s="63"/>
      <c r="L72" s="63"/>
      <c r="M72" s="64" t="str">
        <f t="shared" si="5"/>
        <v/>
      </c>
      <c r="N72" s="22"/>
      <c r="O72" s="22"/>
      <c r="P72" s="62" t="str">
        <f t="shared" si="6"/>
        <v/>
      </c>
      <c r="Q72" s="63"/>
      <c r="R72" s="63"/>
      <c r="S72" s="64" t="str">
        <f t="shared" si="7"/>
        <v/>
      </c>
      <c r="T72" s="65"/>
      <c r="U72" s="66"/>
      <c r="V72" s="18" t="str">
        <f>IF($C72="","",VLOOKUP($C72,#REF!,4,FALSE))</f>
        <v/>
      </c>
      <c r="W72" s="69" t="str">
        <f>IF($E72="","",VLOOKUP($E72,#REF!,4,FALSE))</f>
        <v/>
      </c>
      <c r="Y72"/>
      <c r="Z72"/>
      <c r="AA72"/>
      <c r="AB72"/>
      <c r="AC72"/>
    </row>
    <row r="73" spans="1:29" s="67" customFormat="1" ht="18" customHeight="1">
      <c r="A73" s="60"/>
      <c r="B73" s="86">
        <v>60</v>
      </c>
      <c r="C73" s="21"/>
      <c r="D73" s="275" t="s">
        <v>76</v>
      </c>
      <c r="E73" s="21"/>
      <c r="F73" s="282" t="s">
        <v>76</v>
      </c>
      <c r="G73" s="23"/>
      <c r="H73" s="22"/>
      <c r="I73" s="22"/>
      <c r="J73" s="62" t="str">
        <f t="shared" si="4"/>
        <v/>
      </c>
      <c r="K73" s="63"/>
      <c r="L73" s="63"/>
      <c r="M73" s="64" t="str">
        <f t="shared" si="5"/>
        <v/>
      </c>
      <c r="N73" s="22"/>
      <c r="O73" s="22"/>
      <c r="P73" s="62" t="str">
        <f t="shared" si="6"/>
        <v/>
      </c>
      <c r="Q73" s="63"/>
      <c r="R73" s="63"/>
      <c r="S73" s="64" t="str">
        <f t="shared" si="7"/>
        <v/>
      </c>
      <c r="T73" s="65"/>
      <c r="U73" s="66"/>
      <c r="V73" s="18" t="str">
        <f>IF($C73="","",VLOOKUP($C73,#REF!,4,FALSE))</f>
        <v/>
      </c>
      <c r="W73" s="69" t="str">
        <f>IF($E73="","",VLOOKUP($E73,#REF!,4,FALSE))</f>
        <v/>
      </c>
      <c r="Y73"/>
      <c r="Z73"/>
      <c r="AA73"/>
      <c r="AB73"/>
      <c r="AC73"/>
    </row>
    <row r="126" spans="5:5" ht="18" customHeight="1">
      <c r="E126" s="20" ph="1"/>
    </row>
    <row r="137" spans="5:5" ht="18" customHeight="1">
      <c r="E137" s="20" ph="1"/>
    </row>
    <row r="153" spans="5:5" ht="18" customHeight="1">
      <c r="E153" s="20" ph="1"/>
    </row>
    <row r="154" spans="5:5" ht="18" customHeight="1">
      <c r="E154" s="20" ph="1"/>
    </row>
    <row r="173" spans="5:5" ht="18" customHeight="1">
      <c r="E173" s="20" ph="1"/>
    </row>
    <row r="181" spans="5:5" ht="18" customHeight="1">
      <c r="E181" s="20" ph="1"/>
    </row>
    <row r="182" spans="5:5" ht="18" customHeight="1">
      <c r="E182" s="20" ph="1"/>
    </row>
    <row r="196" spans="5:5" ht="18" customHeight="1">
      <c r="E196" s="20" ph="1"/>
    </row>
    <row r="198" spans="5:5" ht="18" customHeight="1">
      <c r="E198" s="20" ph="1"/>
    </row>
    <row r="199" spans="5:5" ht="18" customHeight="1">
      <c r="E199" s="20" ph="1"/>
    </row>
    <row r="200" spans="5:5" ht="18" customHeight="1">
      <c r="E200" s="20" ph="1"/>
    </row>
    <row r="201" spans="5:5" ht="18" customHeight="1">
      <c r="E201" s="20" ph="1"/>
    </row>
  </sheetData>
  <autoFilter ref="A13:W13" xr:uid="{00000000-0001-0000-0E00-000000000000}">
    <sortState xmlns:xlrd2="http://schemas.microsoft.com/office/spreadsheetml/2017/richdata2" ref="A14:W73">
      <sortCondition ref="B13"/>
    </sortState>
  </autoFilter>
  <sortState xmlns:xlrd2="http://schemas.microsoft.com/office/spreadsheetml/2017/richdata2" ref="A14:AD28">
    <sortCondition ref="B14:B28"/>
  </sortState>
  <phoneticPr fontId="10" type="Hiragana"/>
  <conditionalFormatting sqref="V14:V73">
    <cfRule type="cellIs" dxfId="29" priority="4" stopIfTrue="1" operator="notBetween">
      <formula>"A"</formula>
      <formula>"Ｂ"</formula>
    </cfRule>
  </conditionalFormatting>
  <conditionalFormatting sqref="W14:W73">
    <cfRule type="cellIs" dxfId="28" priority="3" stopIfTrue="1" operator="between">
      <formula>"-"</formula>
      <formula>"申請中"</formula>
    </cfRule>
  </conditionalFormatting>
  <conditionalFormatting sqref="Y46:Z73">
    <cfRule type="expression" dxfId="27" priority="2">
      <formula>Y46&lt;&gt;C46</formula>
    </cfRule>
  </conditionalFormatting>
  <conditionalFormatting sqref="AB46:AC73">
    <cfRule type="expression" dxfId="26" priority="1">
      <formula>AB46&lt;&gt;E46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GetJEFInfo">
                <anchor moveWithCells="1" sizeWithCells="1">
                  <from>
                    <xdr:col>23</xdr:col>
                    <xdr:colOff>381000</xdr:colOff>
                    <xdr:row>2</xdr:row>
                    <xdr:rowOff>213360</xdr:rowOff>
                  </from>
                  <to>
                    <xdr:col>25</xdr:col>
                    <xdr:colOff>601980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3">
    <tabColor rgb="FFFFC000"/>
  </sheetPr>
  <dimension ref="A1:AD88"/>
  <sheetViews>
    <sheetView topLeftCell="A24" workbookViewId="0">
      <selection activeCell="K44" sqref="K44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24" width="9.6640625" style="20"/>
    <col min="29" max="16384" width="9.6640625" style="20"/>
  </cols>
  <sheetData>
    <row r="1" spans="1:30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Y1"/>
      <c r="Z1"/>
      <c r="AA1"/>
      <c r="AB1"/>
    </row>
    <row r="2" spans="1:30" s="25" customFormat="1" ht="18" customHeight="1">
      <c r="B2" s="26" t="s">
        <v>1</v>
      </c>
      <c r="C2" s="27"/>
      <c r="E2" s="26" t="s">
        <v>2</v>
      </c>
      <c r="F2" s="30"/>
      <c r="G2" s="175">
        <v>46277</v>
      </c>
      <c r="L2" s="28"/>
      <c r="N2" s="26" t="s">
        <v>3</v>
      </c>
      <c r="O2" s="29"/>
      <c r="P2" s="30"/>
      <c r="Q2" s="30"/>
      <c r="R2" s="30"/>
      <c r="S2" s="30"/>
      <c r="T2" s="30"/>
      <c r="Y2"/>
      <c r="Z2"/>
      <c r="AA2"/>
      <c r="AB2"/>
    </row>
    <row r="3" spans="1:30" s="25" customFormat="1" ht="18" customHeight="1">
      <c r="A3" s="31"/>
      <c r="B3" s="26" t="s">
        <v>4</v>
      </c>
      <c r="C3" s="71" t="s">
        <v>481</v>
      </c>
      <c r="D3" s="139"/>
      <c r="E3" s="139"/>
      <c r="F3" s="139"/>
      <c r="G3" s="139"/>
      <c r="Q3" s="26" t="s">
        <v>5</v>
      </c>
      <c r="R3" s="29"/>
      <c r="S3" s="30"/>
      <c r="T3" s="30"/>
      <c r="U3" s="32"/>
      <c r="Y3"/>
      <c r="Z3"/>
      <c r="AA3"/>
      <c r="AB3"/>
    </row>
    <row r="4" spans="1:30" s="25" customFormat="1" ht="18" customHeight="1">
      <c r="B4" s="26" t="s">
        <v>6</v>
      </c>
      <c r="C4" s="33">
        <v>15</v>
      </c>
      <c r="D4" s="25" t="s">
        <v>7</v>
      </c>
      <c r="E4" s="26" t="s">
        <v>8</v>
      </c>
      <c r="F4" s="276" t="s">
        <v>483</v>
      </c>
      <c r="G4" s="30"/>
      <c r="H4" s="30"/>
      <c r="J4" s="26" t="s">
        <v>9</v>
      </c>
      <c r="K4" s="34" t="s">
        <v>484</v>
      </c>
      <c r="N4" s="26" t="s">
        <v>10</v>
      </c>
      <c r="O4" s="35">
        <v>350</v>
      </c>
      <c r="Y4"/>
      <c r="Z4"/>
      <c r="AA4"/>
      <c r="AB4"/>
    </row>
    <row r="5" spans="1:30" s="25" customFormat="1" ht="18" customHeight="1">
      <c r="C5" s="26" t="s">
        <v>11</v>
      </c>
      <c r="D5" s="27">
        <v>5</v>
      </c>
      <c r="E5" s="26" t="s">
        <v>12</v>
      </c>
      <c r="F5" s="29" t="s">
        <v>482</v>
      </c>
      <c r="G5" s="26" t="s">
        <v>13</v>
      </c>
      <c r="H5" s="70">
        <v>238</v>
      </c>
      <c r="I5" s="36">
        <v>2.2000000000000002</v>
      </c>
      <c r="J5" s="37" t="s">
        <v>14</v>
      </c>
      <c r="K5" s="38" t="s">
        <v>39</v>
      </c>
      <c r="L5" s="26" t="s">
        <v>15</v>
      </c>
      <c r="M5" s="39"/>
      <c r="O5" s="26" t="s">
        <v>16</v>
      </c>
      <c r="P5" s="39"/>
      <c r="R5" s="26" t="s">
        <v>17</v>
      </c>
      <c r="S5" s="39"/>
      <c r="Y5"/>
      <c r="Z5"/>
      <c r="AA5"/>
      <c r="AB5"/>
    </row>
    <row r="6" spans="1:30" s="25" customFormat="1" ht="35.1" customHeight="1">
      <c r="C6" s="40" t="s">
        <v>18</v>
      </c>
      <c r="D6" s="269" t="s">
        <v>40</v>
      </c>
      <c r="E6" s="26" t="s">
        <v>19</v>
      </c>
      <c r="F6" s="277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  <c r="Y6"/>
      <c r="Z6"/>
      <c r="AA6"/>
      <c r="AB6"/>
    </row>
    <row r="7" spans="1:30" s="25" customFormat="1" ht="15" customHeight="1">
      <c r="A7" s="26" t="s">
        <v>69</v>
      </c>
      <c r="B7" s="74" t="s">
        <v>0</v>
      </c>
      <c r="C7" s="77"/>
      <c r="D7" s="26" t="s">
        <v>70</v>
      </c>
      <c r="E7" s="75"/>
      <c r="F7" s="32"/>
      <c r="I7" s="26"/>
      <c r="J7" s="37"/>
      <c r="K7" s="32"/>
      <c r="L7" s="26"/>
      <c r="M7" s="32"/>
      <c r="N7" s="26"/>
      <c r="O7" s="42"/>
      <c r="Q7" s="26"/>
      <c r="R7" s="43"/>
      <c r="Y7"/>
      <c r="Z7"/>
      <c r="AA7"/>
      <c r="AB7"/>
    </row>
    <row r="8" spans="1:30" s="25" customFormat="1" ht="15" customHeight="1">
      <c r="A8" s="26" t="s">
        <v>71</v>
      </c>
      <c r="B8" s="74" t="s">
        <v>0</v>
      </c>
      <c r="C8" s="73"/>
      <c r="D8" s="26" t="s">
        <v>70</v>
      </c>
      <c r="E8" s="76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  <c r="Y8"/>
      <c r="Z8"/>
      <c r="AA8"/>
      <c r="AB8"/>
    </row>
    <row r="9" spans="1:30" s="25" customFormat="1" ht="15" customHeight="1">
      <c r="A9" s="26" t="s">
        <v>72</v>
      </c>
      <c r="B9" s="74" t="s">
        <v>0</v>
      </c>
      <c r="C9" s="73"/>
      <c r="D9" s="26" t="s">
        <v>70</v>
      </c>
      <c r="E9" s="76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  <c r="Y9"/>
      <c r="Z9"/>
      <c r="AA9"/>
      <c r="AB9"/>
    </row>
    <row r="10" spans="1:30" s="25" customFormat="1" ht="15" customHeight="1">
      <c r="A10" s="26" t="s">
        <v>73</v>
      </c>
      <c r="B10" s="74" t="s">
        <v>0</v>
      </c>
      <c r="C10" s="73"/>
      <c r="D10" s="26" t="s">
        <v>70</v>
      </c>
      <c r="E10" s="76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  <c r="Y10"/>
      <c r="Z10"/>
      <c r="AA10"/>
      <c r="AB10"/>
    </row>
    <row r="11" spans="1:30" s="25" customFormat="1" ht="15" customHeight="1">
      <c r="A11" s="26" t="s">
        <v>74</v>
      </c>
      <c r="B11" s="74" t="s">
        <v>0</v>
      </c>
      <c r="C11" s="73"/>
      <c r="D11" s="26" t="s">
        <v>70</v>
      </c>
      <c r="E11" s="76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  <c r="V11" s="25">
        <f>COUNTA(C14:C73)</f>
        <v>32</v>
      </c>
      <c r="W11" s="25">
        <f>COUNTA(E14:E73)</f>
        <v>32</v>
      </c>
      <c r="Y11"/>
      <c r="Z11"/>
      <c r="AA11"/>
      <c r="AB11"/>
    </row>
    <row r="12" spans="1:30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51</v>
      </c>
      <c r="W12" s="15" t="s">
        <v>52</v>
      </c>
    </row>
    <row r="13" spans="1:30" ht="35.1" customHeight="1">
      <c r="A13" s="113" t="s">
        <v>24</v>
      </c>
      <c r="B13" s="113" t="s">
        <v>25</v>
      </c>
      <c r="C13" s="114" t="s">
        <v>26</v>
      </c>
      <c r="D13" s="289" t="s">
        <v>0</v>
      </c>
      <c r="E13" s="114" t="s">
        <v>27</v>
      </c>
      <c r="F13" s="289" t="s">
        <v>28</v>
      </c>
      <c r="G13" s="114" t="s">
        <v>29</v>
      </c>
      <c r="H13" s="115" t="s">
        <v>30</v>
      </c>
      <c r="I13" s="114" t="s">
        <v>31</v>
      </c>
      <c r="J13" s="115" t="s">
        <v>32</v>
      </c>
      <c r="K13" s="115" t="s">
        <v>33</v>
      </c>
      <c r="L13" s="115" t="s">
        <v>34</v>
      </c>
      <c r="M13" s="114" t="s">
        <v>35</v>
      </c>
      <c r="N13" s="116" t="s">
        <v>30</v>
      </c>
      <c r="O13" s="117" t="s">
        <v>31</v>
      </c>
      <c r="P13" s="116" t="s">
        <v>32</v>
      </c>
      <c r="Q13" s="116" t="s">
        <v>33</v>
      </c>
      <c r="R13" s="116" t="s">
        <v>36</v>
      </c>
      <c r="S13" s="116" t="s">
        <v>37</v>
      </c>
      <c r="T13" s="118" t="s">
        <v>38</v>
      </c>
      <c r="V13" s="15" t="s">
        <v>57</v>
      </c>
      <c r="W13" s="15" t="s">
        <v>68</v>
      </c>
      <c r="AC13"/>
      <c r="AD13"/>
    </row>
    <row r="14" spans="1:30" s="67" customFormat="1" ht="18" customHeight="1">
      <c r="A14" s="108"/>
      <c r="B14" s="119">
        <v>1</v>
      </c>
      <c r="C14" s="256" t="s">
        <v>405</v>
      </c>
      <c r="D14" s="271">
        <v>27498</v>
      </c>
      <c r="E14" s="125" t="s">
        <v>713</v>
      </c>
      <c r="F14" s="271">
        <v>57474</v>
      </c>
      <c r="G14" s="126" t="s">
        <v>607</v>
      </c>
      <c r="H14" s="120"/>
      <c r="I14" s="120"/>
      <c r="J14" s="121" t="str">
        <f t="shared" ref="J14:J45" si="0">IF(H14="","",H14+I14)</f>
        <v/>
      </c>
      <c r="K14" s="109"/>
      <c r="L14" s="109"/>
      <c r="M14" s="122" t="str">
        <f t="shared" ref="M14:M45" si="1">IF(L14="","",K14+L14)</f>
        <v/>
      </c>
      <c r="N14" s="120"/>
      <c r="O14" s="120"/>
      <c r="P14" s="121" t="str">
        <f t="shared" ref="P14:P45" si="2">IF(N14="","",N14+O14)</f>
        <v/>
      </c>
      <c r="Q14" s="109"/>
      <c r="R14" s="109"/>
      <c r="S14" s="122" t="str">
        <f t="shared" ref="S14:S45" si="3">IF(R14="","",Q14+R14)</f>
        <v/>
      </c>
      <c r="T14" s="123"/>
      <c r="U14" s="66"/>
      <c r="V14" s="18" t="e">
        <f>IF($C14="","",VLOOKUP($C14,#REF!,4,FALSE))</f>
        <v>#REF!</v>
      </c>
      <c r="W14" s="69" t="e">
        <f>IF($E14="","",VLOOKUP($E14,#REF!,4,FALSE))</f>
        <v>#REF!</v>
      </c>
      <c r="Y14"/>
      <c r="Z14"/>
      <c r="AA14"/>
      <c r="AB14"/>
      <c r="AC14"/>
    </row>
    <row r="15" spans="1:30" s="67" customFormat="1" ht="18" customHeight="1">
      <c r="A15" s="108"/>
      <c r="B15" s="119">
        <v>2</v>
      </c>
      <c r="C15" s="125" t="s">
        <v>619</v>
      </c>
      <c r="D15" s="271">
        <v>18717</v>
      </c>
      <c r="E15" s="125" t="s">
        <v>529</v>
      </c>
      <c r="F15" s="271">
        <v>61372</v>
      </c>
      <c r="G15" s="124" t="s">
        <v>527</v>
      </c>
      <c r="H15" s="120"/>
      <c r="I15" s="120"/>
      <c r="J15" s="121" t="str">
        <f t="shared" si="0"/>
        <v/>
      </c>
      <c r="K15" s="109"/>
      <c r="L15" s="109"/>
      <c r="M15" s="122" t="str">
        <f t="shared" si="1"/>
        <v/>
      </c>
      <c r="N15" s="120"/>
      <c r="O15" s="120"/>
      <c r="P15" s="121" t="str">
        <f t="shared" si="2"/>
        <v/>
      </c>
      <c r="Q15" s="109"/>
      <c r="R15" s="109"/>
      <c r="S15" s="122" t="str">
        <f t="shared" si="3"/>
        <v/>
      </c>
      <c r="T15" s="123"/>
      <c r="U15" s="66"/>
      <c r="V15" s="18" t="e">
        <f>IF($C15="","",VLOOKUP($C15,#REF!,4,FALSE))</f>
        <v>#REF!</v>
      </c>
      <c r="W15" s="69" t="e">
        <f>IF($E15="","",VLOOKUP($E15,#REF!,4,FALSE))</f>
        <v>#REF!</v>
      </c>
      <c r="Y15"/>
      <c r="Z15"/>
      <c r="AA15"/>
      <c r="AB15"/>
      <c r="AC15"/>
    </row>
    <row r="16" spans="1:30" s="67" customFormat="1" ht="18" customHeight="1">
      <c r="A16" s="108"/>
      <c r="B16" s="119">
        <v>3</v>
      </c>
      <c r="C16" s="259" t="s">
        <v>272</v>
      </c>
      <c r="D16" s="290">
        <v>26053</v>
      </c>
      <c r="E16" s="128" t="s">
        <v>557</v>
      </c>
      <c r="F16" s="305">
        <v>61561</v>
      </c>
      <c r="G16" s="106" t="s">
        <v>553</v>
      </c>
      <c r="H16" s="120"/>
      <c r="I16" s="120"/>
      <c r="J16" s="121" t="str">
        <f t="shared" si="0"/>
        <v/>
      </c>
      <c r="K16" s="109"/>
      <c r="L16" s="109"/>
      <c r="M16" s="122" t="str">
        <f t="shared" si="1"/>
        <v/>
      </c>
      <c r="N16" s="120"/>
      <c r="O16" s="120"/>
      <c r="P16" s="121" t="str">
        <f t="shared" si="2"/>
        <v/>
      </c>
      <c r="Q16" s="109"/>
      <c r="R16" s="109"/>
      <c r="S16" s="122" t="str">
        <f t="shared" si="3"/>
        <v/>
      </c>
      <c r="T16" s="123"/>
      <c r="U16" s="66"/>
      <c r="V16" s="18" t="e">
        <f>IF($C16="","",VLOOKUP($C16,#REF!,4,FALSE))</f>
        <v>#REF!</v>
      </c>
      <c r="W16" s="69" t="e">
        <f>IF($E16="","",VLOOKUP($E16,#REF!,4,FALSE))</f>
        <v>#REF!</v>
      </c>
      <c r="Y16"/>
      <c r="Z16"/>
      <c r="AA16"/>
      <c r="AB16"/>
      <c r="AC16"/>
    </row>
    <row r="17" spans="1:30" s="67" customFormat="1" ht="18" customHeight="1">
      <c r="A17" s="108"/>
      <c r="B17" s="119">
        <v>4</v>
      </c>
      <c r="C17" s="87" t="s">
        <v>510</v>
      </c>
      <c r="D17" s="273">
        <v>31991</v>
      </c>
      <c r="E17" s="88" t="s">
        <v>606</v>
      </c>
      <c r="F17" s="280">
        <v>57212</v>
      </c>
      <c r="G17" s="87" t="s">
        <v>607</v>
      </c>
      <c r="H17" s="120"/>
      <c r="I17" s="120"/>
      <c r="J17" s="121" t="str">
        <f t="shared" si="0"/>
        <v/>
      </c>
      <c r="K17" s="109"/>
      <c r="L17" s="109"/>
      <c r="M17" s="122" t="str">
        <f t="shared" si="1"/>
        <v/>
      </c>
      <c r="N17" s="120"/>
      <c r="O17" s="120"/>
      <c r="P17" s="121" t="str">
        <f t="shared" si="2"/>
        <v/>
      </c>
      <c r="Q17" s="109"/>
      <c r="R17" s="109"/>
      <c r="S17" s="122" t="str">
        <f t="shared" si="3"/>
        <v/>
      </c>
      <c r="T17" s="123"/>
      <c r="U17" s="66"/>
      <c r="V17" s="18" t="e">
        <f>IF($C17="","",VLOOKUP($C17,#REF!,4,FALSE))</f>
        <v>#REF!</v>
      </c>
      <c r="W17" s="69" t="e">
        <f>IF($E17="","",VLOOKUP($E17,#REF!,4,FALSE))</f>
        <v>#REF!</v>
      </c>
      <c r="Y17"/>
      <c r="Z17"/>
      <c r="AA17"/>
      <c r="AB17"/>
      <c r="AC17"/>
    </row>
    <row r="18" spans="1:30" s="67" customFormat="1" ht="18" customHeight="1">
      <c r="A18" s="108"/>
      <c r="B18" s="119">
        <v>5</v>
      </c>
      <c r="C18" s="258" t="s">
        <v>596</v>
      </c>
      <c r="D18" s="271">
        <v>28566</v>
      </c>
      <c r="E18" s="125" t="s">
        <v>597</v>
      </c>
      <c r="F18" s="271">
        <v>61794</v>
      </c>
      <c r="G18" s="124" t="s">
        <v>598</v>
      </c>
      <c r="H18" s="120"/>
      <c r="I18" s="120"/>
      <c r="J18" s="121" t="str">
        <f t="shared" si="0"/>
        <v/>
      </c>
      <c r="K18" s="109"/>
      <c r="L18" s="109"/>
      <c r="M18" s="122" t="str">
        <f t="shared" si="1"/>
        <v/>
      </c>
      <c r="N18" s="120"/>
      <c r="O18" s="120"/>
      <c r="P18" s="121" t="str">
        <f t="shared" si="2"/>
        <v/>
      </c>
      <c r="Q18" s="109"/>
      <c r="R18" s="109"/>
      <c r="S18" s="122" t="str">
        <f t="shared" si="3"/>
        <v/>
      </c>
      <c r="T18" s="123"/>
      <c r="U18" s="66"/>
      <c r="V18" s="18" t="e">
        <f>IF($C18="","",VLOOKUP($C18,#REF!,4,FALSE))</f>
        <v>#REF!</v>
      </c>
      <c r="W18" s="69" t="e">
        <f>IF($E18="","",VLOOKUP($E18,#REF!,4,FALSE))</f>
        <v>#REF!</v>
      </c>
      <c r="Y18"/>
      <c r="Z18"/>
      <c r="AA18"/>
      <c r="AB18"/>
      <c r="AC18"/>
    </row>
    <row r="19" spans="1:30" s="67" customFormat="1" ht="18" customHeight="1">
      <c r="A19" s="108"/>
      <c r="B19" s="119">
        <v>6</v>
      </c>
      <c r="C19" s="125" t="s">
        <v>254</v>
      </c>
      <c r="D19" s="271">
        <v>8082</v>
      </c>
      <c r="E19" s="125" t="s">
        <v>592</v>
      </c>
      <c r="F19" s="271">
        <v>61681</v>
      </c>
      <c r="G19" s="124" t="s">
        <v>590</v>
      </c>
      <c r="H19" s="120"/>
      <c r="I19" s="120"/>
      <c r="J19" s="121" t="str">
        <f t="shared" si="0"/>
        <v/>
      </c>
      <c r="K19" s="109"/>
      <c r="L19" s="109"/>
      <c r="M19" s="122" t="str">
        <f t="shared" si="1"/>
        <v/>
      </c>
      <c r="N19" s="120"/>
      <c r="O19" s="120"/>
      <c r="P19" s="121" t="str">
        <f t="shared" si="2"/>
        <v/>
      </c>
      <c r="Q19" s="109"/>
      <c r="R19" s="109"/>
      <c r="S19" s="122" t="str">
        <f t="shared" si="3"/>
        <v/>
      </c>
      <c r="T19" s="123"/>
      <c r="U19" s="66"/>
      <c r="V19" s="18" t="e">
        <f>IF($C19="","",VLOOKUP($C19,#REF!,4,FALSE))</f>
        <v>#REF!</v>
      </c>
      <c r="W19" s="69" t="e">
        <f>IF($E19="","",VLOOKUP($E19,#REF!,4,FALSE))</f>
        <v>#REF!</v>
      </c>
      <c r="Y19"/>
      <c r="Z19"/>
      <c r="AA19"/>
      <c r="AB19"/>
      <c r="AC19"/>
      <c r="AD19"/>
    </row>
    <row r="20" spans="1:30" s="67" customFormat="1" ht="18" customHeight="1">
      <c r="A20" s="108"/>
      <c r="B20" s="119">
        <v>7</v>
      </c>
      <c r="C20" s="89" t="s">
        <v>615</v>
      </c>
      <c r="D20" s="290">
        <v>32525</v>
      </c>
      <c r="E20" s="128" t="s">
        <v>616</v>
      </c>
      <c r="F20" s="305">
        <v>61841</v>
      </c>
      <c r="G20" s="129" t="s">
        <v>714</v>
      </c>
      <c r="H20" s="120"/>
      <c r="I20" s="120"/>
      <c r="J20" s="121" t="str">
        <f t="shared" si="0"/>
        <v/>
      </c>
      <c r="K20" s="109"/>
      <c r="L20" s="109"/>
      <c r="M20" s="122" t="str">
        <f t="shared" si="1"/>
        <v/>
      </c>
      <c r="N20" s="120"/>
      <c r="O20" s="120"/>
      <c r="P20" s="121" t="str">
        <f t="shared" si="2"/>
        <v/>
      </c>
      <c r="Q20" s="109"/>
      <c r="R20" s="109"/>
      <c r="S20" s="122" t="str">
        <f t="shared" si="3"/>
        <v/>
      </c>
      <c r="T20" s="123"/>
      <c r="U20" s="66"/>
      <c r="V20" s="18" t="e">
        <f>IF($C20="","",VLOOKUP($C20,#REF!,4,FALSE))</f>
        <v>#REF!</v>
      </c>
      <c r="W20" s="69" t="e">
        <f>IF($E20="","",VLOOKUP($E20,#REF!,4,FALSE))</f>
        <v>#REF!</v>
      </c>
      <c r="Y20"/>
      <c r="Z20"/>
      <c r="AA20"/>
      <c r="AB20"/>
      <c r="AC20"/>
    </row>
    <row r="21" spans="1:30" s="67" customFormat="1" ht="18" customHeight="1">
      <c r="A21" s="108"/>
      <c r="B21" s="119">
        <v>8</v>
      </c>
      <c r="C21" s="257" t="s">
        <v>113</v>
      </c>
      <c r="D21" s="290">
        <v>19572</v>
      </c>
      <c r="E21" s="128" t="s">
        <v>556</v>
      </c>
      <c r="F21" s="305">
        <v>59233</v>
      </c>
      <c r="G21" s="106" t="s">
        <v>553</v>
      </c>
      <c r="H21" s="120"/>
      <c r="I21" s="120"/>
      <c r="J21" s="121" t="str">
        <f t="shared" si="0"/>
        <v/>
      </c>
      <c r="K21" s="109"/>
      <c r="L21" s="109"/>
      <c r="M21" s="122" t="str">
        <f t="shared" si="1"/>
        <v/>
      </c>
      <c r="N21" s="120"/>
      <c r="O21" s="120"/>
      <c r="P21" s="121" t="str">
        <f t="shared" si="2"/>
        <v/>
      </c>
      <c r="Q21" s="109"/>
      <c r="R21" s="109"/>
      <c r="S21" s="122" t="str">
        <f t="shared" si="3"/>
        <v/>
      </c>
      <c r="T21" s="123"/>
      <c r="U21" s="66"/>
      <c r="V21" s="18" t="e">
        <f>IF($C21="","",VLOOKUP($C21,#REF!,4,FALSE))</f>
        <v>#REF!</v>
      </c>
      <c r="W21" s="69" t="e">
        <f>IF($E21="","",VLOOKUP($E21,#REF!,4,FALSE))</f>
        <v>#REF!</v>
      </c>
      <c r="Y21"/>
      <c r="Z21"/>
      <c r="AA21"/>
      <c r="AB21"/>
      <c r="AC21"/>
    </row>
    <row r="22" spans="1:30" s="67" customFormat="1" ht="18" customHeight="1">
      <c r="A22" s="108"/>
      <c r="B22" s="119">
        <v>9</v>
      </c>
      <c r="C22" s="125" t="s">
        <v>617</v>
      </c>
      <c r="D22" s="271">
        <v>13449</v>
      </c>
      <c r="E22" s="331" t="s">
        <v>517</v>
      </c>
      <c r="F22" s="334">
        <v>60944</v>
      </c>
      <c r="G22" s="337" t="s">
        <v>516</v>
      </c>
      <c r="H22" s="120"/>
      <c r="I22" s="120"/>
      <c r="J22" s="121" t="str">
        <f t="shared" si="0"/>
        <v/>
      </c>
      <c r="K22" s="109"/>
      <c r="L22" s="109"/>
      <c r="M22" s="122" t="str">
        <f t="shared" si="1"/>
        <v/>
      </c>
      <c r="N22" s="120"/>
      <c r="O22" s="120"/>
      <c r="P22" s="121" t="str">
        <f t="shared" si="2"/>
        <v/>
      </c>
      <c r="Q22" s="109"/>
      <c r="R22" s="109"/>
      <c r="S22" s="122" t="str">
        <f t="shared" si="3"/>
        <v/>
      </c>
      <c r="T22" s="123"/>
      <c r="U22" s="66"/>
      <c r="V22" s="18" t="e">
        <f>IF($C22="","",VLOOKUP($C22,#REF!,4,FALSE))</f>
        <v>#REF!</v>
      </c>
      <c r="W22" s="69" t="e">
        <f>IF($E22="","",VLOOKUP($E22,#REF!,4,FALSE))</f>
        <v>#REF!</v>
      </c>
      <c r="Y22"/>
      <c r="Z22"/>
      <c r="AA22"/>
      <c r="AB22"/>
      <c r="AC22"/>
    </row>
    <row r="23" spans="1:30" s="67" customFormat="1" ht="18" customHeight="1">
      <c r="A23" s="108"/>
      <c r="B23" s="119">
        <v>10</v>
      </c>
      <c r="C23" s="125" t="s">
        <v>618</v>
      </c>
      <c r="D23" s="271">
        <v>25662</v>
      </c>
      <c r="E23" s="125" t="s">
        <v>280</v>
      </c>
      <c r="F23" s="271">
        <v>60576</v>
      </c>
      <c r="G23" s="124" t="s">
        <v>537</v>
      </c>
      <c r="H23" s="120"/>
      <c r="I23" s="120"/>
      <c r="J23" s="121" t="str">
        <f t="shared" si="0"/>
        <v/>
      </c>
      <c r="K23" s="109"/>
      <c r="L23" s="109"/>
      <c r="M23" s="122" t="str">
        <f t="shared" si="1"/>
        <v/>
      </c>
      <c r="N23" s="120"/>
      <c r="O23" s="120"/>
      <c r="P23" s="121" t="str">
        <f t="shared" si="2"/>
        <v/>
      </c>
      <c r="Q23" s="109"/>
      <c r="R23" s="109"/>
      <c r="S23" s="122" t="str">
        <f t="shared" si="3"/>
        <v/>
      </c>
      <c r="T23" s="123"/>
      <c r="U23" s="66"/>
      <c r="V23" s="18" t="e">
        <f>IF($C23="","",VLOOKUP($C23,#REF!,4,FALSE))</f>
        <v>#REF!</v>
      </c>
      <c r="W23" s="69" t="e">
        <f>IF($E23="","",VLOOKUP($E23,#REF!,4,FALSE))</f>
        <v>#REF!</v>
      </c>
      <c r="Y23" t="s">
        <v>134</v>
      </c>
      <c r="Z23">
        <v>13141</v>
      </c>
      <c r="AA23" t="s">
        <v>181</v>
      </c>
      <c r="AB23" t="s">
        <v>135</v>
      </c>
      <c r="AC23">
        <v>56296</v>
      </c>
      <c r="AD23" t="s">
        <v>185</v>
      </c>
    </row>
    <row r="24" spans="1:30" s="67" customFormat="1" ht="18" customHeight="1">
      <c r="A24" s="108"/>
      <c r="B24" s="119">
        <v>11</v>
      </c>
      <c r="C24" s="125" t="s">
        <v>641</v>
      </c>
      <c r="D24" s="271">
        <v>33558</v>
      </c>
      <c r="E24" s="125" t="s">
        <v>715</v>
      </c>
      <c r="F24" s="271">
        <v>58736</v>
      </c>
      <c r="G24" s="124" t="s">
        <v>636</v>
      </c>
      <c r="H24" s="120"/>
      <c r="I24" s="120"/>
      <c r="J24" s="121" t="str">
        <f t="shared" si="0"/>
        <v/>
      </c>
      <c r="K24" s="109"/>
      <c r="L24" s="109"/>
      <c r="M24" s="122" t="str">
        <f t="shared" si="1"/>
        <v/>
      </c>
      <c r="N24" s="120"/>
      <c r="O24" s="120"/>
      <c r="P24" s="121" t="str">
        <f t="shared" si="2"/>
        <v/>
      </c>
      <c r="Q24" s="109"/>
      <c r="R24" s="109"/>
      <c r="S24" s="122" t="str">
        <f t="shared" si="3"/>
        <v/>
      </c>
      <c r="T24" s="123"/>
      <c r="U24" s="66"/>
      <c r="V24" s="18" t="e">
        <f>IF($C24="","",VLOOKUP($C24,#REF!,4,FALSE))</f>
        <v>#REF!</v>
      </c>
      <c r="W24" s="69" t="e">
        <f>IF($E24="","",VLOOKUP($E24,#REF!,4,FALSE))</f>
        <v>#REF!</v>
      </c>
      <c r="Y24"/>
      <c r="Z24"/>
      <c r="AA24"/>
      <c r="AB24"/>
      <c r="AC24"/>
    </row>
    <row r="25" spans="1:30" s="67" customFormat="1" ht="18" customHeight="1">
      <c r="A25" s="108"/>
      <c r="B25" s="119">
        <v>12</v>
      </c>
      <c r="C25" s="106" t="s">
        <v>256</v>
      </c>
      <c r="D25" s="290">
        <v>10571</v>
      </c>
      <c r="E25" s="88" t="s">
        <v>595</v>
      </c>
      <c r="F25" s="280">
        <v>61781</v>
      </c>
      <c r="G25" s="106" t="s">
        <v>590</v>
      </c>
      <c r="H25" s="120"/>
      <c r="I25" s="120"/>
      <c r="J25" s="121" t="str">
        <f t="shared" si="0"/>
        <v/>
      </c>
      <c r="K25" s="109"/>
      <c r="L25" s="109"/>
      <c r="M25" s="122" t="str">
        <f t="shared" si="1"/>
        <v/>
      </c>
      <c r="N25" s="120"/>
      <c r="O25" s="120"/>
      <c r="P25" s="121" t="str">
        <f t="shared" si="2"/>
        <v/>
      </c>
      <c r="Q25" s="109"/>
      <c r="R25" s="109"/>
      <c r="S25" s="122" t="str">
        <f t="shared" si="3"/>
        <v/>
      </c>
      <c r="T25" s="123"/>
      <c r="U25" s="66"/>
      <c r="V25" s="18" t="e">
        <f>IF($C25="","",VLOOKUP($C25,#REF!,4,FALSE))</f>
        <v>#REF!</v>
      </c>
      <c r="W25" s="69" t="e">
        <f>IF($E25="","",VLOOKUP($E25,#REF!,4,FALSE))</f>
        <v>#REF!</v>
      </c>
      <c r="Y25"/>
      <c r="Z25"/>
      <c r="AA25"/>
      <c r="AB25"/>
      <c r="AC25"/>
    </row>
    <row r="26" spans="1:30" s="67" customFormat="1" ht="18" customHeight="1">
      <c r="A26" s="108"/>
      <c r="B26" s="119">
        <v>13</v>
      </c>
      <c r="C26" s="125" t="s">
        <v>716</v>
      </c>
      <c r="D26" s="271">
        <v>21313</v>
      </c>
      <c r="E26" s="125" t="s">
        <v>503</v>
      </c>
      <c r="F26" s="271">
        <v>53892</v>
      </c>
      <c r="G26" s="124" t="s">
        <v>502</v>
      </c>
      <c r="H26" s="120"/>
      <c r="I26" s="120"/>
      <c r="J26" s="121" t="str">
        <f t="shared" si="0"/>
        <v/>
      </c>
      <c r="K26" s="109"/>
      <c r="L26" s="109"/>
      <c r="M26" s="122" t="str">
        <f t="shared" si="1"/>
        <v/>
      </c>
      <c r="N26" s="120"/>
      <c r="O26" s="120"/>
      <c r="P26" s="121" t="str">
        <f t="shared" si="2"/>
        <v/>
      </c>
      <c r="Q26" s="109"/>
      <c r="R26" s="109"/>
      <c r="S26" s="122" t="str">
        <f t="shared" si="3"/>
        <v/>
      </c>
      <c r="T26" s="123"/>
      <c r="U26" s="66"/>
      <c r="V26" s="18" t="e">
        <f>IF($C26="","",VLOOKUP($C26,#REF!,4,FALSE))</f>
        <v>#REF!</v>
      </c>
      <c r="W26" s="69" t="e">
        <f>IF($E26="","",VLOOKUP($E26,#REF!,4,FALSE))</f>
        <v>#REF!</v>
      </c>
      <c r="Y26"/>
      <c r="Z26"/>
      <c r="AA26"/>
      <c r="AB26"/>
      <c r="AC26"/>
    </row>
    <row r="27" spans="1:30" s="67" customFormat="1" ht="18" customHeight="1">
      <c r="A27" s="108"/>
      <c r="B27" s="119">
        <v>14</v>
      </c>
      <c r="C27" s="330" t="s">
        <v>620</v>
      </c>
      <c r="D27" s="315">
        <v>20359</v>
      </c>
      <c r="E27" s="333" t="s">
        <v>546</v>
      </c>
      <c r="F27" s="336">
        <v>61773</v>
      </c>
      <c r="G27" s="124" t="s">
        <v>547</v>
      </c>
      <c r="H27" s="120"/>
      <c r="I27" s="120"/>
      <c r="J27" s="121" t="str">
        <f t="shared" si="0"/>
        <v/>
      </c>
      <c r="K27" s="109"/>
      <c r="L27" s="109"/>
      <c r="M27" s="122" t="str">
        <f t="shared" si="1"/>
        <v/>
      </c>
      <c r="N27" s="120"/>
      <c r="O27" s="120"/>
      <c r="P27" s="121" t="str">
        <f t="shared" si="2"/>
        <v/>
      </c>
      <c r="Q27" s="109"/>
      <c r="R27" s="109"/>
      <c r="S27" s="122" t="str">
        <f t="shared" si="3"/>
        <v/>
      </c>
      <c r="T27" s="123"/>
      <c r="U27" s="66"/>
      <c r="V27" s="18" t="e">
        <f>IF($C27="","",VLOOKUP($C27,#REF!,4,FALSE))</f>
        <v>#REF!</v>
      </c>
      <c r="W27" s="69" t="e">
        <f>IF($E27="","",VLOOKUP($E27,#REF!,4,FALSE))</f>
        <v>#REF!</v>
      </c>
      <c r="Y27"/>
      <c r="Z27"/>
      <c r="AA27"/>
      <c r="AB27"/>
      <c r="AC27"/>
    </row>
    <row r="28" spans="1:30" s="67" customFormat="1" ht="18" customHeight="1">
      <c r="A28" s="108"/>
      <c r="B28" s="119">
        <v>15</v>
      </c>
      <c r="C28" s="87" t="s">
        <v>599</v>
      </c>
      <c r="D28" s="273">
        <v>33872</v>
      </c>
      <c r="E28" s="88" t="s">
        <v>600</v>
      </c>
      <c r="F28" s="280">
        <v>60703</v>
      </c>
      <c r="G28" s="102" t="s">
        <v>598</v>
      </c>
      <c r="H28" s="120"/>
      <c r="I28" s="120"/>
      <c r="J28" s="121" t="str">
        <f t="shared" si="0"/>
        <v/>
      </c>
      <c r="K28" s="109"/>
      <c r="L28" s="109"/>
      <c r="M28" s="122" t="str">
        <f t="shared" si="1"/>
        <v/>
      </c>
      <c r="N28" s="120"/>
      <c r="O28" s="120"/>
      <c r="P28" s="121" t="str">
        <f t="shared" si="2"/>
        <v/>
      </c>
      <c r="Q28" s="109"/>
      <c r="R28" s="109"/>
      <c r="S28" s="122" t="str">
        <f t="shared" si="3"/>
        <v/>
      </c>
      <c r="T28" s="123"/>
      <c r="U28" s="66"/>
      <c r="V28" s="18" t="e">
        <f>IF($C28="","",VLOOKUP($C28,#REF!,4,FALSE))</f>
        <v>#REF!</v>
      </c>
      <c r="W28" s="69" t="e">
        <f>IF($E28="","",VLOOKUP($E28,#REF!,4,FALSE))</f>
        <v>#REF!</v>
      </c>
      <c r="Y28"/>
      <c r="Z28"/>
      <c r="AA28"/>
      <c r="AB28"/>
      <c r="AC28"/>
      <c r="AD28"/>
    </row>
    <row r="29" spans="1:30" s="67" customFormat="1" ht="18" customHeight="1">
      <c r="A29" s="108"/>
      <c r="B29" s="119">
        <v>16</v>
      </c>
      <c r="C29" s="256" t="s">
        <v>621</v>
      </c>
      <c r="D29" s="271">
        <v>26433</v>
      </c>
      <c r="E29" s="125" t="s">
        <v>577</v>
      </c>
      <c r="F29" s="271">
        <v>61240</v>
      </c>
      <c r="G29" s="126" t="s">
        <v>574</v>
      </c>
      <c r="H29" s="120"/>
      <c r="I29" s="120"/>
      <c r="J29" s="121" t="str">
        <f t="shared" si="0"/>
        <v/>
      </c>
      <c r="K29" s="109"/>
      <c r="L29" s="109"/>
      <c r="M29" s="122" t="str">
        <f t="shared" si="1"/>
        <v/>
      </c>
      <c r="N29" s="120"/>
      <c r="O29" s="120"/>
      <c r="P29" s="121" t="str">
        <f t="shared" si="2"/>
        <v/>
      </c>
      <c r="Q29" s="109"/>
      <c r="R29" s="109"/>
      <c r="S29" s="122" t="str">
        <f t="shared" si="3"/>
        <v/>
      </c>
      <c r="T29" s="123"/>
      <c r="U29" s="66"/>
      <c r="V29" s="18" t="e">
        <f>IF($C29="","",VLOOKUP($C29,#REF!,4,FALSE))</f>
        <v>#REF!</v>
      </c>
      <c r="W29" s="69" t="e">
        <f>IF($E29="","",VLOOKUP($E29,#REF!,4,FALSE))</f>
        <v>#REF!</v>
      </c>
      <c r="Y29"/>
      <c r="Z29"/>
      <c r="AA29"/>
      <c r="AB29"/>
      <c r="AC29"/>
    </row>
    <row r="30" spans="1:30" s="67" customFormat="1" ht="18" customHeight="1">
      <c r="A30" s="108"/>
      <c r="B30" s="119">
        <v>17</v>
      </c>
      <c r="C30" s="125" t="s">
        <v>625</v>
      </c>
      <c r="D30" s="271">
        <v>33929</v>
      </c>
      <c r="E30" s="125" t="s">
        <v>525</v>
      </c>
      <c r="F30" s="271">
        <v>58085</v>
      </c>
      <c r="G30" s="124" t="s">
        <v>527</v>
      </c>
      <c r="H30" s="120"/>
      <c r="I30" s="120"/>
      <c r="J30" s="121" t="str">
        <f t="shared" si="0"/>
        <v/>
      </c>
      <c r="K30" s="109"/>
      <c r="L30" s="109"/>
      <c r="M30" s="122" t="str">
        <f t="shared" si="1"/>
        <v/>
      </c>
      <c r="N30" s="120"/>
      <c r="O30" s="120"/>
      <c r="P30" s="121" t="str">
        <f t="shared" si="2"/>
        <v/>
      </c>
      <c r="Q30" s="109"/>
      <c r="R30" s="109"/>
      <c r="S30" s="122" t="str">
        <f t="shared" si="3"/>
        <v/>
      </c>
      <c r="T30" s="123"/>
      <c r="U30" s="66"/>
      <c r="V30" s="18" t="e">
        <f>IF($C30="","",VLOOKUP($C30,#REF!,4,FALSE))</f>
        <v>#REF!</v>
      </c>
      <c r="W30" s="69" t="e">
        <f>IF($E30="","",VLOOKUP($E30,#REF!,4,FALSE))</f>
        <v>#REF!</v>
      </c>
      <c r="Y30"/>
      <c r="Z30"/>
      <c r="AA30"/>
      <c r="AB30"/>
      <c r="AC30"/>
    </row>
    <row r="31" spans="1:30" s="67" customFormat="1" ht="18" customHeight="1">
      <c r="A31" s="108"/>
      <c r="B31" s="119">
        <v>18</v>
      </c>
      <c r="C31" s="125" t="s">
        <v>510</v>
      </c>
      <c r="D31" s="271">
        <v>31991</v>
      </c>
      <c r="E31" s="125" t="s">
        <v>509</v>
      </c>
      <c r="F31" s="271">
        <v>60825</v>
      </c>
      <c r="G31" s="124" t="s">
        <v>658</v>
      </c>
      <c r="H31" s="120"/>
      <c r="I31" s="120"/>
      <c r="J31" s="121" t="str">
        <f t="shared" si="0"/>
        <v/>
      </c>
      <c r="K31" s="109"/>
      <c r="L31" s="109"/>
      <c r="M31" s="122" t="str">
        <f t="shared" si="1"/>
        <v/>
      </c>
      <c r="N31" s="120"/>
      <c r="O31" s="120"/>
      <c r="P31" s="121" t="str">
        <f t="shared" si="2"/>
        <v/>
      </c>
      <c r="Q31" s="109"/>
      <c r="R31" s="109"/>
      <c r="S31" s="122" t="str">
        <f t="shared" si="3"/>
        <v/>
      </c>
      <c r="T31" s="123"/>
      <c r="U31" s="66"/>
      <c r="V31" s="18" t="e">
        <f>IF($C31="","",VLOOKUP($C31,#REF!,4,FALSE))</f>
        <v>#REF!</v>
      </c>
      <c r="W31" s="69" t="e">
        <f>IF($E31="","",VLOOKUP($E31,#REF!,4,FALSE))</f>
        <v>#REF!</v>
      </c>
      <c r="Y31"/>
      <c r="Z31"/>
      <c r="AA31"/>
      <c r="AB31"/>
      <c r="AC31"/>
      <c r="AD31"/>
    </row>
    <row r="32" spans="1:30" s="67" customFormat="1" ht="18" customHeight="1">
      <c r="A32" s="60"/>
      <c r="B32" s="119">
        <v>19</v>
      </c>
      <c r="C32" s="137" t="s">
        <v>624</v>
      </c>
      <c r="D32" s="271">
        <v>11693</v>
      </c>
      <c r="E32" s="145" t="s">
        <v>544</v>
      </c>
      <c r="F32" s="294">
        <v>57969</v>
      </c>
      <c r="G32" s="141" t="s">
        <v>542</v>
      </c>
      <c r="H32" s="22"/>
      <c r="I32" s="22"/>
      <c r="J32" s="62" t="str">
        <f t="shared" si="0"/>
        <v/>
      </c>
      <c r="K32" s="63"/>
      <c r="L32" s="63"/>
      <c r="M32" s="64" t="str">
        <f t="shared" si="1"/>
        <v/>
      </c>
      <c r="N32" s="22"/>
      <c r="O32" s="22"/>
      <c r="P32" s="62" t="str">
        <f t="shared" si="2"/>
        <v/>
      </c>
      <c r="Q32" s="63"/>
      <c r="R32" s="63"/>
      <c r="S32" s="64" t="str">
        <f t="shared" si="3"/>
        <v/>
      </c>
      <c r="T32" s="65"/>
      <c r="U32" s="66"/>
      <c r="V32" s="18" t="e">
        <f>IF($C32="","",VLOOKUP($C32,#REF!,4,FALSE))</f>
        <v>#REF!</v>
      </c>
      <c r="W32" s="69" t="e">
        <f>IF($E32="","",VLOOKUP($E32,#REF!,4,FALSE))</f>
        <v>#REF!</v>
      </c>
      <c r="Y32"/>
      <c r="Z32"/>
      <c r="AA32"/>
      <c r="AB32"/>
      <c r="AC32"/>
    </row>
    <row r="33" spans="1:30" s="67" customFormat="1" ht="18" customHeight="1">
      <c r="A33" s="108"/>
      <c r="B33" s="119">
        <v>20</v>
      </c>
      <c r="C33" s="87" t="s">
        <v>504</v>
      </c>
      <c r="D33" s="273">
        <v>31537</v>
      </c>
      <c r="E33" s="88" t="s">
        <v>505</v>
      </c>
      <c r="F33" s="280">
        <v>61051</v>
      </c>
      <c r="G33" s="103" t="s">
        <v>502</v>
      </c>
      <c r="H33" s="120"/>
      <c r="I33" s="120"/>
      <c r="J33" s="121" t="str">
        <f t="shared" si="0"/>
        <v/>
      </c>
      <c r="K33" s="109"/>
      <c r="L33" s="109"/>
      <c r="M33" s="122" t="str">
        <f t="shared" si="1"/>
        <v/>
      </c>
      <c r="N33" s="120"/>
      <c r="O33" s="120"/>
      <c r="P33" s="121" t="str">
        <f t="shared" si="2"/>
        <v/>
      </c>
      <c r="Q33" s="109"/>
      <c r="R33" s="109"/>
      <c r="S33" s="122" t="str">
        <f t="shared" si="3"/>
        <v/>
      </c>
      <c r="T33" s="123"/>
      <c r="U33" s="66"/>
      <c r="V33" s="18" t="e">
        <f>IF($C33="","",VLOOKUP($C33,#REF!,4,FALSE))</f>
        <v>#REF!</v>
      </c>
      <c r="W33" s="69" t="e">
        <f>IF($E33="","",VLOOKUP($E33,#REF!,4,FALSE))</f>
        <v>#REF!</v>
      </c>
      <c r="Y33"/>
      <c r="Z33"/>
      <c r="AA33"/>
      <c r="AB33"/>
      <c r="AC33"/>
    </row>
    <row r="34" spans="1:30" s="67" customFormat="1" ht="18" customHeight="1">
      <c r="A34" s="108"/>
      <c r="B34" s="119">
        <v>21</v>
      </c>
      <c r="C34" s="125" t="s">
        <v>626</v>
      </c>
      <c r="D34" s="271">
        <v>14546</v>
      </c>
      <c r="E34" s="125" t="s">
        <v>573</v>
      </c>
      <c r="F34" s="271">
        <v>60834</v>
      </c>
      <c r="G34" s="124" t="s">
        <v>574</v>
      </c>
      <c r="H34" s="120"/>
      <c r="I34" s="120"/>
      <c r="J34" s="121" t="str">
        <f t="shared" si="0"/>
        <v/>
      </c>
      <c r="K34" s="109"/>
      <c r="L34" s="109"/>
      <c r="M34" s="122" t="str">
        <f t="shared" si="1"/>
        <v/>
      </c>
      <c r="N34" s="120"/>
      <c r="O34" s="120"/>
      <c r="P34" s="121" t="str">
        <f t="shared" si="2"/>
        <v/>
      </c>
      <c r="Q34" s="109"/>
      <c r="R34" s="109"/>
      <c r="S34" s="122" t="str">
        <f t="shared" si="3"/>
        <v/>
      </c>
      <c r="T34" s="123"/>
      <c r="U34" s="66"/>
      <c r="V34" s="18" t="e">
        <f>IF($C34="","",VLOOKUP($C34,#REF!,4,FALSE))</f>
        <v>#REF!</v>
      </c>
      <c r="W34" s="69" t="e">
        <f>IF($E34="","",VLOOKUP($E34,#REF!,4,FALSE))</f>
        <v>#REF!</v>
      </c>
      <c r="Y34"/>
      <c r="Z34"/>
      <c r="AA34"/>
      <c r="AB34"/>
      <c r="AC34"/>
    </row>
    <row r="35" spans="1:30" s="67" customFormat="1" ht="18" customHeight="1">
      <c r="A35" s="108"/>
      <c r="B35" s="119">
        <v>22</v>
      </c>
      <c r="C35" s="125" t="s">
        <v>627</v>
      </c>
      <c r="D35" s="271">
        <v>28295</v>
      </c>
      <c r="E35" s="125" t="s">
        <v>587</v>
      </c>
      <c r="F35" s="271">
        <v>59349</v>
      </c>
      <c r="G35" s="124" t="s">
        <v>585</v>
      </c>
      <c r="H35" s="120"/>
      <c r="I35" s="120"/>
      <c r="J35" s="121" t="str">
        <f t="shared" si="0"/>
        <v/>
      </c>
      <c r="K35" s="109"/>
      <c r="L35" s="109"/>
      <c r="M35" s="122" t="str">
        <f t="shared" si="1"/>
        <v/>
      </c>
      <c r="N35" s="120"/>
      <c r="O35" s="120"/>
      <c r="P35" s="121" t="str">
        <f t="shared" si="2"/>
        <v/>
      </c>
      <c r="Q35" s="109"/>
      <c r="R35" s="109"/>
      <c r="S35" s="122" t="str">
        <f t="shared" si="3"/>
        <v/>
      </c>
      <c r="T35" s="123"/>
      <c r="U35" s="66"/>
      <c r="V35" s="18" t="e">
        <f>IF($C35="","",VLOOKUP($C35,#REF!,4,FALSE))</f>
        <v>#REF!</v>
      </c>
      <c r="W35" s="69" t="e">
        <f>IF($E35="","",VLOOKUP($E35,#REF!,4,FALSE))</f>
        <v>#REF!</v>
      </c>
      <c r="Y35"/>
      <c r="Z35"/>
      <c r="AA35"/>
      <c r="AB35"/>
      <c r="AC35"/>
    </row>
    <row r="36" spans="1:30" s="67" customFormat="1" ht="18" customHeight="1">
      <c r="A36" s="108"/>
      <c r="B36" s="119">
        <v>23</v>
      </c>
      <c r="C36" s="87" t="s">
        <v>628</v>
      </c>
      <c r="D36" s="273">
        <v>32526</v>
      </c>
      <c r="E36" s="88" t="s">
        <v>570</v>
      </c>
      <c r="F36" s="280">
        <v>57857</v>
      </c>
      <c r="G36" s="87" t="s">
        <v>714</v>
      </c>
      <c r="H36" s="120"/>
      <c r="I36" s="120"/>
      <c r="J36" s="121" t="str">
        <f t="shared" si="0"/>
        <v/>
      </c>
      <c r="K36" s="109"/>
      <c r="L36" s="109"/>
      <c r="M36" s="122" t="str">
        <f t="shared" si="1"/>
        <v/>
      </c>
      <c r="N36" s="120"/>
      <c r="O36" s="120"/>
      <c r="P36" s="121" t="str">
        <f t="shared" si="2"/>
        <v/>
      </c>
      <c r="Q36" s="109"/>
      <c r="R36" s="109"/>
      <c r="S36" s="122" t="str">
        <f t="shared" si="3"/>
        <v/>
      </c>
      <c r="T36" s="123"/>
      <c r="U36" s="66"/>
      <c r="V36" s="18" t="e">
        <f>IF($C36="","",VLOOKUP($C36,#REF!,4,FALSE))</f>
        <v>#REF!</v>
      </c>
      <c r="W36" s="69" t="e">
        <f>IF($E36="","",VLOOKUP($E36,#REF!,4,FALSE))</f>
        <v>#REF!</v>
      </c>
      <c r="Y36"/>
      <c r="Z36"/>
      <c r="AA36"/>
      <c r="AB36"/>
      <c r="AC36"/>
      <c r="AD36"/>
    </row>
    <row r="37" spans="1:30" s="67" customFormat="1" ht="18" customHeight="1">
      <c r="A37" s="108"/>
      <c r="B37" s="119">
        <v>24</v>
      </c>
      <c r="C37" s="125" t="s">
        <v>629</v>
      </c>
      <c r="D37" s="271">
        <v>29985</v>
      </c>
      <c r="E37" s="125" t="s">
        <v>520</v>
      </c>
      <c r="F37" s="271">
        <v>57710</v>
      </c>
      <c r="G37" s="124" t="s">
        <v>521</v>
      </c>
      <c r="H37" s="120"/>
      <c r="I37" s="120"/>
      <c r="J37" s="121" t="str">
        <f t="shared" si="0"/>
        <v/>
      </c>
      <c r="K37" s="109"/>
      <c r="L37" s="109"/>
      <c r="M37" s="122" t="str">
        <f t="shared" si="1"/>
        <v/>
      </c>
      <c r="N37" s="120"/>
      <c r="O37" s="120"/>
      <c r="P37" s="121" t="str">
        <f t="shared" si="2"/>
        <v/>
      </c>
      <c r="Q37" s="109"/>
      <c r="R37" s="109"/>
      <c r="S37" s="122" t="str">
        <f t="shared" si="3"/>
        <v/>
      </c>
      <c r="T37" s="123"/>
      <c r="U37" s="66"/>
      <c r="V37" s="18" t="e">
        <f>IF($C37="","",VLOOKUP($C37,#REF!,4,FALSE))</f>
        <v>#REF!</v>
      </c>
      <c r="W37" s="69" t="e">
        <f>IF($E37="","",VLOOKUP($E37,#REF!,4,FALSE))</f>
        <v>#REF!</v>
      </c>
      <c r="Y37" t="s">
        <v>338</v>
      </c>
      <c r="Z37">
        <v>13160</v>
      </c>
      <c r="AA37" t="s">
        <v>337</v>
      </c>
      <c r="AB37" t="s">
        <v>292</v>
      </c>
      <c r="AC37">
        <v>60255</v>
      </c>
      <c r="AD37" t="s">
        <v>339</v>
      </c>
    </row>
    <row r="38" spans="1:30" s="67" customFormat="1" ht="18" customHeight="1">
      <c r="A38" s="60"/>
      <c r="B38" s="119">
        <v>25</v>
      </c>
      <c r="C38" s="137" t="s">
        <v>507</v>
      </c>
      <c r="D38" s="271">
        <v>33372</v>
      </c>
      <c r="E38" s="145" t="s">
        <v>506</v>
      </c>
      <c r="F38" s="294">
        <v>56840</v>
      </c>
      <c r="G38" s="141" t="s">
        <v>502</v>
      </c>
      <c r="H38" s="22"/>
      <c r="I38" s="22"/>
      <c r="J38" s="62" t="str">
        <f t="shared" si="0"/>
        <v/>
      </c>
      <c r="K38" s="63"/>
      <c r="L38" s="63"/>
      <c r="M38" s="64" t="str">
        <f t="shared" si="1"/>
        <v/>
      </c>
      <c r="N38" s="22"/>
      <c r="O38" s="22"/>
      <c r="P38" s="62" t="str">
        <f t="shared" si="2"/>
        <v/>
      </c>
      <c r="Q38" s="63"/>
      <c r="R38" s="63"/>
      <c r="S38" s="64" t="str">
        <f t="shared" si="3"/>
        <v/>
      </c>
      <c r="T38" s="65"/>
      <c r="U38" s="66"/>
      <c r="V38" s="18" t="e">
        <f>IF($C38="","",VLOOKUP($C38,#REF!,4,FALSE))</f>
        <v>#REF!</v>
      </c>
      <c r="W38" s="69" t="e">
        <f>IF($E38="","",VLOOKUP($E38,#REF!,4,FALSE))</f>
        <v>#REF!</v>
      </c>
      <c r="Y38"/>
      <c r="Z38"/>
      <c r="AA38"/>
      <c r="AB38"/>
      <c r="AC38"/>
    </row>
    <row r="39" spans="1:30" s="67" customFormat="1" ht="18" customHeight="1">
      <c r="A39" s="108"/>
      <c r="B39" s="119">
        <v>26</v>
      </c>
      <c r="C39" s="234" t="s">
        <v>630</v>
      </c>
      <c r="D39" s="271">
        <v>34060</v>
      </c>
      <c r="E39" s="125" t="s">
        <v>499</v>
      </c>
      <c r="F39" s="271">
        <v>59772</v>
      </c>
      <c r="G39" s="124" t="s">
        <v>492</v>
      </c>
      <c r="H39" s="120"/>
      <c r="I39" s="120"/>
      <c r="J39" s="121" t="str">
        <f t="shared" si="0"/>
        <v/>
      </c>
      <c r="K39" s="109"/>
      <c r="L39" s="109"/>
      <c r="M39" s="122" t="str">
        <f t="shared" si="1"/>
        <v/>
      </c>
      <c r="N39" s="120"/>
      <c r="O39" s="120"/>
      <c r="P39" s="121" t="str">
        <f t="shared" si="2"/>
        <v/>
      </c>
      <c r="Q39" s="109"/>
      <c r="R39" s="109"/>
      <c r="S39" s="122" t="str">
        <f t="shared" si="3"/>
        <v/>
      </c>
      <c r="T39" s="123"/>
      <c r="U39" s="66"/>
      <c r="V39" s="18" t="e">
        <f>IF($C39="","",VLOOKUP($C39,#REF!,4,FALSE))</f>
        <v>#REF!</v>
      </c>
      <c r="W39" s="69" t="e">
        <f>IF($E39="","",VLOOKUP($E39,#REF!,4,FALSE))</f>
        <v>#REF!</v>
      </c>
      <c r="Y39"/>
      <c r="Z39"/>
      <c r="AA39"/>
      <c r="AB39"/>
      <c r="AC39"/>
    </row>
    <row r="40" spans="1:30" s="67" customFormat="1" ht="18" customHeight="1">
      <c r="A40" s="108"/>
      <c r="B40" s="119">
        <v>27</v>
      </c>
      <c r="C40" s="258" t="s">
        <v>619</v>
      </c>
      <c r="D40" s="271">
        <v>18717</v>
      </c>
      <c r="E40" s="125" t="s">
        <v>631</v>
      </c>
      <c r="F40" s="271">
        <v>62148</v>
      </c>
      <c r="G40" s="124" t="s">
        <v>527</v>
      </c>
      <c r="H40" s="120"/>
      <c r="I40" s="120"/>
      <c r="J40" s="121" t="str">
        <f t="shared" si="0"/>
        <v/>
      </c>
      <c r="K40" s="109"/>
      <c r="L40" s="109"/>
      <c r="M40" s="122" t="str">
        <f t="shared" si="1"/>
        <v/>
      </c>
      <c r="N40" s="120"/>
      <c r="O40" s="120"/>
      <c r="P40" s="121" t="str">
        <f t="shared" si="2"/>
        <v/>
      </c>
      <c r="Q40" s="109"/>
      <c r="R40" s="109"/>
      <c r="S40" s="122" t="str">
        <f t="shared" si="3"/>
        <v/>
      </c>
      <c r="T40" s="123"/>
      <c r="U40" s="66"/>
      <c r="V40" s="18" t="e">
        <f>IF($C40="","",VLOOKUP($C40,#REF!,4,FALSE))</f>
        <v>#REF!</v>
      </c>
      <c r="W40" s="69" t="e">
        <f>IF($E40="","",VLOOKUP($E40,#REF!,4,FALSE))</f>
        <v>#REF!</v>
      </c>
      <c r="Y40" t="s">
        <v>338</v>
      </c>
      <c r="Z40">
        <v>13160</v>
      </c>
      <c r="AA40" t="s">
        <v>337</v>
      </c>
      <c r="AB40" t="s">
        <v>145</v>
      </c>
      <c r="AC40">
        <v>60923</v>
      </c>
      <c r="AD40" t="s">
        <v>206</v>
      </c>
    </row>
    <row r="41" spans="1:30" s="67" customFormat="1" ht="18" customHeight="1">
      <c r="A41" s="108"/>
      <c r="B41" s="119">
        <v>28</v>
      </c>
      <c r="C41" s="125" t="s">
        <v>113</v>
      </c>
      <c r="D41" s="271">
        <v>19572</v>
      </c>
      <c r="E41" s="125" t="s">
        <v>632</v>
      </c>
      <c r="F41" s="271">
        <v>61394</v>
      </c>
      <c r="G41" s="124" t="s">
        <v>553</v>
      </c>
      <c r="H41" s="120"/>
      <c r="I41" s="120"/>
      <c r="J41" s="121" t="str">
        <f t="shared" si="0"/>
        <v/>
      </c>
      <c r="K41" s="109"/>
      <c r="L41" s="109"/>
      <c r="M41" s="122" t="str">
        <f t="shared" si="1"/>
        <v/>
      </c>
      <c r="N41" s="120"/>
      <c r="O41" s="120"/>
      <c r="P41" s="121" t="str">
        <f t="shared" si="2"/>
        <v/>
      </c>
      <c r="Q41" s="109"/>
      <c r="R41" s="109"/>
      <c r="S41" s="122" t="str">
        <f t="shared" si="3"/>
        <v/>
      </c>
      <c r="T41" s="123"/>
      <c r="U41" s="66"/>
      <c r="V41" s="18" t="e">
        <f>IF($C41="","",VLOOKUP($C41,#REF!,4,FALSE))</f>
        <v>#REF!</v>
      </c>
      <c r="W41" s="69" t="e">
        <f>IF($E41="","",VLOOKUP($E41,#REF!,4,FALSE))</f>
        <v>#REF!</v>
      </c>
      <c r="Y41"/>
      <c r="Z41"/>
      <c r="AA41"/>
      <c r="AB41"/>
      <c r="AC41"/>
    </row>
    <row r="42" spans="1:30" s="67" customFormat="1" ht="18" customHeight="1">
      <c r="A42" s="108"/>
      <c r="B42" s="119">
        <v>29</v>
      </c>
      <c r="C42" s="260" t="s">
        <v>633</v>
      </c>
      <c r="D42" s="273">
        <v>32428</v>
      </c>
      <c r="E42" s="88" t="s">
        <v>496</v>
      </c>
      <c r="F42" s="280">
        <v>60948</v>
      </c>
      <c r="G42" s="105" t="s">
        <v>492</v>
      </c>
      <c r="H42" s="120"/>
      <c r="I42" s="120"/>
      <c r="J42" s="121" t="str">
        <f t="shared" si="0"/>
        <v/>
      </c>
      <c r="K42" s="109"/>
      <c r="L42" s="109"/>
      <c r="M42" s="122" t="str">
        <f t="shared" si="1"/>
        <v/>
      </c>
      <c r="N42" s="120"/>
      <c r="O42" s="120"/>
      <c r="P42" s="121" t="str">
        <f t="shared" si="2"/>
        <v/>
      </c>
      <c r="Q42" s="109"/>
      <c r="R42" s="109"/>
      <c r="S42" s="122" t="str">
        <f t="shared" si="3"/>
        <v/>
      </c>
      <c r="T42" s="123"/>
      <c r="U42" s="66"/>
      <c r="V42" s="18" t="e">
        <f>IF($C42="","",VLOOKUP($C42,#REF!,4,FALSE))</f>
        <v>#REF!</v>
      </c>
      <c r="W42" s="69" t="e">
        <f>IF($E42="","",VLOOKUP($E42,#REF!,4,FALSE))</f>
        <v>#REF!</v>
      </c>
      <c r="Y42"/>
      <c r="Z42"/>
      <c r="AA42"/>
      <c r="AB42"/>
      <c r="AC42"/>
      <c r="AD42"/>
    </row>
    <row r="43" spans="1:30" s="67" customFormat="1" ht="18" customHeight="1">
      <c r="A43" s="60"/>
      <c r="B43" s="119">
        <v>30</v>
      </c>
      <c r="C43" s="253" t="s">
        <v>254</v>
      </c>
      <c r="D43" s="271">
        <v>8082</v>
      </c>
      <c r="E43" s="332" t="s">
        <v>594</v>
      </c>
      <c r="F43" s="335">
        <v>60439</v>
      </c>
      <c r="G43" s="338" t="s">
        <v>590</v>
      </c>
      <c r="H43" s="22"/>
      <c r="I43" s="22"/>
      <c r="J43" s="62" t="str">
        <f t="shared" si="0"/>
        <v/>
      </c>
      <c r="K43" s="63"/>
      <c r="L43" s="63"/>
      <c r="M43" s="64" t="str">
        <f t="shared" si="1"/>
        <v/>
      </c>
      <c r="N43" s="22"/>
      <c r="O43" s="22"/>
      <c r="P43" s="62" t="str">
        <f t="shared" si="2"/>
        <v/>
      </c>
      <c r="Q43" s="63"/>
      <c r="R43" s="63"/>
      <c r="S43" s="64" t="str">
        <f t="shared" si="3"/>
        <v/>
      </c>
      <c r="T43" s="65"/>
      <c r="U43" s="66"/>
      <c r="V43" s="18" t="e">
        <f>IF($C43="","",VLOOKUP($C43,#REF!,4,FALSE))</f>
        <v>#REF!</v>
      </c>
      <c r="W43" s="69" t="e">
        <f>IF($E43="","",VLOOKUP($E43,#REF!,4,FALSE))</f>
        <v>#REF!</v>
      </c>
      <c r="Y43"/>
      <c r="Z43"/>
      <c r="AA43"/>
      <c r="AB43"/>
      <c r="AC43"/>
    </row>
    <row r="44" spans="1:30" s="67" customFormat="1" ht="18" customHeight="1">
      <c r="A44" s="108"/>
      <c r="B44" s="119">
        <v>31</v>
      </c>
      <c r="C44" s="87" t="s">
        <v>510</v>
      </c>
      <c r="D44" s="273">
        <v>31991</v>
      </c>
      <c r="E44" s="88" t="s">
        <v>508</v>
      </c>
      <c r="F44" s="280">
        <v>57652</v>
      </c>
      <c r="G44" s="105" t="s">
        <v>658</v>
      </c>
      <c r="H44" s="120"/>
      <c r="I44" s="120"/>
      <c r="J44" s="121" t="str">
        <f t="shared" si="0"/>
        <v/>
      </c>
      <c r="K44" s="109"/>
      <c r="L44" s="109"/>
      <c r="M44" s="122" t="str">
        <f t="shared" si="1"/>
        <v/>
      </c>
      <c r="N44" s="120"/>
      <c r="O44" s="120"/>
      <c r="P44" s="121" t="str">
        <f t="shared" si="2"/>
        <v/>
      </c>
      <c r="Q44" s="109"/>
      <c r="R44" s="109"/>
      <c r="S44" s="122" t="str">
        <f t="shared" si="3"/>
        <v/>
      </c>
      <c r="T44" s="123"/>
      <c r="U44" s="66"/>
      <c r="V44" s="18" t="e">
        <f>IF($C44="","",VLOOKUP($C44,#REF!,4,FALSE))</f>
        <v>#REF!</v>
      </c>
      <c r="W44" s="69" t="e">
        <f>IF($E44="","",VLOOKUP($E44,#REF!,4,FALSE))</f>
        <v>#REF!</v>
      </c>
      <c r="Y44"/>
      <c r="Z44"/>
      <c r="AA44"/>
      <c r="AB44"/>
      <c r="AC44"/>
    </row>
    <row r="45" spans="1:30" s="67" customFormat="1" ht="18" customHeight="1">
      <c r="A45" s="108" t="s">
        <v>687</v>
      </c>
      <c r="B45" s="119">
        <v>32</v>
      </c>
      <c r="C45" s="125" t="s">
        <v>622</v>
      </c>
      <c r="D45" s="271">
        <v>28816</v>
      </c>
      <c r="E45" s="125" t="s">
        <v>623</v>
      </c>
      <c r="F45" s="271">
        <v>58420</v>
      </c>
      <c r="G45" s="124" t="s">
        <v>559</v>
      </c>
      <c r="H45" s="120"/>
      <c r="I45" s="120"/>
      <c r="J45" s="121" t="str">
        <f t="shared" si="0"/>
        <v/>
      </c>
      <c r="K45" s="109"/>
      <c r="L45" s="109"/>
      <c r="M45" s="122" t="str">
        <f t="shared" si="1"/>
        <v/>
      </c>
      <c r="N45" s="120"/>
      <c r="O45" s="120"/>
      <c r="P45" s="121" t="str">
        <f t="shared" si="2"/>
        <v/>
      </c>
      <c r="Q45" s="109"/>
      <c r="R45" s="109"/>
      <c r="S45" s="122" t="str">
        <f t="shared" si="3"/>
        <v/>
      </c>
      <c r="T45" s="123"/>
      <c r="U45" s="66"/>
      <c r="V45" s="18" t="e">
        <f>IF($C45="","",VLOOKUP($C45,#REF!,4,FALSE))</f>
        <v>#REF!</v>
      </c>
      <c r="W45" s="69" t="e">
        <f>IF($E45="","",VLOOKUP($E45,#REF!,4,FALSE))</f>
        <v>#REF!</v>
      </c>
      <c r="Y45"/>
      <c r="Z45"/>
      <c r="AA45"/>
      <c r="AB45"/>
      <c r="AC45"/>
    </row>
    <row r="46" spans="1:30" s="67" customFormat="1" ht="18" customHeight="1">
      <c r="A46" s="108"/>
      <c r="B46" s="119">
        <v>33</v>
      </c>
      <c r="C46" s="125"/>
      <c r="D46" s="271"/>
      <c r="E46" s="125"/>
      <c r="F46" s="271"/>
      <c r="G46" s="124"/>
      <c r="H46" s="120"/>
      <c r="I46" s="120"/>
      <c r="J46" s="121" t="str">
        <f t="shared" ref="J46:J77" si="4">IF(H46="","",H46+I46)</f>
        <v/>
      </c>
      <c r="K46" s="109"/>
      <c r="L46" s="109"/>
      <c r="M46" s="122" t="str">
        <f t="shared" ref="M46:M77" si="5">IF(L46="","",K46+L46)</f>
        <v/>
      </c>
      <c r="N46" s="120"/>
      <c r="O46" s="120"/>
      <c r="P46" s="121" t="str">
        <f t="shared" ref="P46:P77" si="6">IF(N46="","",N46+O46)</f>
        <v/>
      </c>
      <c r="Q46" s="109"/>
      <c r="R46" s="109"/>
      <c r="S46" s="122" t="str">
        <f t="shared" ref="S46:S77" si="7">IF(R46="","",Q46+R46)</f>
        <v/>
      </c>
      <c r="T46" s="123"/>
      <c r="U46" s="66"/>
      <c r="V46" s="18" t="str">
        <f>IF($C46="","",VLOOKUP($C46,#REF!,4,FALSE))</f>
        <v/>
      </c>
      <c r="W46" s="69" t="str">
        <f>IF($E46="","",VLOOKUP($E46,#REF!,4,FALSE))</f>
        <v/>
      </c>
      <c r="Y46"/>
      <c r="Z46"/>
      <c r="AA46"/>
      <c r="AB46"/>
      <c r="AC46"/>
    </row>
    <row r="47" spans="1:30" s="67" customFormat="1" ht="18" customHeight="1">
      <c r="A47" s="108"/>
      <c r="B47" s="119">
        <v>34</v>
      </c>
      <c r="C47" s="87"/>
      <c r="D47" s="273"/>
      <c r="E47" s="88"/>
      <c r="F47" s="280"/>
      <c r="G47" s="87"/>
      <c r="H47" s="120"/>
      <c r="I47" s="120"/>
      <c r="J47" s="121" t="str">
        <f t="shared" si="4"/>
        <v/>
      </c>
      <c r="K47" s="109"/>
      <c r="L47" s="109"/>
      <c r="M47" s="122" t="str">
        <f t="shared" si="5"/>
        <v/>
      </c>
      <c r="N47" s="120"/>
      <c r="O47" s="120"/>
      <c r="P47" s="121" t="str">
        <f t="shared" si="6"/>
        <v/>
      </c>
      <c r="Q47" s="109"/>
      <c r="R47" s="109"/>
      <c r="S47" s="122" t="str">
        <f t="shared" si="7"/>
        <v/>
      </c>
      <c r="T47" s="123"/>
      <c r="U47" s="66"/>
      <c r="V47" s="18" t="str">
        <f>IF($C47="","",VLOOKUP($C47,#REF!,4,FALSE))</f>
        <v/>
      </c>
      <c r="W47" s="69" t="str">
        <f>IF($E47="","",VLOOKUP($E47,#REF!,4,FALSE))</f>
        <v/>
      </c>
      <c r="Y47"/>
      <c r="Z47"/>
      <c r="AA47"/>
      <c r="AB47"/>
      <c r="AC47"/>
    </row>
    <row r="48" spans="1:30" s="67" customFormat="1" ht="18" customHeight="1">
      <c r="A48" s="108"/>
      <c r="B48" s="119">
        <v>35</v>
      </c>
      <c r="C48" s="131"/>
      <c r="D48" s="283"/>
      <c r="E48" s="131"/>
      <c r="F48" s="283"/>
      <c r="G48" s="124"/>
      <c r="H48" s="120"/>
      <c r="I48" s="120"/>
      <c r="J48" s="121" t="str">
        <f t="shared" si="4"/>
        <v/>
      </c>
      <c r="K48" s="109"/>
      <c r="L48" s="109"/>
      <c r="M48" s="122" t="str">
        <f t="shared" si="5"/>
        <v/>
      </c>
      <c r="N48" s="120"/>
      <c r="O48" s="120"/>
      <c r="P48" s="121" t="str">
        <f t="shared" si="6"/>
        <v/>
      </c>
      <c r="Q48" s="109"/>
      <c r="R48" s="109"/>
      <c r="S48" s="122" t="str">
        <f t="shared" si="7"/>
        <v/>
      </c>
      <c r="T48" s="123"/>
      <c r="U48" s="66"/>
      <c r="V48" s="18" t="str">
        <f>IF($C48="","",VLOOKUP($C48,#REF!,4,FALSE))</f>
        <v/>
      </c>
      <c r="W48" s="69" t="str">
        <f>IF($E48="","",VLOOKUP($E48,#REF!,4,FALSE))</f>
        <v/>
      </c>
      <c r="Y48"/>
      <c r="Z48"/>
      <c r="AA48"/>
      <c r="AB48"/>
      <c r="AC48"/>
    </row>
    <row r="49" spans="1:29" s="67" customFormat="1" ht="18" customHeight="1">
      <c r="A49" s="108"/>
      <c r="B49" s="119">
        <v>36</v>
      </c>
      <c r="C49" s="125"/>
      <c r="D49" s="271"/>
      <c r="E49" s="125"/>
      <c r="F49" s="271"/>
      <c r="G49" s="124"/>
      <c r="H49" s="120"/>
      <c r="I49" s="120"/>
      <c r="J49" s="121" t="str">
        <f t="shared" si="4"/>
        <v/>
      </c>
      <c r="K49" s="109"/>
      <c r="L49" s="109"/>
      <c r="M49" s="122" t="str">
        <f t="shared" si="5"/>
        <v/>
      </c>
      <c r="N49" s="120"/>
      <c r="O49" s="120"/>
      <c r="P49" s="121" t="str">
        <f t="shared" si="6"/>
        <v/>
      </c>
      <c r="Q49" s="109"/>
      <c r="R49" s="109"/>
      <c r="S49" s="122" t="str">
        <f t="shared" si="7"/>
        <v/>
      </c>
      <c r="T49" s="123"/>
      <c r="U49" s="66"/>
      <c r="V49" s="18" t="str">
        <f>IF($C49="","",VLOOKUP($C49,#REF!,4,FALSE))</f>
        <v/>
      </c>
      <c r="W49" s="69" t="str">
        <f>IF($E49="","",VLOOKUP($E49,#REF!,4,FALSE))</f>
        <v/>
      </c>
      <c r="Y49"/>
      <c r="Z49"/>
      <c r="AA49"/>
      <c r="AB49"/>
      <c r="AC49"/>
    </row>
    <row r="50" spans="1:29" s="67" customFormat="1" ht="18" customHeight="1">
      <c r="A50" s="108"/>
      <c r="B50" s="119">
        <v>37</v>
      </c>
      <c r="C50" s="159"/>
      <c r="D50" s="290"/>
      <c r="E50" s="160"/>
      <c r="F50" s="305"/>
      <c r="G50" s="161"/>
      <c r="H50" s="120"/>
      <c r="I50" s="120"/>
      <c r="J50" s="121" t="str">
        <f t="shared" si="4"/>
        <v/>
      </c>
      <c r="K50" s="109"/>
      <c r="L50" s="109"/>
      <c r="M50" s="122" t="str">
        <f t="shared" si="5"/>
        <v/>
      </c>
      <c r="N50" s="120"/>
      <c r="O50" s="120"/>
      <c r="P50" s="121" t="str">
        <f t="shared" si="6"/>
        <v/>
      </c>
      <c r="Q50" s="109"/>
      <c r="R50" s="109"/>
      <c r="S50" s="122" t="str">
        <f t="shared" si="7"/>
        <v/>
      </c>
      <c r="T50" s="123"/>
      <c r="U50" s="66"/>
      <c r="V50" s="18" t="str">
        <f>IF($C50="","",VLOOKUP($C50,#REF!,4,FALSE))</f>
        <v/>
      </c>
      <c r="W50" s="69" t="str">
        <f>IF($E50="","",VLOOKUP($E50,#REF!,4,FALSE))</f>
        <v/>
      </c>
      <c r="Y50"/>
      <c r="Z50"/>
      <c r="AA50"/>
      <c r="AB50"/>
      <c r="AC50"/>
    </row>
    <row r="51" spans="1:29" s="67" customFormat="1" ht="18" customHeight="1">
      <c r="A51" s="108"/>
      <c r="B51" s="119">
        <v>38</v>
      </c>
      <c r="C51" s="125"/>
      <c r="D51" s="271"/>
      <c r="E51" s="125"/>
      <c r="F51" s="271"/>
      <c r="G51" s="124"/>
      <c r="H51" s="120"/>
      <c r="I51" s="120"/>
      <c r="J51" s="121" t="str">
        <f t="shared" si="4"/>
        <v/>
      </c>
      <c r="K51" s="109"/>
      <c r="L51" s="109"/>
      <c r="M51" s="122" t="str">
        <f t="shared" si="5"/>
        <v/>
      </c>
      <c r="N51" s="120"/>
      <c r="O51" s="120"/>
      <c r="P51" s="121" t="str">
        <f t="shared" si="6"/>
        <v/>
      </c>
      <c r="Q51" s="109"/>
      <c r="R51" s="109"/>
      <c r="S51" s="122" t="str">
        <f t="shared" si="7"/>
        <v/>
      </c>
      <c r="T51" s="123"/>
      <c r="U51" s="66"/>
      <c r="V51" s="18" t="str">
        <f>IF($C51="","",VLOOKUP($C51,#REF!,4,FALSE))</f>
        <v/>
      </c>
      <c r="W51" s="69" t="str">
        <f>IF($E51="","",VLOOKUP($E51,#REF!,4,FALSE))</f>
        <v/>
      </c>
      <c r="Y51"/>
      <c r="Z51"/>
      <c r="AA51"/>
      <c r="AB51"/>
      <c r="AC51"/>
    </row>
    <row r="52" spans="1:29" s="67" customFormat="1" ht="18" customHeight="1">
      <c r="A52" s="108"/>
      <c r="B52" s="119">
        <v>39</v>
      </c>
      <c r="C52" s="125"/>
      <c r="D52" s="271"/>
      <c r="E52" s="125"/>
      <c r="F52" s="271"/>
      <c r="G52" s="124"/>
      <c r="H52" s="120"/>
      <c r="I52" s="120"/>
      <c r="J52" s="121" t="str">
        <f t="shared" si="4"/>
        <v/>
      </c>
      <c r="K52" s="109"/>
      <c r="L52" s="109"/>
      <c r="M52" s="122" t="str">
        <f t="shared" si="5"/>
        <v/>
      </c>
      <c r="N52" s="120"/>
      <c r="O52" s="120"/>
      <c r="P52" s="121" t="str">
        <f t="shared" si="6"/>
        <v/>
      </c>
      <c r="Q52" s="109"/>
      <c r="R52" s="109"/>
      <c r="S52" s="122" t="str">
        <f t="shared" si="7"/>
        <v/>
      </c>
      <c r="T52" s="123"/>
      <c r="U52" s="66"/>
      <c r="V52" s="18" t="str">
        <f>IF($C52="","",VLOOKUP($C52,#REF!,4,FALSE))</f>
        <v/>
      </c>
      <c r="W52" s="69" t="str">
        <f>IF($E52="","",VLOOKUP($E52,#REF!,4,FALSE))</f>
        <v/>
      </c>
      <c r="Y52"/>
      <c r="Z52"/>
      <c r="AA52"/>
      <c r="AB52"/>
      <c r="AC52"/>
    </row>
    <row r="53" spans="1:29" s="67" customFormat="1" ht="18" customHeight="1">
      <c r="A53" s="108"/>
      <c r="B53" s="119">
        <v>40</v>
      </c>
      <c r="C53" s="125"/>
      <c r="D53" s="271"/>
      <c r="E53" s="125"/>
      <c r="F53" s="271"/>
      <c r="G53" s="124"/>
      <c r="H53" s="120"/>
      <c r="I53" s="120"/>
      <c r="J53" s="121" t="str">
        <f t="shared" si="4"/>
        <v/>
      </c>
      <c r="K53" s="109"/>
      <c r="L53" s="109"/>
      <c r="M53" s="122" t="str">
        <f t="shared" si="5"/>
        <v/>
      </c>
      <c r="N53" s="120"/>
      <c r="O53" s="120"/>
      <c r="P53" s="121" t="str">
        <f t="shared" si="6"/>
        <v/>
      </c>
      <c r="Q53" s="109"/>
      <c r="R53" s="109"/>
      <c r="S53" s="122" t="str">
        <f t="shared" si="7"/>
        <v/>
      </c>
      <c r="T53" s="123"/>
      <c r="U53" s="66"/>
      <c r="V53" s="18" t="str">
        <f>IF($C53="","",VLOOKUP($C53,#REF!,4,FALSE))</f>
        <v/>
      </c>
      <c r="W53" s="69" t="str">
        <f>IF($E53="","",VLOOKUP($E53,#REF!,4,FALSE))</f>
        <v/>
      </c>
      <c r="Y53"/>
      <c r="Z53"/>
      <c r="AA53"/>
      <c r="AB53"/>
      <c r="AC53"/>
    </row>
    <row r="54" spans="1:29" s="67" customFormat="1" ht="18" customHeight="1">
      <c r="A54" s="108"/>
      <c r="B54" s="119">
        <v>41</v>
      </c>
      <c r="C54" s="125"/>
      <c r="D54" s="271"/>
      <c r="E54" s="125"/>
      <c r="F54" s="271"/>
      <c r="G54" s="124"/>
      <c r="H54" s="120"/>
      <c r="I54" s="120"/>
      <c r="J54" s="121" t="str">
        <f t="shared" si="4"/>
        <v/>
      </c>
      <c r="K54" s="109"/>
      <c r="L54" s="109"/>
      <c r="M54" s="122" t="str">
        <f t="shared" si="5"/>
        <v/>
      </c>
      <c r="N54" s="120"/>
      <c r="O54" s="120"/>
      <c r="P54" s="121" t="str">
        <f t="shared" si="6"/>
        <v/>
      </c>
      <c r="Q54" s="109"/>
      <c r="R54" s="109"/>
      <c r="S54" s="122" t="str">
        <f t="shared" si="7"/>
        <v/>
      </c>
      <c r="T54" s="123"/>
      <c r="U54" s="66"/>
      <c r="V54" s="18" t="str">
        <f>IF($C54="","",VLOOKUP($C54,#REF!,4,FALSE))</f>
        <v/>
      </c>
      <c r="W54" s="69" t="str">
        <f>IF($E54="","",VLOOKUP($E54,#REF!,4,FALSE))</f>
        <v/>
      </c>
      <c r="Y54"/>
      <c r="Z54"/>
      <c r="AA54"/>
      <c r="AB54"/>
      <c r="AC54"/>
    </row>
    <row r="55" spans="1:29" s="67" customFormat="1" ht="18" customHeight="1">
      <c r="A55" s="60"/>
      <c r="B55" s="119">
        <v>42</v>
      </c>
      <c r="C55" s="137"/>
      <c r="D55" s="271"/>
      <c r="E55" s="137"/>
      <c r="F55" s="279"/>
      <c r="G55" s="138"/>
      <c r="H55" s="22"/>
      <c r="I55" s="22"/>
      <c r="J55" s="62" t="str">
        <f t="shared" si="4"/>
        <v/>
      </c>
      <c r="K55" s="63"/>
      <c r="L55" s="63"/>
      <c r="M55" s="64" t="str">
        <f t="shared" si="5"/>
        <v/>
      </c>
      <c r="N55" s="22"/>
      <c r="O55" s="22"/>
      <c r="P55" s="62" t="str">
        <f t="shared" si="6"/>
        <v/>
      </c>
      <c r="Q55" s="63"/>
      <c r="R55" s="63"/>
      <c r="S55" s="64" t="str">
        <f t="shared" si="7"/>
        <v/>
      </c>
      <c r="T55" s="65"/>
      <c r="U55" s="66"/>
      <c r="V55" s="18" t="str">
        <f>IF($C55="","",VLOOKUP($C55,#REF!,4,FALSE))</f>
        <v/>
      </c>
      <c r="W55" s="69" t="str">
        <f>IF($E55="","",VLOOKUP($E55,#REF!,4,FALSE))</f>
        <v/>
      </c>
      <c r="Y55"/>
      <c r="Z55"/>
      <c r="AA55"/>
      <c r="AB55"/>
      <c r="AC55"/>
    </row>
    <row r="56" spans="1:29" s="67" customFormat="1" ht="18" customHeight="1">
      <c r="A56" s="60"/>
      <c r="B56" s="119">
        <v>43</v>
      </c>
      <c r="C56" s="137"/>
      <c r="D56" s="271"/>
      <c r="E56" s="137"/>
      <c r="F56" s="279"/>
      <c r="G56" s="138"/>
      <c r="H56" s="22"/>
      <c r="I56" s="22"/>
      <c r="J56" s="62" t="str">
        <f t="shared" si="4"/>
        <v/>
      </c>
      <c r="K56" s="63"/>
      <c r="L56" s="63"/>
      <c r="M56" s="64" t="str">
        <f t="shared" si="5"/>
        <v/>
      </c>
      <c r="N56" s="22"/>
      <c r="O56" s="22"/>
      <c r="P56" s="62" t="str">
        <f t="shared" si="6"/>
        <v/>
      </c>
      <c r="Q56" s="63"/>
      <c r="R56" s="63"/>
      <c r="S56" s="64" t="str">
        <f t="shared" si="7"/>
        <v/>
      </c>
      <c r="T56" s="65"/>
      <c r="U56" s="66"/>
      <c r="V56" s="18" t="str">
        <f>IF($C56="","",VLOOKUP($C56,#REF!,4,FALSE))</f>
        <v/>
      </c>
      <c r="W56" s="69" t="str">
        <f>IF($E56="","",VLOOKUP($E56,#REF!,4,FALSE))</f>
        <v/>
      </c>
      <c r="Y56"/>
      <c r="Z56"/>
      <c r="AA56"/>
      <c r="AB56"/>
      <c r="AC56"/>
    </row>
    <row r="57" spans="1:29" s="67" customFormat="1" ht="18" customHeight="1">
      <c r="A57" s="60"/>
      <c r="B57" s="119">
        <v>44</v>
      </c>
      <c r="C57" s="137"/>
      <c r="D57" s="271"/>
      <c r="E57" s="137"/>
      <c r="F57" s="279"/>
      <c r="G57" s="138"/>
      <c r="H57" s="22"/>
      <c r="I57" s="22"/>
      <c r="J57" s="62" t="str">
        <f t="shared" si="4"/>
        <v/>
      </c>
      <c r="K57" s="63"/>
      <c r="L57" s="63"/>
      <c r="M57" s="64" t="str">
        <f t="shared" si="5"/>
        <v/>
      </c>
      <c r="N57" s="22"/>
      <c r="O57" s="22"/>
      <c r="P57" s="62" t="str">
        <f t="shared" si="6"/>
        <v/>
      </c>
      <c r="Q57" s="63"/>
      <c r="R57" s="63"/>
      <c r="S57" s="64" t="str">
        <f t="shared" si="7"/>
        <v/>
      </c>
      <c r="T57" s="65"/>
      <c r="U57" s="66"/>
      <c r="V57" s="18" t="str">
        <f>IF($C57="","",VLOOKUP($C57,#REF!,4,FALSE))</f>
        <v/>
      </c>
      <c r="W57" s="69" t="str">
        <f>IF($E57="","",VLOOKUP($E57,#REF!,4,FALSE))</f>
        <v/>
      </c>
      <c r="Y57"/>
      <c r="Z57"/>
      <c r="AA57"/>
      <c r="AB57"/>
      <c r="AC57"/>
    </row>
    <row r="58" spans="1:29" s="67" customFormat="1" ht="18" customHeight="1">
      <c r="A58" s="60"/>
      <c r="B58" s="119">
        <v>45</v>
      </c>
      <c r="C58" s="137"/>
      <c r="D58" s="271"/>
      <c r="E58" s="137"/>
      <c r="F58" s="279"/>
      <c r="G58" s="138"/>
      <c r="H58" s="22"/>
      <c r="I58" s="22"/>
      <c r="J58" s="62" t="str">
        <f t="shared" si="4"/>
        <v/>
      </c>
      <c r="K58" s="63"/>
      <c r="L58" s="63"/>
      <c r="M58" s="64" t="str">
        <f t="shared" si="5"/>
        <v/>
      </c>
      <c r="N58" s="22"/>
      <c r="O58" s="22"/>
      <c r="P58" s="62" t="str">
        <f t="shared" si="6"/>
        <v/>
      </c>
      <c r="Q58" s="63"/>
      <c r="R58" s="63"/>
      <c r="S58" s="64" t="str">
        <f t="shared" si="7"/>
        <v/>
      </c>
      <c r="T58" s="65"/>
      <c r="U58" s="66"/>
      <c r="V58" s="18" t="str">
        <f>IF($C58="","",VLOOKUP($C58,#REF!,4,FALSE))</f>
        <v/>
      </c>
      <c r="W58" s="69" t="str">
        <f>IF($E58="","",VLOOKUP($E58,#REF!,4,FALSE))</f>
        <v/>
      </c>
      <c r="Y58"/>
      <c r="Z58"/>
      <c r="AA58"/>
      <c r="AB58"/>
      <c r="AC58"/>
    </row>
    <row r="59" spans="1:29" s="67" customFormat="1" ht="18" customHeight="1">
      <c r="A59" s="60"/>
      <c r="B59" s="119">
        <v>46</v>
      </c>
      <c r="C59" s="137"/>
      <c r="D59" s="271"/>
      <c r="E59" s="137"/>
      <c r="F59" s="279"/>
      <c r="G59" s="138"/>
      <c r="H59" s="22"/>
      <c r="I59" s="22"/>
      <c r="J59" s="62" t="str">
        <f t="shared" si="4"/>
        <v/>
      </c>
      <c r="K59" s="63"/>
      <c r="L59" s="63"/>
      <c r="M59" s="64" t="str">
        <f t="shared" si="5"/>
        <v/>
      </c>
      <c r="N59" s="22"/>
      <c r="O59" s="22"/>
      <c r="P59" s="62" t="str">
        <f t="shared" si="6"/>
        <v/>
      </c>
      <c r="Q59" s="63"/>
      <c r="R59" s="63"/>
      <c r="S59" s="64" t="str">
        <f t="shared" si="7"/>
        <v/>
      </c>
      <c r="T59" s="65"/>
      <c r="U59" s="66"/>
      <c r="V59" s="18" t="str">
        <f>IF($C59="","",VLOOKUP($C59,#REF!,4,FALSE))</f>
        <v/>
      </c>
      <c r="W59" s="69" t="str">
        <f>IF($E59="","",VLOOKUP($E59,#REF!,4,FALSE))</f>
        <v/>
      </c>
      <c r="Y59"/>
      <c r="Z59"/>
      <c r="AA59"/>
      <c r="AB59"/>
      <c r="AC59"/>
    </row>
    <row r="60" spans="1:29" s="67" customFormat="1" ht="18" customHeight="1">
      <c r="A60" s="60"/>
      <c r="B60" s="119">
        <v>47</v>
      </c>
      <c r="C60" s="137"/>
      <c r="D60" s="271"/>
      <c r="E60" s="137"/>
      <c r="F60" s="279"/>
      <c r="G60" s="138"/>
      <c r="H60" s="22"/>
      <c r="I60" s="22"/>
      <c r="J60" s="62" t="str">
        <f t="shared" si="4"/>
        <v/>
      </c>
      <c r="K60" s="63"/>
      <c r="L60" s="63"/>
      <c r="M60" s="64" t="str">
        <f t="shared" si="5"/>
        <v/>
      </c>
      <c r="N60" s="22"/>
      <c r="O60" s="22"/>
      <c r="P60" s="62" t="str">
        <f t="shared" si="6"/>
        <v/>
      </c>
      <c r="Q60" s="63"/>
      <c r="R60" s="63"/>
      <c r="S60" s="64" t="str">
        <f t="shared" si="7"/>
        <v/>
      </c>
      <c r="T60" s="65"/>
      <c r="U60" s="20"/>
      <c r="V60" s="162"/>
      <c r="W60" s="164"/>
      <c r="Y60"/>
      <c r="Z60"/>
      <c r="AA60"/>
      <c r="AB60"/>
      <c r="AC60"/>
    </row>
    <row r="61" spans="1:29" s="67" customFormat="1" ht="18" customHeight="1">
      <c r="A61" s="60"/>
      <c r="B61" s="119">
        <v>48</v>
      </c>
      <c r="C61" s="137"/>
      <c r="D61" s="271"/>
      <c r="E61" s="137"/>
      <c r="F61" s="279"/>
      <c r="G61" s="138"/>
      <c r="H61" s="22"/>
      <c r="I61" s="22"/>
      <c r="J61" s="62" t="str">
        <f t="shared" si="4"/>
        <v/>
      </c>
      <c r="K61" s="63"/>
      <c r="L61" s="63"/>
      <c r="M61" s="64" t="str">
        <f t="shared" si="5"/>
        <v/>
      </c>
      <c r="N61" s="22"/>
      <c r="O61" s="22"/>
      <c r="P61" s="62" t="str">
        <f t="shared" si="6"/>
        <v/>
      </c>
      <c r="Q61" s="63"/>
      <c r="R61" s="63"/>
      <c r="S61" s="64" t="str">
        <f t="shared" si="7"/>
        <v/>
      </c>
      <c r="T61" s="65"/>
      <c r="U61" s="20"/>
      <c r="V61" s="162"/>
      <c r="W61" s="164"/>
      <c r="Y61"/>
      <c r="Z61"/>
      <c r="AA61"/>
      <c r="AB61"/>
      <c r="AC61"/>
    </row>
    <row r="62" spans="1:29" s="67" customFormat="1" ht="18" customHeight="1">
      <c r="A62" s="60"/>
      <c r="B62" s="119">
        <v>49</v>
      </c>
      <c r="C62" s="21"/>
      <c r="D62" s="275" t="s">
        <v>76</v>
      </c>
      <c r="E62" s="21"/>
      <c r="F62" s="282" t="s">
        <v>76</v>
      </c>
      <c r="G62" s="23"/>
      <c r="H62" s="22"/>
      <c r="I62" s="22"/>
      <c r="J62" s="62" t="str">
        <f t="shared" si="4"/>
        <v/>
      </c>
      <c r="K62" s="63"/>
      <c r="L62" s="63"/>
      <c r="M62" s="64" t="str">
        <f t="shared" si="5"/>
        <v/>
      </c>
      <c r="N62" s="22"/>
      <c r="O62" s="22"/>
      <c r="P62" s="62" t="str">
        <f t="shared" si="6"/>
        <v/>
      </c>
      <c r="Q62" s="63"/>
      <c r="R62" s="63"/>
      <c r="S62" s="64" t="str">
        <f t="shared" si="7"/>
        <v/>
      </c>
      <c r="T62" s="65"/>
      <c r="U62" s="20"/>
      <c r="V62" s="162"/>
      <c r="W62" s="164"/>
      <c r="Y62"/>
      <c r="Z62"/>
      <c r="AA62"/>
      <c r="AB62"/>
      <c r="AC62"/>
    </row>
    <row r="63" spans="1:29" s="67" customFormat="1" ht="18" customHeight="1">
      <c r="A63" s="60"/>
      <c r="B63" s="119">
        <v>50</v>
      </c>
      <c r="C63" s="21"/>
      <c r="D63" s="275" t="s">
        <v>76</v>
      </c>
      <c r="E63" s="21"/>
      <c r="F63" s="282" t="s">
        <v>76</v>
      </c>
      <c r="G63" s="23"/>
      <c r="H63" s="22"/>
      <c r="I63" s="22"/>
      <c r="J63" s="62" t="str">
        <f t="shared" si="4"/>
        <v/>
      </c>
      <c r="K63" s="63"/>
      <c r="L63" s="63"/>
      <c r="M63" s="64" t="str">
        <f t="shared" si="5"/>
        <v/>
      </c>
      <c r="N63" s="22"/>
      <c r="O63" s="22"/>
      <c r="P63" s="62" t="str">
        <f t="shared" si="6"/>
        <v/>
      </c>
      <c r="Q63" s="63"/>
      <c r="R63" s="63"/>
      <c r="S63" s="64" t="str">
        <f t="shared" si="7"/>
        <v/>
      </c>
      <c r="T63" s="65"/>
      <c r="U63" s="20"/>
      <c r="V63" s="162"/>
      <c r="W63" s="164"/>
      <c r="Y63"/>
      <c r="Z63"/>
      <c r="AA63"/>
      <c r="AB63"/>
      <c r="AC63"/>
    </row>
    <row r="64" spans="1:29" s="67" customFormat="1" ht="18" customHeight="1">
      <c r="A64" s="60"/>
      <c r="B64" s="119">
        <v>51</v>
      </c>
      <c r="C64" s="21"/>
      <c r="D64" s="275" t="s">
        <v>76</v>
      </c>
      <c r="E64" s="21"/>
      <c r="F64" s="282" t="s">
        <v>76</v>
      </c>
      <c r="G64" s="23"/>
      <c r="H64" s="22"/>
      <c r="I64" s="22"/>
      <c r="J64" s="62" t="str">
        <f t="shared" si="4"/>
        <v/>
      </c>
      <c r="K64" s="63"/>
      <c r="L64" s="63"/>
      <c r="M64" s="64" t="str">
        <f t="shared" si="5"/>
        <v/>
      </c>
      <c r="N64" s="22"/>
      <c r="O64" s="22"/>
      <c r="P64" s="62" t="str">
        <f t="shared" si="6"/>
        <v/>
      </c>
      <c r="Q64" s="63"/>
      <c r="R64" s="63"/>
      <c r="S64" s="64" t="str">
        <f t="shared" si="7"/>
        <v/>
      </c>
      <c r="T64" s="65"/>
      <c r="U64" s="20"/>
      <c r="V64" s="162"/>
      <c r="W64" s="164"/>
      <c r="Y64"/>
      <c r="Z64"/>
      <c r="AA64"/>
      <c r="AB64"/>
      <c r="AC64"/>
    </row>
    <row r="65" spans="1:29" s="67" customFormat="1" ht="18" customHeight="1">
      <c r="A65" s="60"/>
      <c r="B65" s="119">
        <v>52</v>
      </c>
      <c r="C65" s="21"/>
      <c r="D65" s="275" t="s">
        <v>76</v>
      </c>
      <c r="E65" s="21"/>
      <c r="F65" s="282" t="s">
        <v>76</v>
      </c>
      <c r="G65" s="23"/>
      <c r="H65" s="22"/>
      <c r="I65" s="22"/>
      <c r="J65" s="62" t="str">
        <f t="shared" si="4"/>
        <v/>
      </c>
      <c r="K65" s="63"/>
      <c r="L65" s="63"/>
      <c r="M65" s="64" t="str">
        <f t="shared" si="5"/>
        <v/>
      </c>
      <c r="N65" s="22"/>
      <c r="O65" s="22"/>
      <c r="P65" s="62" t="str">
        <f t="shared" si="6"/>
        <v/>
      </c>
      <c r="Q65" s="63"/>
      <c r="R65" s="63"/>
      <c r="S65" s="64" t="str">
        <f t="shared" si="7"/>
        <v/>
      </c>
      <c r="T65" s="65"/>
      <c r="U65" s="20"/>
      <c r="V65" s="162"/>
      <c r="W65" s="164"/>
      <c r="Y65"/>
      <c r="Z65"/>
      <c r="AA65"/>
      <c r="AB65"/>
      <c r="AC65"/>
    </row>
    <row r="66" spans="1:29" s="67" customFormat="1" ht="18" customHeight="1">
      <c r="A66" s="108"/>
      <c r="B66" s="119">
        <v>53</v>
      </c>
      <c r="C66" s="125"/>
      <c r="D66" s="271"/>
      <c r="E66" s="125"/>
      <c r="F66" s="271"/>
      <c r="G66" s="124"/>
      <c r="H66" s="120"/>
      <c r="I66" s="120"/>
      <c r="J66" s="121" t="str">
        <f t="shared" si="4"/>
        <v/>
      </c>
      <c r="K66" s="109"/>
      <c r="L66" s="109"/>
      <c r="M66" s="122" t="str">
        <f t="shared" si="5"/>
        <v/>
      </c>
      <c r="N66" s="120"/>
      <c r="O66" s="120"/>
      <c r="P66" s="121" t="str">
        <f t="shared" si="6"/>
        <v/>
      </c>
      <c r="Q66" s="109"/>
      <c r="R66" s="109"/>
      <c r="S66" s="122" t="str">
        <f t="shared" si="7"/>
        <v/>
      </c>
      <c r="T66" s="123"/>
      <c r="U66" s="66"/>
      <c r="V66" s="18" t="str">
        <f>IF($C66="","",VLOOKUP($C66,#REF!,4,FALSE))</f>
        <v/>
      </c>
      <c r="W66" s="69" t="str">
        <f>IF($E66="","",VLOOKUP($E66,#REF!,4,FALSE))</f>
        <v/>
      </c>
      <c r="Y66"/>
      <c r="Z66"/>
      <c r="AA66"/>
      <c r="AB66"/>
      <c r="AC66"/>
    </row>
    <row r="67" spans="1:29" s="67" customFormat="1" ht="18" customHeight="1">
      <c r="A67" s="108"/>
      <c r="B67" s="119">
        <v>54</v>
      </c>
      <c r="C67" s="87"/>
      <c r="D67" s="273"/>
      <c r="E67" s="88"/>
      <c r="F67" s="280"/>
      <c r="G67" s="87"/>
      <c r="H67" s="120"/>
      <c r="I67" s="120"/>
      <c r="J67" s="121" t="str">
        <f t="shared" si="4"/>
        <v/>
      </c>
      <c r="K67" s="109"/>
      <c r="L67" s="109"/>
      <c r="M67" s="122" t="str">
        <f t="shared" si="5"/>
        <v/>
      </c>
      <c r="N67" s="120"/>
      <c r="O67" s="120"/>
      <c r="P67" s="121" t="str">
        <f t="shared" si="6"/>
        <v/>
      </c>
      <c r="Q67" s="109"/>
      <c r="R67" s="109"/>
      <c r="S67" s="122" t="str">
        <f t="shared" si="7"/>
        <v/>
      </c>
      <c r="T67" s="123"/>
      <c r="U67" s="66"/>
      <c r="V67" s="18" t="str">
        <f>IF($C67="","",VLOOKUP($C67,#REF!,4,FALSE))</f>
        <v/>
      </c>
      <c r="W67" s="69" t="str">
        <f>IF($E67="","",VLOOKUP($E67,#REF!,4,FALSE))</f>
        <v/>
      </c>
      <c r="Y67"/>
      <c r="Z67"/>
      <c r="AA67"/>
      <c r="AB67"/>
      <c r="AC67"/>
    </row>
    <row r="68" spans="1:29" s="67" customFormat="1" ht="18" customHeight="1">
      <c r="A68" s="108"/>
      <c r="B68" s="119"/>
      <c r="C68" s="125"/>
      <c r="D68" s="271"/>
      <c r="E68" s="125"/>
      <c r="F68" s="271"/>
      <c r="G68" s="124"/>
      <c r="H68" s="120"/>
      <c r="I68" s="120"/>
      <c r="J68" s="121" t="str">
        <f t="shared" si="4"/>
        <v/>
      </c>
      <c r="K68" s="109"/>
      <c r="L68" s="109"/>
      <c r="M68" s="122" t="str">
        <f t="shared" si="5"/>
        <v/>
      </c>
      <c r="N68" s="120"/>
      <c r="O68" s="120"/>
      <c r="P68" s="121" t="str">
        <f t="shared" si="6"/>
        <v/>
      </c>
      <c r="Q68" s="109"/>
      <c r="R68" s="109"/>
      <c r="S68" s="122" t="str">
        <f t="shared" si="7"/>
        <v/>
      </c>
      <c r="T68" s="123"/>
      <c r="U68" s="66"/>
      <c r="V68" s="18" t="str">
        <f>IF($C68="","",VLOOKUP($C68,#REF!,4,FALSE))</f>
        <v/>
      </c>
      <c r="W68" s="69" t="str">
        <f>IF($E68="","",VLOOKUP($E68,#REF!,4,FALSE))</f>
        <v/>
      </c>
      <c r="Y68"/>
      <c r="Z68"/>
      <c r="AA68"/>
      <c r="AB68"/>
      <c r="AC68"/>
    </row>
    <row r="69" spans="1:29" s="67" customFormat="1" ht="18" customHeight="1">
      <c r="A69" s="108"/>
      <c r="B69" s="119"/>
      <c r="C69" s="87"/>
      <c r="D69" s="273"/>
      <c r="E69" s="88"/>
      <c r="F69" s="280"/>
      <c r="G69" s="87"/>
      <c r="H69" s="120"/>
      <c r="I69" s="120"/>
      <c r="J69" s="121" t="str">
        <f t="shared" si="4"/>
        <v/>
      </c>
      <c r="K69" s="109"/>
      <c r="L69" s="109"/>
      <c r="M69" s="122" t="str">
        <f t="shared" si="5"/>
        <v/>
      </c>
      <c r="N69" s="120"/>
      <c r="O69" s="120"/>
      <c r="P69" s="121" t="str">
        <f t="shared" si="6"/>
        <v/>
      </c>
      <c r="Q69" s="109"/>
      <c r="R69" s="109"/>
      <c r="S69" s="122" t="str">
        <f t="shared" si="7"/>
        <v/>
      </c>
      <c r="T69" s="123"/>
      <c r="U69" s="66"/>
      <c r="V69" s="18" t="str">
        <f>IF($C69="","",VLOOKUP($C69,#REF!,4,FALSE))</f>
        <v/>
      </c>
      <c r="W69" s="69" t="str">
        <f>IF($E69="","",VLOOKUP($E69,#REF!,4,FALSE))</f>
        <v/>
      </c>
      <c r="Y69"/>
      <c r="Z69"/>
      <c r="AA69"/>
      <c r="AB69"/>
      <c r="AC69"/>
    </row>
    <row r="70" spans="1:29" s="67" customFormat="1" ht="18" customHeight="1">
      <c r="A70" s="108"/>
      <c r="B70" s="119"/>
      <c r="C70" s="125"/>
      <c r="D70" s="271"/>
      <c r="E70" s="125"/>
      <c r="F70" s="271"/>
      <c r="G70" s="124"/>
      <c r="H70" s="120"/>
      <c r="I70" s="120"/>
      <c r="J70" s="121" t="str">
        <f t="shared" si="4"/>
        <v/>
      </c>
      <c r="K70" s="109"/>
      <c r="L70" s="109"/>
      <c r="M70" s="122" t="str">
        <f t="shared" si="5"/>
        <v/>
      </c>
      <c r="N70" s="120"/>
      <c r="O70" s="120"/>
      <c r="P70" s="121" t="str">
        <f t="shared" si="6"/>
        <v/>
      </c>
      <c r="Q70" s="109"/>
      <c r="R70" s="109"/>
      <c r="S70" s="122" t="str">
        <f t="shared" si="7"/>
        <v/>
      </c>
      <c r="T70" s="123"/>
      <c r="U70" s="66"/>
      <c r="V70" s="18" t="str">
        <f>IF($C70="","",VLOOKUP($C70,#REF!,4,FALSE))</f>
        <v/>
      </c>
      <c r="W70" s="69" t="str">
        <f>IF($E70="","",VLOOKUP($E70,#REF!,4,FALSE))</f>
        <v/>
      </c>
      <c r="Y70"/>
      <c r="Z70"/>
      <c r="AA70"/>
      <c r="AB70"/>
      <c r="AC70"/>
    </row>
    <row r="71" spans="1:29" s="67" customFormat="1" ht="18" customHeight="1">
      <c r="A71" s="108"/>
      <c r="B71" s="119"/>
      <c r="C71" s="125"/>
      <c r="D71" s="271"/>
      <c r="E71" s="125"/>
      <c r="F71" s="271"/>
      <c r="G71" s="124"/>
      <c r="H71" s="120"/>
      <c r="I71" s="120"/>
      <c r="J71" s="121" t="str">
        <f t="shared" si="4"/>
        <v/>
      </c>
      <c r="K71" s="109"/>
      <c r="L71" s="109"/>
      <c r="M71" s="122" t="str">
        <f t="shared" si="5"/>
        <v/>
      </c>
      <c r="N71" s="120"/>
      <c r="O71" s="120"/>
      <c r="P71" s="121" t="str">
        <f t="shared" si="6"/>
        <v/>
      </c>
      <c r="Q71" s="109"/>
      <c r="R71" s="109"/>
      <c r="S71" s="122" t="str">
        <f t="shared" si="7"/>
        <v/>
      </c>
      <c r="T71" s="123"/>
      <c r="U71" s="66"/>
      <c r="V71" s="18" t="str">
        <f>IF($C71="","",VLOOKUP($C71,#REF!,4,FALSE))</f>
        <v/>
      </c>
      <c r="W71" s="69" t="str">
        <f>IF($E71="","",VLOOKUP($E71,#REF!,4,FALSE))</f>
        <v/>
      </c>
      <c r="Y71"/>
      <c r="Z71"/>
      <c r="AA71"/>
      <c r="AB71"/>
      <c r="AC71"/>
    </row>
    <row r="72" spans="1:29" s="67" customFormat="1" ht="18" customHeight="1">
      <c r="A72" s="108"/>
      <c r="B72" s="119"/>
      <c r="C72" s="125"/>
      <c r="D72" s="271"/>
      <c r="E72" s="125"/>
      <c r="F72" s="271"/>
      <c r="G72" s="124"/>
      <c r="H72" s="120"/>
      <c r="I72" s="120"/>
      <c r="J72" s="121" t="str">
        <f t="shared" si="4"/>
        <v/>
      </c>
      <c r="K72" s="109"/>
      <c r="L72" s="109"/>
      <c r="M72" s="122" t="str">
        <f t="shared" si="5"/>
        <v/>
      </c>
      <c r="N72" s="120"/>
      <c r="O72" s="120"/>
      <c r="P72" s="121" t="str">
        <f t="shared" si="6"/>
        <v/>
      </c>
      <c r="Q72" s="109"/>
      <c r="R72" s="109"/>
      <c r="S72" s="122" t="str">
        <f t="shared" si="7"/>
        <v/>
      </c>
      <c r="T72" s="123"/>
      <c r="U72" s="66"/>
      <c r="V72" s="18" t="str">
        <f>IF($C72="","",VLOOKUP($C72,#REF!,4,FALSE))</f>
        <v/>
      </c>
      <c r="W72" s="69" t="str">
        <f>IF($E72="","",VLOOKUP($E72,#REF!,4,FALSE))</f>
        <v/>
      </c>
      <c r="Y72"/>
      <c r="Z72"/>
      <c r="AA72"/>
      <c r="AB72"/>
      <c r="AC72"/>
    </row>
    <row r="73" spans="1:29" s="67" customFormat="1" ht="18" customHeight="1">
      <c r="A73" s="108"/>
      <c r="B73" s="119"/>
      <c r="C73" s="87"/>
      <c r="D73" s="273"/>
      <c r="E73" s="88"/>
      <c r="F73" s="280"/>
      <c r="G73" s="106"/>
      <c r="H73" s="120"/>
      <c r="I73" s="120"/>
      <c r="J73" s="121" t="str">
        <f t="shared" si="4"/>
        <v/>
      </c>
      <c r="K73" s="109"/>
      <c r="L73" s="109"/>
      <c r="M73" s="122" t="str">
        <f t="shared" si="5"/>
        <v/>
      </c>
      <c r="N73" s="120"/>
      <c r="O73" s="120"/>
      <c r="P73" s="121" t="str">
        <f t="shared" si="6"/>
        <v/>
      </c>
      <c r="Q73" s="109"/>
      <c r="R73" s="109"/>
      <c r="S73" s="122" t="str">
        <f t="shared" si="7"/>
        <v/>
      </c>
      <c r="T73" s="123"/>
      <c r="U73" s="66"/>
      <c r="V73" s="18" t="str">
        <f>IF($C73="","",VLOOKUP($C73,#REF!,4,FALSE))</f>
        <v/>
      </c>
      <c r="W73" s="69" t="str">
        <f>IF($E73="","",VLOOKUP($E73,#REF!,4,FALSE))</f>
        <v/>
      </c>
      <c r="Y73"/>
      <c r="Z73"/>
      <c r="AA73"/>
      <c r="AB73"/>
      <c r="AC73"/>
    </row>
    <row r="74" spans="1:29" ht="18" customHeight="1">
      <c r="A74" s="108"/>
      <c r="B74" s="119"/>
      <c r="C74" s="87"/>
      <c r="D74" s="273"/>
      <c r="E74" s="88"/>
      <c r="F74" s="280"/>
      <c r="G74" s="87"/>
      <c r="H74" s="120"/>
      <c r="I74" s="120"/>
      <c r="J74" s="121" t="str">
        <f t="shared" si="4"/>
        <v/>
      </c>
      <c r="K74" s="109"/>
      <c r="L74" s="109"/>
      <c r="M74" s="122" t="str">
        <f t="shared" si="5"/>
        <v/>
      </c>
      <c r="N74" s="120"/>
      <c r="O74" s="120"/>
      <c r="P74" s="121" t="str">
        <f t="shared" si="6"/>
        <v/>
      </c>
      <c r="Q74" s="109"/>
      <c r="R74" s="109"/>
      <c r="S74" s="122" t="str">
        <f t="shared" si="7"/>
        <v/>
      </c>
      <c r="T74" s="123"/>
      <c r="U74" s="66"/>
      <c r="V74" s="18" t="str">
        <f>IF($C74="","",VLOOKUP($C74,#REF!,4,FALSE))</f>
        <v/>
      </c>
      <c r="W74" s="69" t="str">
        <f>IF($E74="","",VLOOKUP($E74,#REF!,4,FALSE))</f>
        <v/>
      </c>
    </row>
    <row r="75" spans="1:29" ht="18" customHeight="1">
      <c r="A75" s="108"/>
      <c r="B75" s="119"/>
      <c r="C75" s="125"/>
      <c r="D75" s="271"/>
      <c r="E75" s="125"/>
      <c r="F75" s="271"/>
      <c r="G75" s="126"/>
      <c r="H75" s="120"/>
      <c r="I75" s="120"/>
      <c r="J75" s="121" t="str">
        <f t="shared" si="4"/>
        <v/>
      </c>
      <c r="K75" s="109"/>
      <c r="L75" s="109"/>
      <c r="M75" s="122" t="str">
        <f t="shared" si="5"/>
        <v/>
      </c>
      <c r="N75" s="120"/>
      <c r="O75" s="120"/>
      <c r="P75" s="121" t="str">
        <f t="shared" si="6"/>
        <v/>
      </c>
      <c r="Q75" s="109"/>
      <c r="R75" s="109"/>
      <c r="S75" s="122" t="str">
        <f t="shared" si="7"/>
        <v/>
      </c>
      <c r="T75" s="123"/>
      <c r="U75" s="66"/>
      <c r="V75" s="18" t="str">
        <f>IF($C75="","",VLOOKUP($C75,#REF!,4,FALSE))</f>
        <v/>
      </c>
      <c r="W75" s="69" t="str">
        <f>IF($E75="","",VLOOKUP($E75,#REF!,4,FALSE))</f>
        <v/>
      </c>
    </row>
    <row r="76" spans="1:29" ht="18" customHeight="1">
      <c r="A76" s="108"/>
      <c r="B76" s="119"/>
      <c r="C76" s="125"/>
      <c r="D76" s="271"/>
      <c r="E76" s="131"/>
      <c r="F76" s="283"/>
      <c r="G76" s="126"/>
      <c r="H76" s="120"/>
      <c r="I76" s="120"/>
      <c r="J76" s="121" t="str">
        <f t="shared" si="4"/>
        <v/>
      </c>
      <c r="K76" s="109"/>
      <c r="L76" s="109"/>
      <c r="M76" s="122" t="str">
        <f t="shared" si="5"/>
        <v/>
      </c>
      <c r="N76" s="120"/>
      <c r="O76" s="120"/>
      <c r="P76" s="121" t="str">
        <f t="shared" si="6"/>
        <v/>
      </c>
      <c r="Q76" s="109"/>
      <c r="R76" s="109"/>
      <c r="S76" s="122" t="str">
        <f t="shared" si="7"/>
        <v/>
      </c>
      <c r="T76" s="123"/>
      <c r="U76" s="66"/>
      <c r="V76" s="18" t="str">
        <f>IF($C76="","",VLOOKUP($C76,#REF!,4,FALSE))</f>
        <v/>
      </c>
      <c r="W76" s="69" t="str">
        <f>IF($E76="","",VLOOKUP($E76,#REF!,4,FALSE))</f>
        <v/>
      </c>
    </row>
    <row r="77" spans="1:29" ht="18" customHeight="1">
      <c r="A77" s="108"/>
      <c r="B77" s="119"/>
      <c r="C77" s="125"/>
      <c r="D77" s="271"/>
      <c r="E77" s="131"/>
      <c r="F77" s="283"/>
      <c r="G77" s="126"/>
      <c r="H77" s="120"/>
      <c r="I77" s="120"/>
      <c r="J77" s="121" t="str">
        <f t="shared" si="4"/>
        <v/>
      </c>
      <c r="K77" s="109"/>
      <c r="L77" s="109"/>
      <c r="M77" s="122" t="str">
        <f t="shared" si="5"/>
        <v/>
      </c>
      <c r="N77" s="120"/>
      <c r="O77" s="120"/>
      <c r="P77" s="121" t="str">
        <f t="shared" si="6"/>
        <v/>
      </c>
      <c r="Q77" s="109"/>
      <c r="R77" s="109"/>
      <c r="S77" s="122" t="str">
        <f t="shared" si="7"/>
        <v/>
      </c>
      <c r="T77" s="123"/>
      <c r="U77" s="66"/>
      <c r="V77" s="18" t="str">
        <f>IF($C77="","",VLOOKUP($C77,#REF!,4,FALSE))</f>
        <v/>
      </c>
      <c r="W77" s="69" t="str">
        <f>IF($E77="","",VLOOKUP($E77,#REF!,4,FALSE))</f>
        <v/>
      </c>
    </row>
    <row r="78" spans="1:29" ht="18" customHeight="1">
      <c r="A78" s="108"/>
      <c r="B78" s="119"/>
      <c r="C78" s="125"/>
      <c r="D78" s="271"/>
      <c r="E78" s="125"/>
      <c r="F78" s="271"/>
      <c r="G78" s="124"/>
      <c r="H78" s="120"/>
      <c r="I78" s="120"/>
      <c r="J78" s="121" t="str">
        <f t="shared" ref="J78:J88" si="8">IF(H78="","",H78+I78)</f>
        <v/>
      </c>
      <c r="K78" s="109"/>
      <c r="L78" s="109"/>
      <c r="M78" s="122" t="str">
        <f t="shared" ref="M78:M88" si="9">IF(L78="","",K78+L78)</f>
        <v/>
      </c>
      <c r="N78" s="120"/>
      <c r="O78" s="120"/>
      <c r="P78" s="121" t="str">
        <f t="shared" ref="P78:P88" si="10">IF(N78="","",N78+O78)</f>
        <v/>
      </c>
      <c r="Q78" s="109"/>
      <c r="R78" s="109"/>
      <c r="S78" s="122" t="str">
        <f t="shared" ref="S78:S88" si="11">IF(R78="","",Q78+R78)</f>
        <v/>
      </c>
      <c r="T78" s="123"/>
      <c r="U78" s="66"/>
      <c r="V78" s="18" t="str">
        <f>IF($C78="","",VLOOKUP($C78,#REF!,4,FALSE))</f>
        <v/>
      </c>
      <c r="W78" s="69" t="str">
        <f>IF($E78="","",VLOOKUP($E78,#REF!,4,FALSE))</f>
        <v/>
      </c>
    </row>
    <row r="79" spans="1:29" ht="18" customHeight="1">
      <c r="A79" s="108"/>
      <c r="B79" s="119"/>
      <c r="C79" s="87"/>
      <c r="D79" s="273"/>
      <c r="E79" s="88"/>
      <c r="F79" s="280"/>
      <c r="G79" s="87"/>
      <c r="H79" s="120"/>
      <c r="I79" s="120"/>
      <c r="J79" s="121" t="str">
        <f t="shared" si="8"/>
        <v/>
      </c>
      <c r="K79" s="109"/>
      <c r="L79" s="109"/>
      <c r="M79" s="122" t="str">
        <f t="shared" si="9"/>
        <v/>
      </c>
      <c r="N79" s="120"/>
      <c r="O79" s="120"/>
      <c r="P79" s="121" t="str">
        <f t="shared" si="10"/>
        <v/>
      </c>
      <c r="Q79" s="109"/>
      <c r="R79" s="109"/>
      <c r="S79" s="122" t="str">
        <f t="shared" si="11"/>
        <v/>
      </c>
      <c r="T79" s="123"/>
      <c r="U79" s="66"/>
      <c r="V79" s="18" t="str">
        <f>IF($C79="","",VLOOKUP($C79,#REF!,4,FALSE))</f>
        <v/>
      </c>
      <c r="W79" s="69" t="str">
        <f>IF($E79="","",VLOOKUP($E79,#REF!,4,FALSE))</f>
        <v/>
      </c>
    </row>
    <row r="80" spans="1:29" ht="18" customHeight="1">
      <c r="A80" s="108"/>
      <c r="B80" s="119"/>
      <c r="C80" s="87"/>
      <c r="D80" s="273"/>
      <c r="E80" s="88"/>
      <c r="F80" s="280"/>
      <c r="G80" s="87"/>
      <c r="H80" s="120"/>
      <c r="I80" s="120"/>
      <c r="J80" s="121" t="str">
        <f t="shared" si="8"/>
        <v/>
      </c>
      <c r="K80" s="109"/>
      <c r="L80" s="109"/>
      <c r="M80" s="122" t="str">
        <f t="shared" si="9"/>
        <v/>
      </c>
      <c r="N80" s="120"/>
      <c r="O80" s="120"/>
      <c r="P80" s="121" t="str">
        <f t="shared" si="10"/>
        <v/>
      </c>
      <c r="Q80" s="109"/>
      <c r="R80" s="109"/>
      <c r="S80" s="122" t="str">
        <f t="shared" si="11"/>
        <v/>
      </c>
      <c r="T80" s="123"/>
      <c r="U80" s="66"/>
      <c r="V80" s="18" t="str">
        <f>IF($C80="","",VLOOKUP($C80,#REF!,4,FALSE))</f>
        <v/>
      </c>
      <c r="W80" s="69" t="str">
        <f>IF($E80="","",VLOOKUP($E80,#REF!,4,FALSE))</f>
        <v/>
      </c>
    </row>
    <row r="81" spans="1:23" ht="18" customHeight="1">
      <c r="A81" s="108"/>
      <c r="B81" s="119"/>
      <c r="C81" s="125"/>
      <c r="D81" s="271"/>
      <c r="E81" s="125"/>
      <c r="F81" s="271"/>
      <c r="G81" s="124"/>
      <c r="H81" s="120"/>
      <c r="I81" s="120"/>
      <c r="J81" s="121" t="str">
        <f t="shared" si="8"/>
        <v/>
      </c>
      <c r="K81" s="109"/>
      <c r="L81" s="109"/>
      <c r="M81" s="122" t="str">
        <f t="shared" si="9"/>
        <v/>
      </c>
      <c r="N81" s="120"/>
      <c r="O81" s="120"/>
      <c r="P81" s="121" t="str">
        <f t="shared" si="10"/>
        <v/>
      </c>
      <c r="Q81" s="109"/>
      <c r="R81" s="109"/>
      <c r="S81" s="122" t="str">
        <f t="shared" si="11"/>
        <v/>
      </c>
      <c r="T81" s="123"/>
      <c r="U81" s="66"/>
      <c r="V81" s="18" t="str">
        <f>IF($C81="","",VLOOKUP($C81,#REF!,4,FALSE))</f>
        <v/>
      </c>
      <c r="W81" s="69" t="str">
        <f>IF($E81="","",VLOOKUP($E81,#REF!,4,FALSE))</f>
        <v/>
      </c>
    </row>
    <row r="82" spans="1:23" ht="18" customHeight="1">
      <c r="A82" s="108"/>
      <c r="B82" s="119"/>
      <c r="C82" s="125"/>
      <c r="D82" s="271"/>
      <c r="E82" s="125"/>
      <c r="F82" s="271"/>
      <c r="G82" s="124"/>
      <c r="H82" s="120"/>
      <c r="I82" s="120"/>
      <c r="J82" s="121" t="str">
        <f t="shared" si="8"/>
        <v/>
      </c>
      <c r="K82" s="109"/>
      <c r="L82" s="109"/>
      <c r="M82" s="122" t="str">
        <f t="shared" si="9"/>
        <v/>
      </c>
      <c r="N82" s="120"/>
      <c r="O82" s="120"/>
      <c r="P82" s="121" t="str">
        <f t="shared" si="10"/>
        <v/>
      </c>
      <c r="Q82" s="109"/>
      <c r="R82" s="109"/>
      <c r="S82" s="122" t="str">
        <f t="shared" si="11"/>
        <v/>
      </c>
      <c r="T82" s="123"/>
      <c r="U82" s="66"/>
      <c r="V82" s="18" t="str">
        <f>IF($C82="","",VLOOKUP($C82,#REF!,4,FALSE))</f>
        <v/>
      </c>
      <c r="W82" s="69" t="str">
        <f>IF($E82="","",VLOOKUP($E82,#REF!,4,FALSE))</f>
        <v/>
      </c>
    </row>
    <row r="83" spans="1:23" ht="18" customHeight="1">
      <c r="A83" s="108"/>
      <c r="B83" s="119"/>
      <c r="C83" s="127"/>
      <c r="D83" s="271"/>
      <c r="E83" s="127"/>
      <c r="F83" s="271"/>
      <c r="G83" s="127"/>
      <c r="H83" s="120"/>
      <c r="I83" s="120"/>
      <c r="J83" s="121" t="str">
        <f t="shared" si="8"/>
        <v/>
      </c>
      <c r="K83" s="109"/>
      <c r="L83" s="109"/>
      <c r="M83" s="122" t="str">
        <f t="shared" si="9"/>
        <v/>
      </c>
      <c r="N83" s="120"/>
      <c r="O83" s="120"/>
      <c r="P83" s="121" t="str">
        <f t="shared" si="10"/>
        <v/>
      </c>
      <c r="Q83" s="109"/>
      <c r="R83" s="109"/>
      <c r="S83" s="122" t="str">
        <f t="shared" si="11"/>
        <v/>
      </c>
      <c r="T83" s="123"/>
      <c r="U83" s="66"/>
      <c r="V83" s="163" t="str">
        <f>IF($C83="","",VLOOKUP($C83,#REF!,4,FALSE))</f>
        <v/>
      </c>
      <c r="W83" s="163" t="str">
        <f>IF($E83="","",VLOOKUP($E83,#REF!,4,FALSE))</f>
        <v/>
      </c>
    </row>
    <row r="84" spans="1:23" ht="18" customHeight="1">
      <c r="A84" s="108"/>
      <c r="B84" s="119"/>
      <c r="C84" s="87"/>
      <c r="D84" s="273"/>
      <c r="E84" s="88"/>
      <c r="F84" s="280"/>
      <c r="G84" s="124"/>
      <c r="H84" s="120"/>
      <c r="I84" s="120"/>
      <c r="J84" s="121" t="str">
        <f t="shared" si="8"/>
        <v/>
      </c>
      <c r="K84" s="109"/>
      <c r="L84" s="109"/>
      <c r="M84" s="122" t="str">
        <f t="shared" si="9"/>
        <v/>
      </c>
      <c r="N84" s="120"/>
      <c r="O84" s="120"/>
      <c r="P84" s="121" t="str">
        <f t="shared" si="10"/>
        <v/>
      </c>
      <c r="Q84" s="109"/>
      <c r="R84" s="109"/>
      <c r="S84" s="122" t="str">
        <f t="shared" si="11"/>
        <v/>
      </c>
      <c r="T84" s="123"/>
      <c r="U84" s="66"/>
      <c r="V84" s="163" t="str">
        <f>IF($C84="","",VLOOKUP($C84,#REF!,4,FALSE))</f>
        <v/>
      </c>
      <c r="W84" s="163" t="str">
        <f>IF($E84="","",VLOOKUP($E84,#REF!,4,FALSE))</f>
        <v/>
      </c>
    </row>
    <row r="85" spans="1:23" ht="18" customHeight="1">
      <c r="A85" s="108"/>
      <c r="B85" s="119"/>
      <c r="C85" s="87"/>
      <c r="D85" s="273"/>
      <c r="E85" s="88"/>
      <c r="F85" s="280"/>
      <c r="G85" s="102"/>
      <c r="H85" s="120"/>
      <c r="I85" s="120"/>
      <c r="J85" s="121" t="str">
        <f t="shared" si="8"/>
        <v/>
      </c>
      <c r="K85" s="109"/>
      <c r="L85" s="109"/>
      <c r="M85" s="122" t="str">
        <f t="shared" si="9"/>
        <v/>
      </c>
      <c r="N85" s="120"/>
      <c r="O85" s="120"/>
      <c r="P85" s="121" t="str">
        <f t="shared" si="10"/>
        <v/>
      </c>
      <c r="Q85" s="109"/>
      <c r="R85" s="109"/>
      <c r="S85" s="122" t="str">
        <f t="shared" si="11"/>
        <v/>
      </c>
      <c r="T85" s="123"/>
      <c r="U85" s="66"/>
      <c r="V85" s="163" t="str">
        <f>IF($C85="","",VLOOKUP($C85,#REF!,4,FALSE))</f>
        <v/>
      </c>
      <c r="W85" s="163" t="str">
        <f>IF($E85="","",VLOOKUP($E85,#REF!,4,FALSE))</f>
        <v/>
      </c>
    </row>
    <row r="86" spans="1:23" ht="18" customHeight="1">
      <c r="A86" s="108"/>
      <c r="B86" s="119"/>
      <c r="C86" s="87"/>
      <c r="D86" s="273"/>
      <c r="E86" s="88"/>
      <c r="F86" s="280"/>
      <c r="G86" s="102"/>
      <c r="H86" s="120"/>
      <c r="I86" s="120"/>
      <c r="J86" s="121" t="str">
        <f t="shared" si="8"/>
        <v/>
      </c>
      <c r="K86" s="109"/>
      <c r="L86" s="109"/>
      <c r="M86" s="122" t="str">
        <f t="shared" si="9"/>
        <v/>
      </c>
      <c r="N86" s="120"/>
      <c r="O86" s="120"/>
      <c r="P86" s="121" t="str">
        <f t="shared" si="10"/>
        <v/>
      </c>
      <c r="Q86" s="109"/>
      <c r="R86" s="109"/>
      <c r="S86" s="122" t="str">
        <f t="shared" si="11"/>
        <v/>
      </c>
      <c r="T86" s="123"/>
      <c r="U86" s="66"/>
      <c r="V86" s="163" t="str">
        <f>IF($C86="","",VLOOKUP($C86,#REF!,4,FALSE))</f>
        <v/>
      </c>
      <c r="W86" s="163" t="str">
        <f>IF($E86="","",VLOOKUP($E86,#REF!,4,FALSE))</f>
        <v/>
      </c>
    </row>
    <row r="87" spans="1:23" ht="18" customHeight="1">
      <c r="A87" s="108"/>
      <c r="B87" s="119"/>
      <c r="C87" s="87"/>
      <c r="D87" s="273"/>
      <c r="E87" s="88"/>
      <c r="F87" s="280"/>
      <c r="G87" s="87"/>
      <c r="H87" s="120"/>
      <c r="I87" s="120"/>
      <c r="J87" s="121" t="str">
        <f t="shared" si="8"/>
        <v/>
      </c>
      <c r="K87" s="109"/>
      <c r="L87" s="109"/>
      <c r="M87" s="122" t="str">
        <f t="shared" si="9"/>
        <v/>
      </c>
      <c r="N87" s="120"/>
      <c r="O87" s="120"/>
      <c r="P87" s="121" t="str">
        <f t="shared" si="10"/>
        <v/>
      </c>
      <c r="Q87" s="109"/>
      <c r="R87" s="109"/>
      <c r="S87" s="122" t="str">
        <f t="shared" si="11"/>
        <v/>
      </c>
      <c r="T87" s="123"/>
      <c r="U87" s="66"/>
      <c r="V87" s="163" t="str">
        <f>IF($C87="","",VLOOKUP($C87,#REF!,4,FALSE))</f>
        <v/>
      </c>
      <c r="W87" s="163" t="str">
        <f>IF($E87="","",VLOOKUP($E87,#REF!,4,FALSE))</f>
        <v/>
      </c>
    </row>
    <row r="88" spans="1:23" ht="18" customHeight="1">
      <c r="A88" s="108"/>
      <c r="B88" s="119"/>
      <c r="C88" s="125"/>
      <c r="D88" s="271"/>
      <c r="E88" s="125"/>
      <c r="F88" s="271"/>
      <c r="G88" s="124"/>
      <c r="H88" s="120"/>
      <c r="I88" s="120"/>
      <c r="J88" s="121" t="str">
        <f t="shared" si="8"/>
        <v/>
      </c>
      <c r="K88" s="109"/>
      <c r="L88" s="109"/>
      <c r="M88" s="122" t="str">
        <f t="shared" si="9"/>
        <v/>
      </c>
      <c r="N88" s="120"/>
      <c r="O88" s="120"/>
      <c r="P88" s="121" t="str">
        <f t="shared" si="10"/>
        <v/>
      </c>
      <c r="Q88" s="109"/>
      <c r="R88" s="109"/>
      <c r="S88" s="122" t="str">
        <f t="shared" si="11"/>
        <v/>
      </c>
      <c r="T88" s="123"/>
      <c r="U88" s="66"/>
      <c r="V88" s="163" t="str">
        <f>IF($C88="","",VLOOKUP($C88,#REF!,4,FALSE))</f>
        <v/>
      </c>
      <c r="W88" s="163" t="str">
        <f>IF($E88="","",VLOOKUP($E88,#REF!,4,FALSE))</f>
        <v/>
      </c>
    </row>
  </sheetData>
  <autoFilter ref="A13:W13" xr:uid="{00000000-0001-0000-1000-000000000000}">
    <sortState xmlns:xlrd2="http://schemas.microsoft.com/office/spreadsheetml/2017/richdata2" ref="A14:W88">
      <sortCondition ref="B13"/>
    </sortState>
  </autoFilter>
  <sortState xmlns:xlrd2="http://schemas.microsoft.com/office/spreadsheetml/2017/richdata2" ref="A14:AD42">
    <sortCondition ref="B14:B42"/>
  </sortState>
  <phoneticPr fontId="10" type="Hiragana"/>
  <conditionalFormatting sqref="V14:V82">
    <cfRule type="cellIs" dxfId="25" priority="6" stopIfTrue="1" operator="notBetween">
      <formula>"A"</formula>
      <formula>"Ｂ"</formula>
    </cfRule>
  </conditionalFormatting>
  <conditionalFormatting sqref="W14:W82">
    <cfRule type="cellIs" dxfId="24" priority="5" stopIfTrue="1" operator="between">
      <formula>"-"</formula>
      <formula>"申請中"</formula>
    </cfRule>
  </conditionalFormatting>
  <conditionalFormatting sqref="Y22:Z73">
    <cfRule type="expression" dxfId="23" priority="4">
      <formula>Y22&lt;&gt;C22</formula>
    </cfRule>
  </conditionalFormatting>
  <conditionalFormatting sqref="AB22:AC73">
    <cfRule type="expression" dxfId="22" priority="3">
      <formula>AB22&lt;&gt;E22</formula>
    </cfRule>
  </conditionalFormatting>
  <conditionalFormatting sqref="E43">
    <cfRule type="cellIs" dxfId="21" priority="2" operator="notEqual">
      <formula>$O43</formula>
    </cfRule>
  </conditionalFormatting>
  <conditionalFormatting sqref="F43">
    <cfRule type="cellIs" dxfId="20" priority="1" operator="notEqual">
      <formula>$L43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GetJEFInfo">
                <anchor moveWithCells="1" sizeWithCells="1">
                  <from>
                    <xdr:col>23</xdr:col>
                    <xdr:colOff>381000</xdr:colOff>
                    <xdr:row>2</xdr:row>
                    <xdr:rowOff>213360</xdr:rowOff>
                  </from>
                  <to>
                    <xdr:col>25</xdr:col>
                    <xdr:colOff>601980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4">
    <tabColor rgb="FFFFC000"/>
  </sheetPr>
  <dimension ref="A1:AD201"/>
  <sheetViews>
    <sheetView zoomScale="98" zoomScaleNormal="98" workbookViewId="0">
      <selection activeCell="D21" sqref="D21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24" width="9.6640625" style="20"/>
    <col min="29" max="16384" width="9.6640625" style="20"/>
  </cols>
  <sheetData>
    <row r="1" spans="1:30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Y1"/>
      <c r="Z1"/>
      <c r="AA1"/>
      <c r="AB1"/>
    </row>
    <row r="2" spans="1:30" s="25" customFormat="1" ht="18" customHeight="1">
      <c r="B2" s="26" t="s">
        <v>1</v>
      </c>
      <c r="C2" s="27"/>
      <c r="E2" s="26" t="s">
        <v>2</v>
      </c>
      <c r="F2" s="30"/>
      <c r="G2" s="175">
        <v>46277</v>
      </c>
      <c r="L2" s="28"/>
      <c r="N2" s="26" t="s">
        <v>3</v>
      </c>
      <c r="O2" s="29"/>
      <c r="P2" s="30"/>
      <c r="Q2" s="30"/>
      <c r="R2" s="30"/>
      <c r="S2" s="30"/>
      <c r="T2" s="30"/>
      <c r="Y2"/>
      <c r="Z2"/>
      <c r="AA2"/>
      <c r="AB2"/>
    </row>
    <row r="3" spans="1:30" s="25" customFormat="1" ht="18" customHeight="1">
      <c r="A3" s="31"/>
      <c r="B3" s="26" t="s">
        <v>4</v>
      </c>
      <c r="C3" s="71" t="s">
        <v>481</v>
      </c>
      <c r="D3" s="139"/>
      <c r="E3" s="139"/>
      <c r="F3" s="139"/>
      <c r="G3" s="139"/>
      <c r="Q3" s="26" t="s">
        <v>5</v>
      </c>
      <c r="R3" s="29"/>
      <c r="S3" s="30"/>
      <c r="T3" s="30"/>
      <c r="U3" s="32"/>
      <c r="Y3"/>
      <c r="Z3"/>
      <c r="AA3"/>
      <c r="AB3"/>
    </row>
    <row r="4" spans="1:30" s="25" customFormat="1" ht="18" customHeight="1">
      <c r="B4" s="26" t="s">
        <v>6</v>
      </c>
      <c r="C4" s="33">
        <v>16</v>
      </c>
      <c r="D4" s="25" t="s">
        <v>7</v>
      </c>
      <c r="E4" s="26" t="s">
        <v>8</v>
      </c>
      <c r="F4" s="359" t="s">
        <v>485</v>
      </c>
      <c r="G4" s="360"/>
      <c r="H4" s="30"/>
      <c r="J4" s="26" t="s">
        <v>9</v>
      </c>
      <c r="K4" s="34" t="s">
        <v>144</v>
      </c>
      <c r="N4" s="26" t="s">
        <v>10</v>
      </c>
      <c r="O4" s="35"/>
      <c r="Y4"/>
      <c r="Z4"/>
      <c r="AA4"/>
      <c r="AB4"/>
    </row>
    <row r="5" spans="1:30" s="25" customFormat="1" ht="18" customHeight="1">
      <c r="C5" s="26" t="s">
        <v>11</v>
      </c>
      <c r="D5" s="27" t="s">
        <v>613</v>
      </c>
      <c r="E5" s="26" t="s">
        <v>12</v>
      </c>
      <c r="F5" s="36" t="s">
        <v>59</v>
      </c>
      <c r="G5" s="26" t="s">
        <v>13</v>
      </c>
      <c r="H5" s="70"/>
      <c r="I5" s="36"/>
      <c r="J5" s="37" t="s">
        <v>14</v>
      </c>
      <c r="K5" s="38"/>
      <c r="L5" s="26" t="s">
        <v>15</v>
      </c>
      <c r="M5" s="39"/>
      <c r="O5" s="26" t="s">
        <v>16</v>
      </c>
      <c r="P5" s="39"/>
      <c r="R5" s="26" t="s">
        <v>17</v>
      </c>
      <c r="S5" s="39"/>
      <c r="Y5"/>
      <c r="Z5"/>
      <c r="AA5"/>
      <c r="AB5"/>
    </row>
    <row r="6" spans="1:30" s="25" customFormat="1" ht="35.1" customHeight="1">
      <c r="C6" s="40" t="s">
        <v>18</v>
      </c>
      <c r="D6" s="269" t="s">
        <v>40</v>
      </c>
      <c r="E6" s="26" t="s">
        <v>19</v>
      </c>
      <c r="F6" s="277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  <c r="Y6"/>
      <c r="Z6"/>
      <c r="AA6"/>
      <c r="AB6"/>
    </row>
    <row r="7" spans="1:30" s="25" customFormat="1" ht="15" customHeight="1">
      <c r="A7" s="26" t="s">
        <v>69</v>
      </c>
      <c r="B7" s="74" t="s">
        <v>0</v>
      </c>
      <c r="C7" s="77"/>
      <c r="D7" s="26" t="s">
        <v>70</v>
      </c>
      <c r="E7" s="75"/>
      <c r="F7" s="32"/>
      <c r="I7" s="26"/>
      <c r="J7" s="37"/>
      <c r="K7" s="32"/>
      <c r="L7" s="26"/>
      <c r="M7" s="32"/>
      <c r="N7" s="26"/>
      <c r="O7" s="42"/>
      <c r="Q7" s="26"/>
      <c r="R7" s="43"/>
      <c r="Y7"/>
      <c r="Z7"/>
      <c r="AA7"/>
      <c r="AB7"/>
    </row>
    <row r="8" spans="1:30" s="25" customFormat="1" ht="15" customHeight="1">
      <c r="A8" s="26" t="s">
        <v>71</v>
      </c>
      <c r="B8" s="74" t="s">
        <v>0</v>
      </c>
      <c r="C8" s="73"/>
      <c r="D8" s="26" t="s">
        <v>70</v>
      </c>
      <c r="E8" s="76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  <c r="Y8"/>
      <c r="Z8"/>
      <c r="AA8"/>
      <c r="AB8"/>
    </row>
    <row r="9" spans="1:30" s="25" customFormat="1" ht="15" customHeight="1">
      <c r="A9" s="26" t="s">
        <v>72</v>
      </c>
      <c r="B9" s="74" t="s">
        <v>0</v>
      </c>
      <c r="C9" s="73"/>
      <c r="D9" s="26" t="s">
        <v>70</v>
      </c>
      <c r="E9" s="76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  <c r="Y9"/>
      <c r="Z9"/>
      <c r="AA9"/>
      <c r="AB9"/>
    </row>
    <row r="10" spans="1:30" s="25" customFormat="1" ht="15" customHeight="1">
      <c r="A10" s="26" t="s">
        <v>73</v>
      </c>
      <c r="B10" s="74" t="s">
        <v>0</v>
      </c>
      <c r="C10" s="73"/>
      <c r="D10" s="26" t="s">
        <v>70</v>
      </c>
      <c r="E10" s="76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  <c r="Y10"/>
      <c r="Z10"/>
      <c r="AA10"/>
      <c r="AB10"/>
    </row>
    <row r="11" spans="1:30" s="25" customFormat="1" ht="15" customHeight="1">
      <c r="A11" s="26" t="s">
        <v>74</v>
      </c>
      <c r="B11" s="74" t="s">
        <v>0</v>
      </c>
      <c r="C11" s="73"/>
      <c r="D11" s="26" t="s">
        <v>70</v>
      </c>
      <c r="E11" s="76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  <c r="Y11"/>
      <c r="Z11"/>
      <c r="AA11"/>
      <c r="AB11"/>
    </row>
    <row r="12" spans="1:30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51</v>
      </c>
      <c r="W12" s="15" t="s">
        <v>52</v>
      </c>
    </row>
    <row r="13" spans="1:30" ht="35.1" customHeight="1">
      <c r="A13" s="52" t="s">
        <v>24</v>
      </c>
      <c r="B13" s="52" t="s">
        <v>25</v>
      </c>
      <c r="C13" s="53" t="s">
        <v>26</v>
      </c>
      <c r="D13" s="270" t="s">
        <v>0</v>
      </c>
      <c r="E13" s="53" t="s">
        <v>27</v>
      </c>
      <c r="F13" s="270" t="s">
        <v>28</v>
      </c>
      <c r="G13" s="53" t="s">
        <v>29</v>
      </c>
      <c r="H13" s="54" t="s">
        <v>30</v>
      </c>
      <c r="I13" s="53" t="s">
        <v>31</v>
      </c>
      <c r="J13" s="54" t="s">
        <v>32</v>
      </c>
      <c r="K13" s="54" t="s">
        <v>33</v>
      </c>
      <c r="L13" s="54" t="s">
        <v>34</v>
      </c>
      <c r="M13" s="53" t="s">
        <v>35</v>
      </c>
      <c r="N13" s="55" t="s">
        <v>30</v>
      </c>
      <c r="O13" s="56" t="s">
        <v>31</v>
      </c>
      <c r="P13" s="55" t="s">
        <v>32</v>
      </c>
      <c r="Q13" s="55" t="s">
        <v>33</v>
      </c>
      <c r="R13" s="57" t="s">
        <v>36</v>
      </c>
      <c r="S13" s="58" t="s">
        <v>37</v>
      </c>
      <c r="T13" s="59" t="s">
        <v>38</v>
      </c>
      <c r="V13" s="15" t="s">
        <v>57</v>
      </c>
      <c r="W13" s="15" t="s">
        <v>58</v>
      </c>
    </row>
    <row r="14" spans="1:30" s="67" customFormat="1" ht="18" customHeight="1">
      <c r="A14" s="60"/>
      <c r="B14" s="61">
        <v>1</v>
      </c>
      <c r="C14" s="133" t="s">
        <v>717</v>
      </c>
      <c r="D14" s="283">
        <v>30276</v>
      </c>
      <c r="E14" s="176" t="s">
        <v>491</v>
      </c>
      <c r="F14" s="312">
        <v>61183</v>
      </c>
      <c r="G14" s="208" t="s">
        <v>492</v>
      </c>
      <c r="H14" s="22"/>
      <c r="I14" s="22"/>
      <c r="J14" s="62" t="str">
        <f t="shared" ref="J14:J45" si="0">IF(H14="","",H14+I14)</f>
        <v/>
      </c>
      <c r="K14" s="63"/>
      <c r="L14" s="63"/>
      <c r="M14" s="64" t="str">
        <f t="shared" ref="M14:M45" si="1">IF(L14="","",K14+L14)</f>
        <v/>
      </c>
      <c r="N14" s="22"/>
      <c r="O14" s="22"/>
      <c r="P14" s="62" t="str">
        <f t="shared" ref="P14:P45" si="2">IF(N14="","",N14+O14)</f>
        <v/>
      </c>
      <c r="Q14" s="63"/>
      <c r="R14" s="63"/>
      <c r="S14" s="64" t="str">
        <f t="shared" ref="S14:S45" si="3">IF(R14="","",Q14+R14)</f>
        <v/>
      </c>
      <c r="T14" s="65"/>
      <c r="U14" s="66"/>
      <c r="V14" s="18" t="e">
        <f>IF($C14="","",VLOOKUP($C14,#REF!,4,FALSE))</f>
        <v>#REF!</v>
      </c>
      <c r="W14" s="69" t="e">
        <f>IF($E14="","",VLOOKUP($E14,#REF!,4,FALSE))</f>
        <v>#REF!</v>
      </c>
      <c r="Y14" t="s">
        <v>478</v>
      </c>
      <c r="Z14">
        <v>16738</v>
      </c>
      <c r="AA14" t="s">
        <v>477</v>
      </c>
      <c r="AB14" t="s">
        <v>476</v>
      </c>
      <c r="AC14">
        <v>60393</v>
      </c>
      <c r="AD14" s="67" t="s">
        <v>479</v>
      </c>
    </row>
    <row r="15" spans="1:30" s="67" customFormat="1" ht="18" customHeight="1">
      <c r="A15" s="60"/>
      <c r="B15" s="61">
        <v>2</v>
      </c>
      <c r="C15" s="143" t="s">
        <v>115</v>
      </c>
      <c r="D15" s="291">
        <v>12159</v>
      </c>
      <c r="E15" s="145" t="s">
        <v>522</v>
      </c>
      <c r="F15" s="305">
        <v>61134</v>
      </c>
      <c r="G15" s="141" t="s">
        <v>521</v>
      </c>
      <c r="H15" s="22"/>
      <c r="I15" s="22"/>
      <c r="J15" s="62" t="str">
        <f t="shared" si="0"/>
        <v/>
      </c>
      <c r="K15" s="63"/>
      <c r="L15" s="63"/>
      <c r="M15" s="64" t="str">
        <f t="shared" si="1"/>
        <v/>
      </c>
      <c r="N15" s="22"/>
      <c r="O15" s="22"/>
      <c r="P15" s="62" t="str">
        <f t="shared" si="2"/>
        <v/>
      </c>
      <c r="Q15" s="63"/>
      <c r="R15" s="63"/>
      <c r="S15" s="64" t="str">
        <f t="shared" si="3"/>
        <v/>
      </c>
      <c r="T15" s="65"/>
      <c r="U15" s="66"/>
      <c r="V15" s="18" t="e">
        <f>IF($C15="","",VLOOKUP($C15,#REF!,4,FALSE))</f>
        <v>#REF!</v>
      </c>
      <c r="W15" s="69" t="e">
        <f>IF($E15="","",VLOOKUP($E15,#REF!,4,FALSE))</f>
        <v>#REF!</v>
      </c>
      <c r="Y15" t="s">
        <v>254</v>
      </c>
      <c r="Z15">
        <v>8082</v>
      </c>
      <c r="AA15" t="s">
        <v>182</v>
      </c>
      <c r="AB15" t="s">
        <v>475</v>
      </c>
      <c r="AC15">
        <v>60750</v>
      </c>
      <c r="AD15" s="67" t="s">
        <v>480</v>
      </c>
    </row>
    <row r="16" spans="1:30" s="67" customFormat="1" ht="18" customHeight="1">
      <c r="A16" s="60"/>
      <c r="B16" s="61">
        <v>3</v>
      </c>
      <c r="C16" s="133" t="s">
        <v>718</v>
      </c>
      <c r="D16" s="283">
        <v>33538</v>
      </c>
      <c r="E16" s="133" t="s">
        <v>595</v>
      </c>
      <c r="F16" s="279">
        <v>61781</v>
      </c>
      <c r="G16" s="177" t="s">
        <v>590</v>
      </c>
      <c r="H16" s="22"/>
      <c r="I16" s="22"/>
      <c r="J16" s="62" t="str">
        <f t="shared" si="0"/>
        <v/>
      </c>
      <c r="K16" s="63"/>
      <c r="L16" s="63"/>
      <c r="M16" s="64" t="str">
        <f t="shared" si="1"/>
        <v/>
      </c>
      <c r="N16" s="22"/>
      <c r="O16" s="22"/>
      <c r="P16" s="62" t="str">
        <f t="shared" si="2"/>
        <v/>
      </c>
      <c r="Q16" s="63"/>
      <c r="R16" s="63"/>
      <c r="S16" s="64" t="str">
        <f t="shared" si="3"/>
        <v/>
      </c>
      <c r="T16" s="65"/>
      <c r="U16" s="66"/>
      <c r="V16" s="18" t="e">
        <f>IF($C16="","",VLOOKUP($C16,#REF!,4,FALSE))</f>
        <v>#REF!</v>
      </c>
      <c r="W16" s="69" t="e">
        <f>IF($E16="","",VLOOKUP($E16,#REF!,4,FALSE))</f>
        <v>#REF!</v>
      </c>
      <c r="Y16" t="s">
        <v>348</v>
      </c>
      <c r="Z16">
        <v>5937</v>
      </c>
      <c r="AA16" t="s">
        <v>347</v>
      </c>
      <c r="AB16" t="s">
        <v>286</v>
      </c>
      <c r="AC16">
        <v>60469</v>
      </c>
      <c r="AD16" s="67" t="s">
        <v>378</v>
      </c>
    </row>
    <row r="17" spans="1:30" s="67" customFormat="1" ht="18" customHeight="1">
      <c r="A17" s="60"/>
      <c r="B17" s="61">
        <v>4</v>
      </c>
      <c r="C17" s="137" t="s">
        <v>102</v>
      </c>
      <c r="D17" s="271">
        <v>18834</v>
      </c>
      <c r="E17" s="137" t="s">
        <v>719</v>
      </c>
      <c r="F17" s="279">
        <v>61895</v>
      </c>
      <c r="G17" s="154" t="s">
        <v>564</v>
      </c>
      <c r="H17" s="22"/>
      <c r="I17" s="22"/>
      <c r="J17" s="62" t="str">
        <f t="shared" si="0"/>
        <v/>
      </c>
      <c r="K17" s="63"/>
      <c r="L17" s="63"/>
      <c r="M17" s="64" t="str">
        <f t="shared" si="1"/>
        <v/>
      </c>
      <c r="N17" s="22"/>
      <c r="O17" s="22"/>
      <c r="P17" s="62" t="str">
        <f t="shared" si="2"/>
        <v/>
      </c>
      <c r="Q17" s="63"/>
      <c r="R17" s="63"/>
      <c r="S17" s="64" t="str">
        <f t="shared" si="3"/>
        <v/>
      </c>
      <c r="T17" s="65"/>
      <c r="U17" s="66"/>
      <c r="V17" s="18" t="e">
        <f>IF($C17="","",VLOOKUP($C17,#REF!,4,FALSE))</f>
        <v>#REF!</v>
      </c>
      <c r="W17" s="69" t="e">
        <f>IF($E17="","",VLOOKUP($E17,#REF!,4,FALSE))</f>
        <v>#REF!</v>
      </c>
      <c r="Y17" t="s">
        <v>334</v>
      </c>
      <c r="Z17">
        <v>7584</v>
      </c>
      <c r="AA17" t="s">
        <v>340</v>
      </c>
      <c r="AB17" t="s">
        <v>335</v>
      </c>
      <c r="AC17">
        <v>60495</v>
      </c>
      <c r="AD17" s="67" t="s">
        <v>371</v>
      </c>
    </row>
    <row r="18" spans="1:30" s="67" customFormat="1" ht="18" customHeight="1">
      <c r="A18" s="60" t="s">
        <v>687</v>
      </c>
      <c r="B18" s="61">
        <v>5</v>
      </c>
      <c r="C18" s="137" t="s">
        <v>709</v>
      </c>
      <c r="D18" s="271" t="s">
        <v>501</v>
      </c>
      <c r="E18" s="137" t="s">
        <v>710</v>
      </c>
      <c r="F18" s="279">
        <v>58208</v>
      </c>
      <c r="G18" s="138" t="s">
        <v>608</v>
      </c>
      <c r="H18" s="22"/>
      <c r="I18" s="22"/>
      <c r="J18" s="62" t="str">
        <f t="shared" si="0"/>
        <v/>
      </c>
      <c r="K18" s="63"/>
      <c r="L18" s="63"/>
      <c r="M18" s="64" t="str">
        <f t="shared" si="1"/>
        <v/>
      </c>
      <c r="N18" s="22"/>
      <c r="O18" s="22"/>
      <c r="P18" s="62" t="str">
        <f t="shared" si="2"/>
        <v/>
      </c>
      <c r="Q18" s="63"/>
      <c r="R18" s="63"/>
      <c r="S18" s="64" t="str">
        <f t="shared" si="3"/>
        <v/>
      </c>
      <c r="T18" s="65"/>
      <c r="U18" s="66"/>
      <c r="V18" s="18" t="e">
        <f>IF($C18="","",VLOOKUP($C18,#REF!,4,FALSE))</f>
        <v>#REF!</v>
      </c>
      <c r="W18" s="69" t="e">
        <f>IF($E18="","",VLOOKUP($E18,#REF!,4,FALSE))</f>
        <v>#REF!</v>
      </c>
      <c r="Y18" t="s">
        <v>342</v>
      </c>
      <c r="Z18">
        <v>8532</v>
      </c>
      <c r="AA18" t="s">
        <v>341</v>
      </c>
      <c r="AB18" t="s">
        <v>333</v>
      </c>
      <c r="AC18">
        <v>59619</v>
      </c>
      <c r="AD18" s="67" t="s">
        <v>372</v>
      </c>
    </row>
    <row r="19" spans="1:30" s="67" customFormat="1" ht="18" customHeight="1">
      <c r="A19" s="60"/>
      <c r="B19" s="61">
        <v>6</v>
      </c>
      <c r="C19" s="141"/>
      <c r="D19" s="290"/>
      <c r="E19" s="133"/>
      <c r="F19" s="295"/>
      <c r="G19" s="178"/>
      <c r="H19" s="22"/>
      <c r="I19" s="22"/>
      <c r="J19" s="62" t="str">
        <f t="shared" si="0"/>
        <v/>
      </c>
      <c r="K19" s="63"/>
      <c r="L19" s="63"/>
      <c r="M19" s="64" t="str">
        <f t="shared" si="1"/>
        <v/>
      </c>
      <c r="N19" s="22"/>
      <c r="O19" s="22"/>
      <c r="P19" s="62" t="str">
        <f t="shared" si="2"/>
        <v/>
      </c>
      <c r="Q19" s="63"/>
      <c r="R19" s="63"/>
      <c r="S19" s="64" t="str">
        <f t="shared" si="3"/>
        <v/>
      </c>
      <c r="T19" s="65"/>
      <c r="U19" s="66"/>
      <c r="V19" s="18" t="str">
        <f>IF($C19="","",VLOOKUP($C19,#REF!,4,FALSE))</f>
        <v/>
      </c>
      <c r="W19" s="69" t="str">
        <f>IF($E19="","",VLOOKUP($E19,#REF!,4,FALSE))</f>
        <v/>
      </c>
      <c r="Y19" t="s">
        <v>245</v>
      </c>
      <c r="Z19">
        <v>11802</v>
      </c>
      <c r="AA19" t="s">
        <v>168</v>
      </c>
      <c r="AB19" t="s">
        <v>332</v>
      </c>
      <c r="AC19">
        <v>59963</v>
      </c>
      <c r="AD19" s="67" t="s">
        <v>373</v>
      </c>
    </row>
    <row r="20" spans="1:30" s="67" customFormat="1" ht="18" customHeight="1">
      <c r="A20" s="60"/>
      <c r="B20" s="61">
        <v>7</v>
      </c>
      <c r="C20" s="153"/>
      <c r="D20" s="271"/>
      <c r="E20" s="137"/>
      <c r="F20" s="279"/>
      <c r="G20" s="189"/>
      <c r="H20" s="22"/>
      <c r="I20" s="22"/>
      <c r="J20" s="62" t="str">
        <f t="shared" si="0"/>
        <v/>
      </c>
      <c r="K20" s="63"/>
      <c r="L20" s="63"/>
      <c r="M20" s="64" t="str">
        <f t="shared" si="1"/>
        <v/>
      </c>
      <c r="N20" s="22"/>
      <c r="O20" s="22"/>
      <c r="P20" s="62" t="str">
        <f t="shared" si="2"/>
        <v/>
      </c>
      <c r="Q20" s="63"/>
      <c r="R20" s="63"/>
      <c r="S20" s="64" t="str">
        <f t="shared" si="3"/>
        <v/>
      </c>
      <c r="T20" s="65"/>
      <c r="U20" s="66"/>
      <c r="V20" s="18" t="str">
        <f>IF($C20="","",VLOOKUP($C20,#REF!,4,FALSE))</f>
        <v/>
      </c>
      <c r="W20" s="69" t="str">
        <f>IF($E20="","",VLOOKUP($E20,#REF!,4,FALSE))</f>
        <v/>
      </c>
      <c r="Y20" t="s">
        <v>238</v>
      </c>
      <c r="Z20">
        <v>30169</v>
      </c>
      <c r="AA20" t="s">
        <v>151</v>
      </c>
      <c r="AB20" t="s">
        <v>331</v>
      </c>
      <c r="AC20">
        <v>61597</v>
      </c>
      <c r="AD20" s="67" t="s">
        <v>374</v>
      </c>
    </row>
    <row r="21" spans="1:30" s="67" customFormat="1" ht="18" customHeight="1">
      <c r="A21" s="60"/>
      <c r="B21" s="61">
        <v>8</v>
      </c>
      <c r="C21" s="137"/>
      <c r="D21" s="271"/>
      <c r="E21" s="137"/>
      <c r="F21" s="279"/>
      <c r="G21" s="138"/>
      <c r="H21" s="22"/>
      <c r="I21" s="22"/>
      <c r="J21" s="62" t="str">
        <f t="shared" si="0"/>
        <v/>
      </c>
      <c r="K21" s="63"/>
      <c r="L21" s="63"/>
      <c r="M21" s="64" t="str">
        <f t="shared" si="1"/>
        <v/>
      </c>
      <c r="N21" s="22"/>
      <c r="O21" s="22"/>
      <c r="P21" s="62" t="str">
        <f t="shared" si="2"/>
        <v/>
      </c>
      <c r="Q21" s="63"/>
      <c r="R21" s="63"/>
      <c r="S21" s="64" t="str">
        <f t="shared" si="3"/>
        <v/>
      </c>
      <c r="T21" s="65"/>
      <c r="U21" s="66"/>
      <c r="V21" s="18" t="str">
        <f>IF($C21="","",VLOOKUP($C21,#REF!,4,FALSE))</f>
        <v/>
      </c>
      <c r="W21" s="69" t="str">
        <f>IF($E21="","",VLOOKUP($E21,#REF!,4,FALSE))</f>
        <v/>
      </c>
      <c r="Y21" t="s">
        <v>255</v>
      </c>
      <c r="Z21">
        <v>25761</v>
      </c>
      <c r="AA21" t="s">
        <v>183</v>
      </c>
      <c r="AB21" t="s">
        <v>126</v>
      </c>
      <c r="AC21">
        <v>58584</v>
      </c>
      <c r="AD21" s="67" t="s">
        <v>201</v>
      </c>
    </row>
    <row r="22" spans="1:30" s="67" customFormat="1" ht="18" customHeight="1">
      <c r="A22" s="60"/>
      <c r="B22" s="61">
        <v>9</v>
      </c>
      <c r="C22" s="137"/>
      <c r="D22" s="271"/>
      <c r="E22" s="137"/>
      <c r="F22" s="279"/>
      <c r="G22" s="138"/>
      <c r="H22" s="22"/>
      <c r="I22" s="22"/>
      <c r="J22" s="62" t="str">
        <f t="shared" si="0"/>
        <v/>
      </c>
      <c r="K22" s="63"/>
      <c r="L22" s="63"/>
      <c r="M22" s="64" t="str">
        <f t="shared" si="1"/>
        <v/>
      </c>
      <c r="N22" s="22"/>
      <c r="O22" s="22"/>
      <c r="P22" s="62" t="str">
        <f t="shared" si="2"/>
        <v/>
      </c>
      <c r="Q22" s="63"/>
      <c r="R22" s="63"/>
      <c r="S22" s="64" t="str">
        <f t="shared" si="3"/>
        <v/>
      </c>
      <c r="T22" s="65"/>
      <c r="U22" s="66"/>
      <c r="V22" s="18" t="str">
        <f>IF($C22="","",VLOOKUP($C22,#REF!,4,FALSE))</f>
        <v/>
      </c>
      <c r="W22" s="69" t="str">
        <f>IF($E22="","",VLOOKUP($E22,#REF!,4,FALSE))</f>
        <v/>
      </c>
      <c r="Y22" t="s">
        <v>312</v>
      </c>
      <c r="Z22">
        <v>13695</v>
      </c>
      <c r="AA22" t="s">
        <v>343</v>
      </c>
      <c r="AB22" t="s">
        <v>314</v>
      </c>
      <c r="AC22">
        <v>59924</v>
      </c>
      <c r="AD22" s="67" t="s">
        <v>375</v>
      </c>
    </row>
    <row r="23" spans="1:30" s="67" customFormat="1" ht="18" customHeight="1">
      <c r="A23" s="60"/>
      <c r="B23" s="61">
        <v>10</v>
      </c>
      <c r="C23" s="137"/>
      <c r="D23" s="271"/>
      <c r="E23" s="137"/>
      <c r="F23" s="279"/>
      <c r="G23" s="138"/>
      <c r="H23" s="22"/>
      <c r="I23" s="22"/>
      <c r="J23" s="62" t="str">
        <f t="shared" si="0"/>
        <v/>
      </c>
      <c r="K23" s="63"/>
      <c r="L23" s="63"/>
      <c r="M23" s="64" t="str">
        <f t="shared" si="1"/>
        <v/>
      </c>
      <c r="N23" s="22"/>
      <c r="O23" s="22"/>
      <c r="P23" s="62" t="str">
        <f t="shared" si="2"/>
        <v/>
      </c>
      <c r="Q23" s="63"/>
      <c r="R23" s="63"/>
      <c r="S23" s="64" t="str">
        <f t="shared" si="3"/>
        <v/>
      </c>
      <c r="T23" s="65"/>
      <c r="U23" s="66"/>
      <c r="V23" s="18" t="str">
        <f>IF($C23="","",VLOOKUP($C23,#REF!,4,FALSE))</f>
        <v/>
      </c>
      <c r="W23" s="69" t="str">
        <f>IF($E23="","",VLOOKUP($E23,#REF!,4,FALSE))</f>
        <v/>
      </c>
      <c r="Y23" t="s">
        <v>324</v>
      </c>
      <c r="Z23">
        <v>30413</v>
      </c>
      <c r="AA23" t="s">
        <v>344</v>
      </c>
      <c r="AB23" t="s">
        <v>325</v>
      </c>
      <c r="AC23">
        <v>60941</v>
      </c>
      <c r="AD23" s="67" t="s">
        <v>376</v>
      </c>
    </row>
    <row r="24" spans="1:30" s="67" customFormat="1" ht="18" customHeight="1">
      <c r="A24" s="60"/>
      <c r="B24" s="61">
        <v>11</v>
      </c>
      <c r="C24" s="137"/>
      <c r="D24" s="271"/>
      <c r="E24" s="137"/>
      <c r="F24" s="279"/>
      <c r="G24" s="138"/>
      <c r="H24" s="22"/>
      <c r="I24" s="22"/>
      <c r="J24" s="62" t="str">
        <f t="shared" si="0"/>
        <v/>
      </c>
      <c r="K24" s="63"/>
      <c r="L24" s="63"/>
      <c r="M24" s="64" t="str">
        <f t="shared" si="1"/>
        <v/>
      </c>
      <c r="N24" s="22"/>
      <c r="O24" s="22"/>
      <c r="P24" s="62" t="str">
        <f t="shared" si="2"/>
        <v/>
      </c>
      <c r="Q24" s="63"/>
      <c r="R24" s="63"/>
      <c r="S24" s="64" t="str">
        <f t="shared" si="3"/>
        <v/>
      </c>
      <c r="T24" s="65"/>
      <c r="U24" s="66"/>
      <c r="V24" s="18" t="str">
        <f>IF($C24="","",VLOOKUP($C24,#REF!,4,FALSE))</f>
        <v/>
      </c>
      <c r="W24" s="69" t="str">
        <f>IF($E24="","",VLOOKUP($E24,#REF!,4,FALSE))</f>
        <v/>
      </c>
      <c r="Y24" t="s">
        <v>346</v>
      </c>
      <c r="Z24">
        <v>29370</v>
      </c>
      <c r="AA24" t="s">
        <v>345</v>
      </c>
      <c r="AB24"/>
      <c r="AC24"/>
    </row>
    <row r="25" spans="1:30" s="67" customFormat="1" ht="18" customHeight="1">
      <c r="A25" s="60"/>
      <c r="B25" s="61">
        <v>12</v>
      </c>
      <c r="C25" s="137"/>
      <c r="D25" s="271"/>
      <c r="E25" s="137"/>
      <c r="F25" s="279"/>
      <c r="G25" s="138"/>
      <c r="H25" s="22"/>
      <c r="I25" s="22"/>
      <c r="J25" s="62" t="str">
        <f t="shared" si="0"/>
        <v/>
      </c>
      <c r="K25" s="63"/>
      <c r="L25" s="63"/>
      <c r="M25" s="64" t="str">
        <f t="shared" si="1"/>
        <v/>
      </c>
      <c r="N25" s="22"/>
      <c r="O25" s="22"/>
      <c r="P25" s="62" t="str">
        <f t="shared" si="2"/>
        <v/>
      </c>
      <c r="Q25" s="63"/>
      <c r="R25" s="63"/>
      <c r="S25" s="64" t="str">
        <f t="shared" si="3"/>
        <v/>
      </c>
      <c r="T25" s="65"/>
      <c r="U25" s="66"/>
      <c r="V25" s="18" t="str">
        <f>IF($C25="","",VLOOKUP($C25,#REF!,4,FALSE))</f>
        <v/>
      </c>
      <c r="W25" s="69" t="str">
        <f>IF($E25="","",VLOOKUP($E25,#REF!,4,FALSE))</f>
        <v/>
      </c>
      <c r="Y25" t="s">
        <v>258</v>
      </c>
      <c r="Z25">
        <v>20507</v>
      </c>
      <c r="AA25" t="s">
        <v>188</v>
      </c>
      <c r="AB25" t="s">
        <v>123</v>
      </c>
      <c r="AC25">
        <v>58648</v>
      </c>
      <c r="AD25" s="67" t="s">
        <v>197</v>
      </c>
    </row>
    <row r="26" spans="1:30" s="67" customFormat="1" ht="18" customHeight="1">
      <c r="A26" s="60"/>
      <c r="B26" s="61">
        <v>13</v>
      </c>
      <c r="C26" s="137"/>
      <c r="D26" s="271"/>
      <c r="E26" s="137"/>
      <c r="F26" s="279"/>
      <c r="G26" s="138"/>
      <c r="H26" s="22"/>
      <c r="I26" s="22"/>
      <c r="J26" s="62" t="str">
        <f t="shared" si="0"/>
        <v/>
      </c>
      <c r="K26" s="63"/>
      <c r="L26" s="63"/>
      <c r="M26" s="64" t="str">
        <f t="shared" si="1"/>
        <v/>
      </c>
      <c r="N26" s="22"/>
      <c r="O26" s="22"/>
      <c r="P26" s="62" t="str">
        <f t="shared" si="2"/>
        <v/>
      </c>
      <c r="Q26" s="63"/>
      <c r="R26" s="63"/>
      <c r="S26" s="64" t="str">
        <f t="shared" si="3"/>
        <v/>
      </c>
      <c r="T26" s="65"/>
      <c r="U26" s="66"/>
      <c r="V26" s="18" t="str">
        <f>IF($C26="","",VLOOKUP($C26,#REF!,4,FALSE))</f>
        <v/>
      </c>
      <c r="W26" s="69" t="str">
        <f>IF($E26="","",VLOOKUP($E26,#REF!,4,FALSE))</f>
        <v/>
      </c>
      <c r="Y26" t="s">
        <v>263</v>
      </c>
      <c r="Z26">
        <v>27113</v>
      </c>
      <c r="AA26" t="s">
        <v>194</v>
      </c>
      <c r="AB26" t="s">
        <v>328</v>
      </c>
      <c r="AC26">
        <v>61510</v>
      </c>
      <c r="AD26" s="67" t="s">
        <v>377</v>
      </c>
    </row>
    <row r="27" spans="1:30" s="67" customFormat="1" ht="18" customHeight="1">
      <c r="A27" s="60"/>
      <c r="B27" s="61">
        <v>14</v>
      </c>
      <c r="C27" s="137"/>
      <c r="D27" s="271"/>
      <c r="E27" s="137"/>
      <c r="F27" s="279"/>
      <c r="G27" s="138"/>
      <c r="H27" s="22"/>
      <c r="I27" s="22"/>
      <c r="J27" s="62" t="str">
        <f t="shared" si="0"/>
        <v/>
      </c>
      <c r="K27" s="63"/>
      <c r="L27" s="63"/>
      <c r="M27" s="64" t="str">
        <f t="shared" si="1"/>
        <v/>
      </c>
      <c r="N27" s="22"/>
      <c r="O27" s="22"/>
      <c r="P27" s="62" t="str">
        <f t="shared" si="2"/>
        <v/>
      </c>
      <c r="Q27" s="63"/>
      <c r="R27" s="63"/>
      <c r="S27" s="64" t="str">
        <f t="shared" si="3"/>
        <v/>
      </c>
      <c r="T27" s="65"/>
      <c r="U27" s="66"/>
      <c r="V27" s="18" t="str">
        <f>IF($C27="","",VLOOKUP($C27,#REF!,4,FALSE))</f>
        <v/>
      </c>
      <c r="W27" s="69" t="str">
        <f>IF($E27="","",VLOOKUP($E27,#REF!,4,FALSE))</f>
        <v/>
      </c>
      <c r="Y27" t="s">
        <v>262</v>
      </c>
      <c r="Z27">
        <v>27610</v>
      </c>
      <c r="AA27" t="s">
        <v>193</v>
      </c>
      <c r="AB27" t="s">
        <v>120</v>
      </c>
      <c r="AC27">
        <v>60068</v>
      </c>
      <c r="AD27" s="67" t="s">
        <v>204</v>
      </c>
    </row>
    <row r="28" spans="1:30" s="67" customFormat="1" ht="18" customHeight="1">
      <c r="A28" s="60"/>
      <c r="B28" s="61">
        <v>15</v>
      </c>
      <c r="C28" s="137"/>
      <c r="D28" s="271"/>
      <c r="E28" s="137"/>
      <c r="F28" s="279"/>
      <c r="G28" s="138"/>
      <c r="H28" s="22"/>
      <c r="I28" s="22"/>
      <c r="J28" s="62" t="str">
        <f t="shared" si="0"/>
        <v/>
      </c>
      <c r="K28" s="63"/>
      <c r="L28" s="63"/>
      <c r="M28" s="64" t="str">
        <f t="shared" si="1"/>
        <v/>
      </c>
      <c r="N28" s="22"/>
      <c r="O28" s="22"/>
      <c r="P28" s="62" t="str">
        <f t="shared" si="2"/>
        <v/>
      </c>
      <c r="Q28" s="63"/>
      <c r="R28" s="63"/>
      <c r="S28" s="64" t="str">
        <f t="shared" si="3"/>
        <v/>
      </c>
      <c r="T28" s="65"/>
      <c r="U28" s="66"/>
      <c r="V28" s="18" t="str">
        <f>IF($C28="","",VLOOKUP($C28,#REF!,4,FALSE))</f>
        <v/>
      </c>
      <c r="W28" s="69" t="str">
        <f>IF($E28="","",VLOOKUP($E28,#REF!,4,FALSE))</f>
        <v/>
      </c>
      <c r="Y28" t="s">
        <v>257</v>
      </c>
      <c r="Z28">
        <v>28000</v>
      </c>
      <c r="AA28" t="s">
        <v>187</v>
      </c>
      <c r="AB28" t="s">
        <v>124</v>
      </c>
      <c r="AC28">
        <v>59567</v>
      </c>
      <c r="AD28" s="67" t="s">
        <v>205</v>
      </c>
    </row>
    <row r="29" spans="1:30" s="67" customFormat="1" ht="18" customHeight="1">
      <c r="A29" s="60"/>
      <c r="B29" s="61">
        <v>16</v>
      </c>
      <c r="C29" s="137"/>
      <c r="D29" s="271"/>
      <c r="E29" s="137"/>
      <c r="F29" s="279"/>
      <c r="G29" s="138"/>
      <c r="H29" s="22"/>
      <c r="I29" s="22"/>
      <c r="J29" s="62" t="str">
        <f t="shared" si="0"/>
        <v/>
      </c>
      <c r="K29" s="63"/>
      <c r="L29" s="63"/>
      <c r="M29" s="64" t="str">
        <f t="shared" si="1"/>
        <v/>
      </c>
      <c r="N29" s="22"/>
      <c r="O29" s="22"/>
      <c r="P29" s="62" t="str">
        <f t="shared" si="2"/>
        <v/>
      </c>
      <c r="Q29" s="63"/>
      <c r="R29" s="63"/>
      <c r="S29" s="64" t="str">
        <f t="shared" si="3"/>
        <v/>
      </c>
      <c r="T29" s="65"/>
      <c r="U29" s="66"/>
      <c r="V29" s="18" t="str">
        <f>IF($C29="","",VLOOKUP($C29,#REF!,4,FALSE))</f>
        <v/>
      </c>
      <c r="W29" s="69" t="str">
        <f>IF($E29="","",VLOOKUP($E29,#REF!,4,FALSE))</f>
        <v/>
      </c>
      <c r="Y29" t="s">
        <v>350</v>
      </c>
      <c r="Z29">
        <v>28463</v>
      </c>
      <c r="AA29" t="s">
        <v>349</v>
      </c>
      <c r="AB29" t="s">
        <v>285</v>
      </c>
      <c r="AC29">
        <v>61644</v>
      </c>
      <c r="AD29" s="67" t="s">
        <v>379</v>
      </c>
    </row>
    <row r="30" spans="1:30" s="67" customFormat="1" ht="18" customHeight="1">
      <c r="A30" s="60"/>
      <c r="B30" s="61">
        <v>17</v>
      </c>
      <c r="C30" s="137"/>
      <c r="D30" s="271"/>
      <c r="E30" s="179"/>
      <c r="F30" s="279"/>
      <c r="G30" s="138"/>
      <c r="H30" s="22"/>
      <c r="I30" s="22"/>
      <c r="J30" s="62" t="str">
        <f t="shared" si="0"/>
        <v/>
      </c>
      <c r="K30" s="63"/>
      <c r="L30" s="63"/>
      <c r="M30" s="64" t="str">
        <f t="shared" si="1"/>
        <v/>
      </c>
      <c r="N30" s="22"/>
      <c r="O30" s="22"/>
      <c r="P30" s="62" t="str">
        <f t="shared" si="2"/>
        <v/>
      </c>
      <c r="Q30" s="63"/>
      <c r="R30" s="63"/>
      <c r="S30" s="64" t="str">
        <f t="shared" si="3"/>
        <v/>
      </c>
      <c r="T30" s="65"/>
      <c r="U30" s="66"/>
      <c r="V30" s="18" t="str">
        <f>IF($C30="","",VLOOKUP($C30,#REF!,4,FALSE))</f>
        <v/>
      </c>
      <c r="W30" s="69" t="str">
        <f>IF($E30="","",VLOOKUP($E30,#REF!,4,FALSE))</f>
        <v/>
      </c>
      <c r="Y30" t="s">
        <v>148</v>
      </c>
      <c r="Z30">
        <v>10562</v>
      </c>
      <c r="AA30" t="s">
        <v>216</v>
      </c>
      <c r="AB30" t="s">
        <v>322</v>
      </c>
      <c r="AC30">
        <v>61477</v>
      </c>
      <c r="AD30" s="67" t="s">
        <v>380</v>
      </c>
    </row>
    <row r="31" spans="1:30" s="67" customFormat="1" ht="18" customHeight="1">
      <c r="A31" s="60"/>
      <c r="B31" s="61">
        <v>18</v>
      </c>
      <c r="C31" s="137"/>
      <c r="D31" s="271"/>
      <c r="E31" s="137"/>
      <c r="F31" s="279"/>
      <c r="G31" s="138"/>
      <c r="H31" s="22"/>
      <c r="I31" s="22"/>
      <c r="J31" s="62" t="str">
        <f t="shared" si="0"/>
        <v/>
      </c>
      <c r="K31" s="63"/>
      <c r="L31" s="63"/>
      <c r="M31" s="64" t="str">
        <f t="shared" si="1"/>
        <v/>
      </c>
      <c r="N31" s="22"/>
      <c r="O31" s="22"/>
      <c r="P31" s="62" t="str">
        <f t="shared" si="2"/>
        <v/>
      </c>
      <c r="Q31" s="63"/>
      <c r="R31" s="63"/>
      <c r="S31" s="64" t="str">
        <f t="shared" si="3"/>
        <v/>
      </c>
      <c r="T31" s="65"/>
      <c r="U31" s="66"/>
      <c r="V31" s="18" t="str">
        <f>IF($C31="","",VLOOKUP($C31,#REF!,4,FALSE))</f>
        <v/>
      </c>
      <c r="W31" s="69" t="str">
        <f>IF($E31="","",VLOOKUP($E31,#REF!,4,FALSE))</f>
        <v/>
      </c>
      <c r="Y31" t="s">
        <v>113</v>
      </c>
      <c r="Z31">
        <v>19572</v>
      </c>
      <c r="AA31" t="s">
        <v>191</v>
      </c>
      <c r="AB31" t="s">
        <v>114</v>
      </c>
      <c r="AC31">
        <v>59650</v>
      </c>
      <c r="AD31" s="67" t="s">
        <v>163</v>
      </c>
    </row>
    <row r="32" spans="1:30" s="67" customFormat="1" ht="18" customHeight="1">
      <c r="A32" s="60"/>
      <c r="B32" s="61">
        <v>19</v>
      </c>
      <c r="C32" s="87"/>
      <c r="D32" s="273"/>
      <c r="E32" s="88"/>
      <c r="F32" s="280"/>
      <c r="G32" s="144"/>
      <c r="H32" s="22"/>
      <c r="I32" s="22"/>
      <c r="J32" s="62" t="str">
        <f t="shared" si="0"/>
        <v/>
      </c>
      <c r="K32" s="63"/>
      <c r="L32" s="63"/>
      <c r="M32" s="64" t="str">
        <f t="shared" si="1"/>
        <v/>
      </c>
      <c r="N32" s="22"/>
      <c r="O32" s="22"/>
      <c r="P32" s="62" t="str">
        <f t="shared" si="2"/>
        <v/>
      </c>
      <c r="Q32" s="63"/>
      <c r="R32" s="63"/>
      <c r="S32" s="64" t="str">
        <f t="shared" si="3"/>
        <v/>
      </c>
      <c r="T32" s="65"/>
      <c r="U32" s="66"/>
      <c r="V32" s="18" t="str">
        <f>IF($C32="","",VLOOKUP($C32,#REF!,4,FALSE))</f>
        <v/>
      </c>
      <c r="W32" s="69" t="str">
        <f>IF($E32="","",VLOOKUP($E32,#REF!,4,FALSE))</f>
        <v/>
      </c>
      <c r="Y32" t="s">
        <v>352</v>
      </c>
      <c r="Z32">
        <v>16941</v>
      </c>
      <c r="AA32" t="s">
        <v>351</v>
      </c>
      <c r="AB32" t="s">
        <v>299</v>
      </c>
      <c r="AC32">
        <v>58569</v>
      </c>
      <c r="AD32" s="67" t="s">
        <v>381</v>
      </c>
    </row>
    <row r="33" spans="1:30" s="67" customFormat="1" ht="18" customHeight="1">
      <c r="A33" s="60"/>
      <c r="B33" s="61">
        <v>20</v>
      </c>
      <c r="C33" s="137"/>
      <c r="D33" s="271"/>
      <c r="E33" s="137"/>
      <c r="F33" s="279"/>
      <c r="G33" s="138"/>
      <c r="H33" s="22"/>
      <c r="I33" s="22"/>
      <c r="J33" s="62" t="str">
        <f t="shared" si="0"/>
        <v/>
      </c>
      <c r="K33" s="63"/>
      <c r="L33" s="63"/>
      <c r="M33" s="64" t="str">
        <f t="shared" si="1"/>
        <v/>
      </c>
      <c r="N33" s="22"/>
      <c r="O33" s="22"/>
      <c r="P33" s="62" t="str">
        <f t="shared" si="2"/>
        <v/>
      </c>
      <c r="Q33" s="63"/>
      <c r="R33" s="63"/>
      <c r="S33" s="64" t="str">
        <f t="shared" si="3"/>
        <v/>
      </c>
      <c r="T33" s="65"/>
      <c r="U33" s="66"/>
      <c r="V33" s="18" t="str">
        <f>IF($C33="","",VLOOKUP($C33,#REF!,4,FALSE))</f>
        <v/>
      </c>
      <c r="W33" s="69" t="str">
        <f>IF($E33="","",VLOOKUP($E33,#REF!,4,FALSE))</f>
        <v/>
      </c>
      <c r="Y33" t="s">
        <v>354</v>
      </c>
      <c r="Z33">
        <v>31439</v>
      </c>
      <c r="AA33" t="s">
        <v>353</v>
      </c>
      <c r="AB33" t="s">
        <v>294</v>
      </c>
      <c r="AC33">
        <v>60924</v>
      </c>
      <c r="AD33" s="67" t="s">
        <v>382</v>
      </c>
    </row>
    <row r="34" spans="1:30" s="67" customFormat="1" ht="18" customHeight="1">
      <c r="A34" s="60"/>
      <c r="B34" s="61">
        <v>21</v>
      </c>
      <c r="C34" s="141"/>
      <c r="D34" s="290"/>
      <c r="E34" s="145"/>
      <c r="F34" s="305"/>
      <c r="G34" s="141"/>
      <c r="H34" s="22"/>
      <c r="I34" s="22"/>
      <c r="J34" s="62" t="str">
        <f t="shared" si="0"/>
        <v/>
      </c>
      <c r="K34" s="63"/>
      <c r="L34" s="63"/>
      <c r="M34" s="64" t="str">
        <f t="shared" si="1"/>
        <v/>
      </c>
      <c r="N34" s="22"/>
      <c r="O34" s="22"/>
      <c r="P34" s="62" t="str">
        <f t="shared" si="2"/>
        <v/>
      </c>
      <c r="Q34" s="63"/>
      <c r="R34" s="63"/>
      <c r="S34" s="64" t="str">
        <f t="shared" si="3"/>
        <v/>
      </c>
      <c r="T34" s="65"/>
      <c r="U34" s="66"/>
      <c r="V34" s="18" t="str">
        <f>IF($C34="","",VLOOKUP($C34,#REF!,4,FALSE))</f>
        <v/>
      </c>
      <c r="W34" s="69" t="str">
        <f>IF($E34="","",VLOOKUP($E34,#REF!,4,FALSE))</f>
        <v/>
      </c>
      <c r="Y34" t="s">
        <v>254</v>
      </c>
      <c r="Z34">
        <v>8082</v>
      </c>
      <c r="AA34" t="s">
        <v>182</v>
      </c>
      <c r="AB34" t="s">
        <v>304</v>
      </c>
      <c r="AC34">
        <v>61278</v>
      </c>
      <c r="AD34" s="67" t="s">
        <v>383</v>
      </c>
    </row>
    <row r="35" spans="1:30" s="67" customFormat="1" ht="18" customHeight="1">
      <c r="A35" s="60"/>
      <c r="B35" s="61">
        <v>22</v>
      </c>
      <c r="C35" s="137"/>
      <c r="D35" s="271"/>
      <c r="E35" s="137"/>
      <c r="F35" s="279"/>
      <c r="G35" s="138"/>
      <c r="H35" s="22"/>
      <c r="I35" s="22"/>
      <c r="J35" s="62" t="str">
        <f t="shared" si="0"/>
        <v/>
      </c>
      <c r="K35" s="63"/>
      <c r="L35" s="63"/>
      <c r="M35" s="64" t="str">
        <f t="shared" si="1"/>
        <v/>
      </c>
      <c r="N35" s="22"/>
      <c r="O35" s="22"/>
      <c r="P35" s="62" t="str">
        <f t="shared" si="2"/>
        <v/>
      </c>
      <c r="Q35" s="63"/>
      <c r="R35" s="63"/>
      <c r="S35" s="64" t="str">
        <f t="shared" si="3"/>
        <v/>
      </c>
      <c r="T35" s="65"/>
      <c r="U35" s="66"/>
      <c r="V35" s="18" t="str">
        <f>IF($C35="","",VLOOKUP($C35,#REF!,4,FALSE))</f>
        <v/>
      </c>
      <c r="W35" s="69" t="str">
        <f>IF($E35="","",VLOOKUP($E35,#REF!,4,FALSE))</f>
        <v/>
      </c>
      <c r="Y35" t="s">
        <v>255</v>
      </c>
      <c r="Z35">
        <v>25761</v>
      </c>
      <c r="AA35" t="s">
        <v>183</v>
      </c>
      <c r="AB35" t="s">
        <v>306</v>
      </c>
      <c r="AC35">
        <v>57968</v>
      </c>
      <c r="AD35" s="67" t="s">
        <v>384</v>
      </c>
    </row>
    <row r="36" spans="1:30" s="67" customFormat="1" ht="18" customHeight="1">
      <c r="A36" s="60"/>
      <c r="B36" s="61">
        <v>23</v>
      </c>
      <c r="C36" s="137"/>
      <c r="D36" s="271"/>
      <c r="E36" s="137"/>
      <c r="F36" s="279"/>
      <c r="G36" s="138"/>
      <c r="H36" s="22"/>
      <c r="I36" s="22"/>
      <c r="J36" s="62" t="str">
        <f t="shared" si="0"/>
        <v/>
      </c>
      <c r="K36" s="63"/>
      <c r="L36" s="63"/>
      <c r="M36" s="64" t="str">
        <f t="shared" si="1"/>
        <v/>
      </c>
      <c r="N36" s="22"/>
      <c r="O36" s="22"/>
      <c r="P36" s="62" t="str">
        <f t="shared" si="2"/>
        <v/>
      </c>
      <c r="Q36" s="63"/>
      <c r="R36" s="63"/>
      <c r="S36" s="64" t="str">
        <f t="shared" si="3"/>
        <v/>
      </c>
      <c r="T36" s="65"/>
      <c r="U36" s="66"/>
      <c r="V36" s="18" t="str">
        <f>IF($C36="","",VLOOKUP($C36,#REF!,4,FALSE))</f>
        <v/>
      </c>
      <c r="W36" s="69" t="str">
        <f>IF($E36="","",VLOOKUP($E36,#REF!,4,FALSE))</f>
        <v/>
      </c>
      <c r="Y36" t="s">
        <v>253</v>
      </c>
      <c r="Z36">
        <v>7270</v>
      </c>
      <c r="AA36" t="s">
        <v>180</v>
      </c>
      <c r="AB36" t="s">
        <v>329</v>
      </c>
      <c r="AC36">
        <v>61511</v>
      </c>
      <c r="AD36" s="67" t="s">
        <v>385</v>
      </c>
    </row>
    <row r="37" spans="1:30" s="67" customFormat="1" ht="18" customHeight="1">
      <c r="A37" s="60"/>
      <c r="B37" s="61">
        <v>24</v>
      </c>
      <c r="C37" s="87"/>
      <c r="D37" s="273"/>
      <c r="E37" s="137"/>
      <c r="F37" s="279"/>
      <c r="G37" s="102"/>
      <c r="H37" s="22"/>
      <c r="I37" s="22"/>
      <c r="J37" s="62" t="str">
        <f t="shared" si="0"/>
        <v/>
      </c>
      <c r="K37" s="63"/>
      <c r="L37" s="63"/>
      <c r="M37" s="64" t="str">
        <f t="shared" si="1"/>
        <v/>
      </c>
      <c r="N37" s="22"/>
      <c r="O37" s="22"/>
      <c r="P37" s="62" t="str">
        <f t="shared" si="2"/>
        <v/>
      </c>
      <c r="Q37" s="63"/>
      <c r="R37" s="63"/>
      <c r="S37" s="64" t="str">
        <f t="shared" si="3"/>
        <v/>
      </c>
      <c r="T37" s="65"/>
      <c r="U37" s="66"/>
      <c r="V37" s="18" t="str">
        <f>IF($C37="","",VLOOKUP($C37,#REF!,4,FALSE))</f>
        <v/>
      </c>
      <c r="W37" s="69" t="str">
        <f>IF($E37="","",VLOOKUP($E37,#REF!,4,FALSE))</f>
        <v/>
      </c>
      <c r="Y37" t="s">
        <v>356</v>
      </c>
      <c r="Z37">
        <v>29144</v>
      </c>
      <c r="AA37" t="s">
        <v>355</v>
      </c>
      <c r="AB37" t="s">
        <v>117</v>
      </c>
      <c r="AC37">
        <v>60712</v>
      </c>
      <c r="AD37" s="67" t="s">
        <v>184</v>
      </c>
    </row>
    <row r="38" spans="1:30" s="67" customFormat="1" ht="18" customHeight="1">
      <c r="A38" s="60"/>
      <c r="B38" s="61">
        <v>25</v>
      </c>
      <c r="C38" s="137"/>
      <c r="D38" s="271"/>
      <c r="E38" s="137"/>
      <c r="F38" s="279"/>
      <c r="G38" s="138"/>
      <c r="H38" s="22"/>
      <c r="I38" s="22"/>
      <c r="J38" s="62" t="str">
        <f t="shared" si="0"/>
        <v/>
      </c>
      <c r="K38" s="63"/>
      <c r="L38" s="63"/>
      <c r="M38" s="64" t="str">
        <f t="shared" si="1"/>
        <v/>
      </c>
      <c r="N38" s="22"/>
      <c r="O38" s="22"/>
      <c r="P38" s="62" t="str">
        <f t="shared" si="2"/>
        <v/>
      </c>
      <c r="Q38" s="63"/>
      <c r="R38" s="63"/>
      <c r="S38" s="64" t="str">
        <f t="shared" si="3"/>
        <v/>
      </c>
      <c r="T38" s="65"/>
      <c r="U38" s="66"/>
      <c r="V38" s="18" t="str">
        <f>IF($C38="","",VLOOKUP($C38,#REF!,4,FALSE))</f>
        <v/>
      </c>
      <c r="W38" s="69" t="str">
        <f>IF($E38="","",VLOOKUP($E38,#REF!,4,FALSE))</f>
        <v/>
      </c>
      <c r="Y38" t="s">
        <v>312</v>
      </c>
      <c r="Z38">
        <v>13695</v>
      </c>
      <c r="AA38" t="s">
        <v>343</v>
      </c>
      <c r="AB38" t="s">
        <v>315</v>
      </c>
      <c r="AC38">
        <v>61043</v>
      </c>
      <c r="AD38" s="67" t="s">
        <v>386</v>
      </c>
    </row>
    <row r="39" spans="1:30" s="67" customFormat="1" ht="18" customHeight="1">
      <c r="A39" s="60"/>
      <c r="B39" s="61">
        <v>26</v>
      </c>
      <c r="C39" s="137"/>
      <c r="D39" s="271"/>
      <c r="E39" s="137"/>
      <c r="F39" s="279"/>
      <c r="G39" s="138"/>
      <c r="H39" s="22"/>
      <c r="I39" s="22"/>
      <c r="J39" s="62" t="str">
        <f t="shared" si="0"/>
        <v/>
      </c>
      <c r="K39" s="63"/>
      <c r="L39" s="63"/>
      <c r="M39" s="64" t="str">
        <f t="shared" si="1"/>
        <v/>
      </c>
      <c r="N39" s="22"/>
      <c r="O39" s="22"/>
      <c r="P39" s="62" t="str">
        <f t="shared" si="2"/>
        <v/>
      </c>
      <c r="Q39" s="63"/>
      <c r="R39" s="63"/>
      <c r="S39" s="64" t="str">
        <f t="shared" si="3"/>
        <v/>
      </c>
      <c r="T39" s="65"/>
      <c r="U39" s="66"/>
      <c r="V39" s="18" t="str">
        <f>IF($C39="","",VLOOKUP($C39,#REF!,4,FALSE))</f>
        <v/>
      </c>
      <c r="W39" s="69" t="str">
        <f>IF($E39="","",VLOOKUP($E39,#REF!,4,FALSE))</f>
        <v/>
      </c>
      <c r="Y39" t="s">
        <v>247</v>
      </c>
      <c r="Z39">
        <v>13918</v>
      </c>
      <c r="AA39" t="s">
        <v>170</v>
      </c>
      <c r="AB39" t="s">
        <v>100</v>
      </c>
      <c r="AC39">
        <v>59548</v>
      </c>
      <c r="AD39" s="67" t="s">
        <v>196</v>
      </c>
    </row>
    <row r="40" spans="1:30" s="67" customFormat="1" ht="18" customHeight="1">
      <c r="A40" s="60"/>
      <c r="B40" s="61">
        <v>27</v>
      </c>
      <c r="C40" s="137"/>
      <c r="D40" s="271"/>
      <c r="E40" s="137"/>
      <c r="F40" s="279"/>
      <c r="G40" s="138"/>
      <c r="H40" s="22"/>
      <c r="I40" s="22"/>
      <c r="J40" s="62" t="str">
        <f t="shared" si="0"/>
        <v/>
      </c>
      <c r="K40" s="63"/>
      <c r="L40" s="63"/>
      <c r="M40" s="64" t="str">
        <f t="shared" si="1"/>
        <v/>
      </c>
      <c r="N40" s="22"/>
      <c r="O40" s="22"/>
      <c r="P40" s="62" t="str">
        <f t="shared" si="2"/>
        <v/>
      </c>
      <c r="Q40" s="63"/>
      <c r="R40" s="63"/>
      <c r="S40" s="64" t="str">
        <f t="shared" si="3"/>
        <v/>
      </c>
      <c r="T40" s="65"/>
      <c r="U40" s="66"/>
      <c r="V40" s="18" t="str">
        <f>IF($C40="","",VLOOKUP($C40,#REF!,4,FALSE))</f>
        <v/>
      </c>
      <c r="W40" s="69" t="str">
        <f>IF($E40="","",VLOOKUP($E40,#REF!,4,FALSE))</f>
        <v/>
      </c>
      <c r="Y40" t="s">
        <v>259</v>
      </c>
      <c r="Z40">
        <v>18386</v>
      </c>
      <c r="AA40" t="s">
        <v>189</v>
      </c>
      <c r="AB40"/>
      <c r="AC40"/>
    </row>
    <row r="41" spans="1:30" s="67" customFormat="1" ht="18" customHeight="1">
      <c r="A41" s="60"/>
      <c r="B41" s="61">
        <v>28</v>
      </c>
      <c r="C41" s="137"/>
      <c r="D41" s="271"/>
      <c r="E41" s="137"/>
      <c r="F41" s="279"/>
      <c r="G41" s="138"/>
      <c r="H41" s="22"/>
      <c r="I41" s="22"/>
      <c r="J41" s="62" t="str">
        <f t="shared" si="0"/>
        <v/>
      </c>
      <c r="K41" s="63"/>
      <c r="L41" s="63"/>
      <c r="M41" s="64" t="str">
        <f t="shared" si="1"/>
        <v/>
      </c>
      <c r="N41" s="22"/>
      <c r="O41" s="22"/>
      <c r="P41" s="62" t="str">
        <f t="shared" si="2"/>
        <v/>
      </c>
      <c r="Q41" s="63"/>
      <c r="R41" s="63"/>
      <c r="S41" s="64" t="str">
        <f t="shared" si="3"/>
        <v/>
      </c>
      <c r="T41" s="65"/>
      <c r="U41" s="66"/>
      <c r="V41" s="18" t="str">
        <f>IF($C41="","",VLOOKUP($C41,#REF!,4,FALSE))</f>
        <v/>
      </c>
      <c r="W41" s="69" t="str">
        <f>IF($E41="","",VLOOKUP($E41,#REF!,4,FALSE))</f>
        <v/>
      </c>
      <c r="Y41" t="s">
        <v>370</v>
      </c>
      <c r="Z41">
        <v>28571</v>
      </c>
      <c r="AA41" t="s">
        <v>369</v>
      </c>
      <c r="AB41" t="s">
        <v>288</v>
      </c>
      <c r="AC41">
        <v>59381</v>
      </c>
      <c r="AD41" s="67" t="s">
        <v>395</v>
      </c>
    </row>
    <row r="42" spans="1:30" s="67" customFormat="1" ht="18" customHeight="1">
      <c r="A42" s="60"/>
      <c r="B42" s="61">
        <v>29</v>
      </c>
      <c r="C42" s="137"/>
      <c r="D42" s="271"/>
      <c r="E42" s="137"/>
      <c r="F42" s="279"/>
      <c r="G42" s="138"/>
      <c r="H42" s="22"/>
      <c r="I42" s="22"/>
      <c r="J42" s="62" t="str">
        <f t="shared" si="0"/>
        <v/>
      </c>
      <c r="K42" s="63"/>
      <c r="L42" s="63"/>
      <c r="M42" s="64" t="str">
        <f t="shared" si="1"/>
        <v/>
      </c>
      <c r="N42" s="22"/>
      <c r="O42" s="22"/>
      <c r="P42" s="62" t="str">
        <f t="shared" si="2"/>
        <v/>
      </c>
      <c r="Q42" s="63"/>
      <c r="R42" s="63"/>
      <c r="S42" s="64" t="str">
        <f t="shared" si="3"/>
        <v/>
      </c>
      <c r="T42" s="65"/>
      <c r="U42" s="66"/>
      <c r="V42" s="18" t="str">
        <f>IF($C42="","",VLOOKUP($C42,#REF!,4,FALSE))</f>
        <v/>
      </c>
      <c r="W42" s="69" t="str">
        <f>IF($E42="","",VLOOKUP($E42,#REF!,4,FALSE))</f>
        <v/>
      </c>
      <c r="Y42" t="s">
        <v>358</v>
      </c>
      <c r="Z42">
        <v>28351</v>
      </c>
      <c r="AA42" t="s">
        <v>357</v>
      </c>
      <c r="AB42" t="s">
        <v>297</v>
      </c>
      <c r="AC42">
        <v>59148</v>
      </c>
      <c r="AD42" s="67" t="s">
        <v>388</v>
      </c>
    </row>
    <row r="43" spans="1:30" s="67" customFormat="1" ht="18" customHeight="1">
      <c r="A43" s="60"/>
      <c r="B43" s="61">
        <v>30</v>
      </c>
      <c r="C43" s="137"/>
      <c r="D43" s="271"/>
      <c r="E43" s="137"/>
      <c r="F43" s="279"/>
      <c r="G43" s="138"/>
      <c r="H43" s="22"/>
      <c r="I43" s="22"/>
      <c r="J43" s="62" t="str">
        <f t="shared" si="0"/>
        <v/>
      </c>
      <c r="K43" s="63"/>
      <c r="L43" s="63"/>
      <c r="M43" s="64" t="str">
        <f t="shared" si="1"/>
        <v/>
      </c>
      <c r="N43" s="22"/>
      <c r="O43" s="22"/>
      <c r="P43" s="62" t="str">
        <f t="shared" si="2"/>
        <v/>
      </c>
      <c r="Q43" s="63"/>
      <c r="R43" s="63"/>
      <c r="S43" s="64" t="str">
        <f t="shared" si="3"/>
        <v/>
      </c>
      <c r="T43" s="65"/>
      <c r="U43" s="66"/>
      <c r="V43" s="18" t="str">
        <f>IF($C43="","",VLOOKUP($C43,#REF!,4,FALSE))</f>
        <v/>
      </c>
      <c r="W43" s="69" t="str">
        <f>IF($E43="","",VLOOKUP($E43,#REF!,4,FALSE))</f>
        <v/>
      </c>
      <c r="Y43" t="s">
        <v>360</v>
      </c>
      <c r="Z43">
        <v>25519</v>
      </c>
      <c r="AA43" t="s">
        <v>359</v>
      </c>
      <c r="AB43" t="s">
        <v>319</v>
      </c>
      <c r="AC43">
        <v>58069</v>
      </c>
      <c r="AD43" s="67" t="s">
        <v>389</v>
      </c>
    </row>
    <row r="44" spans="1:30" s="67" customFormat="1" ht="18" customHeight="1">
      <c r="A44" s="60"/>
      <c r="B44" s="61">
        <v>31</v>
      </c>
      <c r="C44" s="137"/>
      <c r="D44" s="271"/>
      <c r="E44" s="137"/>
      <c r="F44" s="279"/>
      <c r="G44" s="138"/>
      <c r="H44" s="22"/>
      <c r="I44" s="22"/>
      <c r="J44" s="62" t="str">
        <f t="shared" si="0"/>
        <v/>
      </c>
      <c r="K44" s="63"/>
      <c r="L44" s="63"/>
      <c r="M44" s="64" t="str">
        <f t="shared" si="1"/>
        <v/>
      </c>
      <c r="N44" s="22"/>
      <c r="O44" s="22"/>
      <c r="P44" s="62" t="str">
        <f t="shared" si="2"/>
        <v/>
      </c>
      <c r="Q44" s="63"/>
      <c r="R44" s="63"/>
      <c r="S44" s="64" t="str">
        <f t="shared" si="3"/>
        <v/>
      </c>
      <c r="T44" s="65"/>
      <c r="U44" s="66"/>
      <c r="V44" s="18" t="str">
        <f>IF($C44="","",VLOOKUP($C44,#REF!,4,FALSE))</f>
        <v/>
      </c>
      <c r="W44" s="69" t="str">
        <f>IF($E44="","",VLOOKUP($E44,#REF!,4,FALSE))</f>
        <v/>
      </c>
      <c r="Y44" t="s">
        <v>102</v>
      </c>
      <c r="Z44">
        <v>18834</v>
      </c>
      <c r="AA44" t="s">
        <v>208</v>
      </c>
      <c r="AB44" t="s">
        <v>103</v>
      </c>
      <c r="AC44">
        <v>56066</v>
      </c>
      <c r="AD44" s="67" t="s">
        <v>211</v>
      </c>
    </row>
    <row r="45" spans="1:30" s="67" customFormat="1" ht="18" customHeight="1">
      <c r="A45" s="60"/>
      <c r="B45" s="61">
        <v>32</v>
      </c>
      <c r="C45" s="144"/>
      <c r="D45" s="271"/>
      <c r="E45" s="137"/>
      <c r="F45" s="279"/>
      <c r="G45" s="144"/>
      <c r="H45" s="22"/>
      <c r="I45" s="22"/>
      <c r="J45" s="62" t="str">
        <f t="shared" si="0"/>
        <v/>
      </c>
      <c r="K45" s="63"/>
      <c r="L45" s="63"/>
      <c r="M45" s="64" t="str">
        <f t="shared" si="1"/>
        <v/>
      </c>
      <c r="N45" s="22"/>
      <c r="O45" s="22"/>
      <c r="P45" s="62" t="str">
        <f t="shared" si="2"/>
        <v/>
      </c>
      <c r="Q45" s="63"/>
      <c r="R45" s="63"/>
      <c r="S45" s="64" t="str">
        <f t="shared" si="3"/>
        <v/>
      </c>
      <c r="T45" s="65"/>
      <c r="U45" s="66"/>
      <c r="V45" s="18" t="str">
        <f>IF($C45="","",VLOOKUP($C45,#REF!,4,FALSE))</f>
        <v/>
      </c>
      <c r="W45" s="69" t="str">
        <f>IF($E45="","",VLOOKUP($E45,#REF!,4,FALSE))</f>
        <v/>
      </c>
      <c r="Y45" t="s">
        <v>362</v>
      </c>
      <c r="Z45">
        <v>12188</v>
      </c>
      <c r="AA45" t="s">
        <v>361</v>
      </c>
      <c r="AB45"/>
      <c r="AC45"/>
    </row>
    <row r="46" spans="1:30" s="67" customFormat="1" ht="18" customHeight="1">
      <c r="A46" s="60"/>
      <c r="B46" s="61">
        <v>33</v>
      </c>
      <c r="C46" s="133"/>
      <c r="D46" s="271"/>
      <c r="E46" s="137"/>
      <c r="F46" s="279"/>
      <c r="G46" s="138"/>
      <c r="H46" s="22"/>
      <c r="I46" s="22"/>
      <c r="J46" s="62" t="str">
        <f t="shared" ref="J46:J73" si="4">IF(H46="","",H46+I46)</f>
        <v/>
      </c>
      <c r="K46" s="63"/>
      <c r="L46" s="63"/>
      <c r="M46" s="64" t="str">
        <f t="shared" ref="M46:M73" si="5">IF(L46="","",K46+L46)</f>
        <v/>
      </c>
      <c r="N46" s="22"/>
      <c r="O46" s="22"/>
      <c r="P46" s="62" t="str">
        <f t="shared" ref="P46:P73" si="6">IF(N46="","",N46+O46)</f>
        <v/>
      </c>
      <c r="Q46" s="63"/>
      <c r="R46" s="63"/>
      <c r="S46" s="64" t="str">
        <f t="shared" ref="S46:S73" si="7">IF(R46="","",Q46+R46)</f>
        <v/>
      </c>
      <c r="T46" s="65"/>
      <c r="U46" s="66"/>
      <c r="V46" s="18" t="str">
        <f>IF($C46="","",VLOOKUP($C46,#REF!,4,FALSE))</f>
        <v/>
      </c>
      <c r="W46" s="69" t="str">
        <f>IF($E46="","",VLOOKUP($E46,#REF!,4,FALSE))</f>
        <v/>
      </c>
      <c r="Y46" t="s">
        <v>364</v>
      </c>
      <c r="Z46">
        <v>7316</v>
      </c>
      <c r="AA46" t="s">
        <v>363</v>
      </c>
      <c r="AB46" t="s">
        <v>298</v>
      </c>
      <c r="AC46">
        <v>60528</v>
      </c>
      <c r="AD46" s="67" t="s">
        <v>390</v>
      </c>
    </row>
    <row r="47" spans="1:30" s="67" customFormat="1" ht="18" customHeight="1">
      <c r="A47" s="60"/>
      <c r="B47" s="61">
        <v>34</v>
      </c>
      <c r="C47" s="137"/>
      <c r="D47" s="271"/>
      <c r="E47" s="137"/>
      <c r="F47" s="279"/>
      <c r="G47" s="138"/>
      <c r="H47" s="22"/>
      <c r="I47" s="22"/>
      <c r="J47" s="62" t="str">
        <f t="shared" si="4"/>
        <v/>
      </c>
      <c r="K47" s="63"/>
      <c r="L47" s="63"/>
      <c r="M47" s="64" t="str">
        <f t="shared" si="5"/>
        <v/>
      </c>
      <c r="N47" s="22"/>
      <c r="O47" s="22"/>
      <c r="P47" s="62" t="str">
        <f t="shared" si="6"/>
        <v/>
      </c>
      <c r="Q47" s="63"/>
      <c r="R47" s="63"/>
      <c r="S47" s="64" t="str">
        <f t="shared" si="7"/>
        <v/>
      </c>
      <c r="T47" s="65"/>
      <c r="U47" s="66"/>
      <c r="V47" s="18" t="str">
        <f>IF($C47="","",VLOOKUP($C47,#REF!,4,FALSE))</f>
        <v/>
      </c>
      <c r="W47" s="69" t="str">
        <f>IF($E47="","",VLOOKUP($E47,#REF!,4,FALSE))</f>
        <v/>
      </c>
      <c r="Y47" t="s">
        <v>257</v>
      </c>
      <c r="Z47">
        <v>28000</v>
      </c>
      <c r="AA47" t="s">
        <v>187</v>
      </c>
      <c r="AB47" t="s">
        <v>293</v>
      </c>
      <c r="AC47">
        <v>61312</v>
      </c>
      <c r="AD47" s="67" t="s">
        <v>391</v>
      </c>
    </row>
    <row r="48" spans="1:30" s="67" customFormat="1" ht="18" customHeight="1">
      <c r="A48" s="60"/>
      <c r="B48" s="61">
        <v>35</v>
      </c>
      <c r="C48" s="137"/>
      <c r="D48" s="271"/>
      <c r="E48" s="137"/>
      <c r="F48" s="279"/>
      <c r="G48" s="138"/>
      <c r="H48" s="22"/>
      <c r="I48" s="22"/>
      <c r="J48" s="62" t="str">
        <f t="shared" si="4"/>
        <v/>
      </c>
      <c r="K48" s="63"/>
      <c r="L48" s="63"/>
      <c r="M48" s="64" t="str">
        <f t="shared" si="5"/>
        <v/>
      </c>
      <c r="N48" s="22"/>
      <c r="O48" s="22"/>
      <c r="P48" s="62" t="str">
        <f t="shared" si="6"/>
        <v/>
      </c>
      <c r="Q48" s="63"/>
      <c r="R48" s="63"/>
      <c r="S48" s="64" t="str">
        <f t="shared" si="7"/>
        <v/>
      </c>
      <c r="T48" s="65"/>
      <c r="U48" s="66"/>
      <c r="V48" s="18" t="str">
        <f>IF($C48="","",VLOOKUP($C48,#REF!,4,FALSE))</f>
        <v/>
      </c>
      <c r="W48" s="69" t="str">
        <f>IF($E48="","",VLOOKUP($E48,#REF!,4,FALSE))</f>
        <v/>
      </c>
      <c r="Y48" t="s">
        <v>366</v>
      </c>
      <c r="Z48">
        <v>29678</v>
      </c>
      <c r="AA48" t="s">
        <v>365</v>
      </c>
      <c r="AB48" t="s">
        <v>323</v>
      </c>
      <c r="AC48">
        <v>60046</v>
      </c>
      <c r="AD48" s="67" t="s">
        <v>392</v>
      </c>
    </row>
    <row r="49" spans="1:30" s="67" customFormat="1" ht="18" customHeight="1">
      <c r="A49" s="60"/>
      <c r="B49" s="61">
        <v>36</v>
      </c>
      <c r="C49" s="87"/>
      <c r="D49" s="273"/>
      <c r="E49" s="137"/>
      <c r="F49" s="279"/>
      <c r="G49" s="138"/>
      <c r="H49" s="22"/>
      <c r="I49" s="22"/>
      <c r="J49" s="62" t="str">
        <f t="shared" si="4"/>
        <v/>
      </c>
      <c r="K49" s="63"/>
      <c r="L49" s="63"/>
      <c r="M49" s="64" t="str">
        <f t="shared" si="5"/>
        <v/>
      </c>
      <c r="N49" s="22"/>
      <c r="O49" s="22"/>
      <c r="P49" s="62" t="str">
        <f t="shared" si="6"/>
        <v/>
      </c>
      <c r="Q49" s="63"/>
      <c r="R49" s="63"/>
      <c r="S49" s="64" t="str">
        <f t="shared" si="7"/>
        <v/>
      </c>
      <c r="T49" s="65"/>
      <c r="U49" s="66"/>
      <c r="V49" s="18" t="str">
        <f>IF($C49="","",VLOOKUP($C49,#REF!,4,FALSE))</f>
        <v/>
      </c>
      <c r="W49" s="69" t="str">
        <f>IF($E49="","",VLOOKUP($E49,#REF!,4,FALSE))</f>
        <v/>
      </c>
      <c r="Y49" t="s">
        <v>148</v>
      </c>
      <c r="Z49">
        <v>10562</v>
      </c>
      <c r="AA49" t="s">
        <v>216</v>
      </c>
      <c r="AB49" t="s">
        <v>321</v>
      </c>
      <c r="AC49">
        <v>58114</v>
      </c>
      <c r="AD49" s="67" t="s">
        <v>393</v>
      </c>
    </row>
    <row r="50" spans="1:30" s="67" customFormat="1" ht="18" customHeight="1">
      <c r="A50" s="60"/>
      <c r="B50" s="61">
        <v>37</v>
      </c>
      <c r="C50" s="137"/>
      <c r="D50" s="271"/>
      <c r="E50" s="137"/>
      <c r="F50" s="279"/>
      <c r="G50" s="138"/>
      <c r="H50" s="22"/>
      <c r="I50" s="22"/>
      <c r="J50" s="62" t="str">
        <f t="shared" si="4"/>
        <v/>
      </c>
      <c r="K50" s="63"/>
      <c r="L50" s="63"/>
      <c r="M50" s="64" t="str">
        <f t="shared" si="5"/>
        <v/>
      </c>
      <c r="N50" s="22"/>
      <c r="O50" s="22"/>
      <c r="P50" s="62" t="str">
        <f t="shared" si="6"/>
        <v/>
      </c>
      <c r="Q50" s="63"/>
      <c r="R50" s="63"/>
      <c r="S50" s="64" t="str">
        <f t="shared" si="7"/>
        <v/>
      </c>
      <c r="T50" s="65"/>
      <c r="U50" s="66"/>
      <c r="V50" s="18" t="str">
        <f>IF($C50="","",VLOOKUP($C50,#REF!,4,FALSE))</f>
        <v/>
      </c>
      <c r="W50" s="69" t="str">
        <f>IF($E50="","",VLOOKUP($E50,#REF!,4,FALSE))</f>
        <v/>
      </c>
      <c r="Y50" t="s">
        <v>255</v>
      </c>
      <c r="Z50">
        <v>25761</v>
      </c>
      <c r="AA50" t="s">
        <v>183</v>
      </c>
      <c r="AB50"/>
      <c r="AC50"/>
    </row>
    <row r="51" spans="1:30" s="67" customFormat="1" ht="18" customHeight="1">
      <c r="A51" s="60"/>
      <c r="B51" s="61">
        <v>38</v>
      </c>
      <c r="C51" s="133"/>
      <c r="D51" s="271"/>
      <c r="E51" s="137"/>
      <c r="F51" s="279"/>
      <c r="G51" s="138"/>
      <c r="H51" s="22"/>
      <c r="I51" s="22"/>
      <c r="J51" s="62" t="str">
        <f t="shared" si="4"/>
        <v/>
      </c>
      <c r="K51" s="63"/>
      <c r="L51" s="63"/>
      <c r="M51" s="64" t="str">
        <f t="shared" si="5"/>
        <v/>
      </c>
      <c r="N51" s="22"/>
      <c r="O51" s="22"/>
      <c r="P51" s="62" t="str">
        <f t="shared" si="6"/>
        <v/>
      </c>
      <c r="Q51" s="63"/>
      <c r="R51" s="63"/>
      <c r="S51" s="64" t="str">
        <f t="shared" si="7"/>
        <v/>
      </c>
      <c r="T51" s="65"/>
      <c r="U51" s="66"/>
      <c r="V51" s="18" t="str">
        <f>IF($C51="","",VLOOKUP($C51,#REF!,4,FALSE))</f>
        <v/>
      </c>
      <c r="W51" s="69" t="str">
        <f>IF($E51="","",VLOOKUP($E51,#REF!,4,FALSE))</f>
        <v/>
      </c>
      <c r="Y51" t="s">
        <v>368</v>
      </c>
      <c r="Z51">
        <v>22733</v>
      </c>
      <c r="AA51" t="s">
        <v>367</v>
      </c>
      <c r="AB51" t="s">
        <v>327</v>
      </c>
      <c r="AC51">
        <v>61396</v>
      </c>
      <c r="AD51" s="67" t="s">
        <v>394</v>
      </c>
    </row>
    <row r="52" spans="1:30" s="67" customFormat="1" ht="18" customHeight="1">
      <c r="A52" s="60"/>
      <c r="B52" s="61">
        <v>39</v>
      </c>
      <c r="C52" s="137"/>
      <c r="D52" s="271"/>
      <c r="E52" s="137"/>
      <c r="F52" s="279"/>
      <c r="G52" s="138"/>
      <c r="H52" s="22"/>
      <c r="I52" s="22"/>
      <c r="J52" s="62" t="str">
        <f t="shared" si="4"/>
        <v/>
      </c>
      <c r="K52" s="63"/>
      <c r="L52" s="63"/>
      <c r="M52" s="64" t="str">
        <f t="shared" si="5"/>
        <v/>
      </c>
      <c r="N52" s="22"/>
      <c r="O52" s="22"/>
      <c r="P52" s="62" t="str">
        <f t="shared" si="6"/>
        <v/>
      </c>
      <c r="Q52" s="63"/>
      <c r="R52" s="63"/>
      <c r="S52" s="64" t="str">
        <f t="shared" si="7"/>
        <v/>
      </c>
      <c r="T52" s="65"/>
      <c r="U52" s="66"/>
      <c r="V52" s="18" t="str">
        <f>IF($C52="","",VLOOKUP($C52,#REF!,4,FALSE))</f>
        <v/>
      </c>
      <c r="W52" s="69" t="str">
        <f>IF($E52="","",VLOOKUP($E52,#REF!,4,FALSE))</f>
        <v/>
      </c>
      <c r="Y52" t="s">
        <v>348</v>
      </c>
      <c r="Z52">
        <v>5937</v>
      </c>
      <c r="AA52" t="s">
        <v>347</v>
      </c>
      <c r="AB52" t="s">
        <v>284</v>
      </c>
      <c r="AC52">
        <v>61643</v>
      </c>
      <c r="AD52" s="67" t="s">
        <v>387</v>
      </c>
    </row>
    <row r="53" spans="1:30" s="67" customFormat="1" ht="18" customHeight="1">
      <c r="A53" s="60"/>
      <c r="B53" s="61">
        <v>40</v>
      </c>
      <c r="C53" s="137"/>
      <c r="D53" s="271"/>
      <c r="E53" s="140"/>
      <c r="F53" s="294"/>
      <c r="G53" s="141"/>
      <c r="H53" s="22"/>
      <c r="I53" s="22"/>
      <c r="J53" s="62" t="str">
        <f t="shared" si="4"/>
        <v/>
      </c>
      <c r="K53" s="63"/>
      <c r="L53" s="63"/>
      <c r="M53" s="64" t="str">
        <f t="shared" si="5"/>
        <v/>
      </c>
      <c r="N53" s="22"/>
      <c r="O53" s="22"/>
      <c r="P53" s="62" t="str">
        <f t="shared" si="6"/>
        <v/>
      </c>
      <c r="Q53" s="63"/>
      <c r="R53" s="63"/>
      <c r="S53" s="64" t="str">
        <f t="shared" si="7"/>
        <v/>
      </c>
      <c r="T53" s="65"/>
      <c r="U53" s="66"/>
      <c r="V53" s="18" t="str">
        <f>IF($C53="","",VLOOKUP($C53,#REF!,4,FALSE))</f>
        <v/>
      </c>
      <c r="W53" s="69" t="str">
        <f>IF($E53="","",VLOOKUP($E53,#REF!,4,FALSE))</f>
        <v/>
      </c>
      <c r="Y53" t="s">
        <v>354</v>
      </c>
      <c r="Z53">
        <v>31439</v>
      </c>
      <c r="AA53" t="s">
        <v>353</v>
      </c>
      <c r="AB53" t="s">
        <v>125</v>
      </c>
      <c r="AC53">
        <v>60925</v>
      </c>
      <c r="AD53" s="67" t="s">
        <v>195</v>
      </c>
    </row>
    <row r="54" spans="1:30" s="67" customFormat="1" ht="18" customHeight="1">
      <c r="A54" s="60"/>
      <c r="B54" s="61">
        <v>41</v>
      </c>
      <c r="C54" s="137"/>
      <c r="D54" s="271"/>
      <c r="E54" s="137" ph="1"/>
      <c r="F54" s="279"/>
      <c r="G54" s="138"/>
      <c r="H54" s="22"/>
      <c r="I54" s="22"/>
      <c r="J54" s="62" t="str">
        <f t="shared" si="4"/>
        <v/>
      </c>
      <c r="K54" s="63"/>
      <c r="L54" s="63"/>
      <c r="M54" s="64" t="str">
        <f t="shared" si="5"/>
        <v/>
      </c>
      <c r="N54" s="22"/>
      <c r="O54" s="22"/>
      <c r="P54" s="62" t="str">
        <f t="shared" si="6"/>
        <v/>
      </c>
      <c r="Q54" s="63"/>
      <c r="R54" s="63"/>
      <c r="S54" s="64" t="str">
        <f t="shared" si="7"/>
        <v/>
      </c>
      <c r="T54" s="65"/>
      <c r="U54" s="66"/>
      <c r="V54" s="18" t="str">
        <f>IF($C54="","",VLOOKUP($C54,#REF!,4,FALSE))</f>
        <v/>
      </c>
      <c r="W54" s="69" t="str">
        <f>IF($E54="","",VLOOKUP($E54,#REF!,4,FALSE))</f>
        <v/>
      </c>
      <c r="Y54" t="s">
        <v>275</v>
      </c>
      <c r="Z54">
        <v>29554</v>
      </c>
      <c r="AA54" t="s">
        <v>232</v>
      </c>
      <c r="AB54" t="s">
        <v>128</v>
      </c>
      <c r="AC54">
        <v>60368</v>
      </c>
      <c r="AD54" s="67" t="s">
        <v>203</v>
      </c>
    </row>
    <row r="55" spans="1:30" s="67" customFormat="1" ht="18" customHeight="1">
      <c r="A55" s="60"/>
      <c r="B55" s="61">
        <v>42</v>
      </c>
      <c r="C55" s="87"/>
      <c r="D55" s="273"/>
      <c r="E55" s="147"/>
      <c r="F55" s="280"/>
      <c r="G55" s="148"/>
      <c r="H55" s="22"/>
      <c r="I55" s="22"/>
      <c r="J55" s="62" t="str">
        <f t="shared" si="4"/>
        <v/>
      </c>
      <c r="K55" s="63"/>
      <c r="L55" s="63"/>
      <c r="M55" s="64" t="str">
        <f t="shared" si="5"/>
        <v/>
      </c>
      <c r="N55" s="22"/>
      <c r="O55" s="22"/>
      <c r="P55" s="62" t="str">
        <f t="shared" si="6"/>
        <v/>
      </c>
      <c r="Q55" s="63"/>
      <c r="R55" s="63"/>
      <c r="S55" s="64" t="str">
        <f t="shared" si="7"/>
        <v/>
      </c>
      <c r="T55" s="65"/>
      <c r="U55" s="66"/>
      <c r="V55" s="18" t="str">
        <f>IF($C55="","",VLOOKUP($C55,#REF!,4,FALSE))</f>
        <v/>
      </c>
      <c r="W55" s="69" t="str">
        <f>IF($E55="","",VLOOKUP($E55,#REF!,4,FALSE))</f>
        <v/>
      </c>
      <c r="Y55" t="s">
        <v>312</v>
      </c>
      <c r="Z55">
        <v>13695</v>
      </c>
      <c r="AA55" t="s">
        <v>343</v>
      </c>
      <c r="AB55" t="s">
        <v>313</v>
      </c>
      <c r="AC55">
        <v>61595</v>
      </c>
      <c r="AD55" s="67" t="s">
        <v>396</v>
      </c>
    </row>
    <row r="56" spans="1:30" s="67" customFormat="1" ht="18" customHeight="1">
      <c r="A56" s="60"/>
      <c r="B56" s="61">
        <v>43</v>
      </c>
      <c r="C56" s="137"/>
      <c r="D56" s="271"/>
      <c r="E56" s="137"/>
      <c r="F56" s="279"/>
      <c r="G56" s="138"/>
      <c r="H56" s="22"/>
      <c r="I56" s="22"/>
      <c r="J56" s="62" t="str">
        <f t="shared" si="4"/>
        <v/>
      </c>
      <c r="K56" s="63"/>
      <c r="L56" s="63"/>
      <c r="M56" s="64" t="str">
        <f t="shared" si="5"/>
        <v/>
      </c>
      <c r="N56" s="22"/>
      <c r="O56" s="22"/>
      <c r="P56" s="62" t="str">
        <f t="shared" si="6"/>
        <v/>
      </c>
      <c r="Q56" s="63"/>
      <c r="R56" s="63"/>
      <c r="S56" s="64" t="str">
        <f t="shared" si="7"/>
        <v/>
      </c>
      <c r="T56" s="65"/>
      <c r="U56" s="66"/>
      <c r="V56" s="18" t="str">
        <f>IF($C56="","",VLOOKUP($C56,#REF!,4,FALSE))</f>
        <v/>
      </c>
      <c r="W56" s="69" t="str">
        <f>IF($E56="","",VLOOKUP($E56,#REF!,4,FALSE))</f>
        <v/>
      </c>
      <c r="Y56"/>
      <c r="Z56"/>
      <c r="AA56"/>
      <c r="AB56"/>
      <c r="AC56"/>
    </row>
    <row r="57" spans="1:30" s="67" customFormat="1" ht="18" customHeight="1">
      <c r="A57" s="60"/>
      <c r="B57" s="61">
        <v>44</v>
      </c>
      <c r="C57" s="137"/>
      <c r="D57" s="271"/>
      <c r="E57" s="137"/>
      <c r="F57" s="279"/>
      <c r="G57" s="138"/>
      <c r="H57" s="22"/>
      <c r="I57" s="22"/>
      <c r="J57" s="62" t="str">
        <f t="shared" si="4"/>
        <v/>
      </c>
      <c r="K57" s="63"/>
      <c r="L57" s="63"/>
      <c r="M57" s="64" t="str">
        <f t="shared" si="5"/>
        <v/>
      </c>
      <c r="N57" s="22"/>
      <c r="O57" s="22"/>
      <c r="P57" s="62" t="str">
        <f t="shared" si="6"/>
        <v/>
      </c>
      <c r="Q57" s="63"/>
      <c r="R57" s="63"/>
      <c r="S57" s="64" t="str">
        <f t="shared" si="7"/>
        <v/>
      </c>
      <c r="T57" s="65"/>
      <c r="U57" s="66"/>
      <c r="V57" s="18" t="str">
        <f>IF($C57="","",VLOOKUP($C57,#REF!,4,FALSE))</f>
        <v/>
      </c>
      <c r="W57" s="69" t="str">
        <f>IF($E57="","",VLOOKUP($E57,#REF!,4,FALSE))</f>
        <v/>
      </c>
      <c r="Y57"/>
      <c r="Z57"/>
      <c r="AA57"/>
      <c r="AB57"/>
      <c r="AC57"/>
    </row>
    <row r="58" spans="1:30" s="67" customFormat="1" ht="18" customHeight="1">
      <c r="A58" s="60"/>
      <c r="B58" s="61">
        <v>45</v>
      </c>
      <c r="C58" s="137"/>
      <c r="D58" s="271"/>
      <c r="E58" s="137"/>
      <c r="F58" s="279"/>
      <c r="G58" s="138"/>
      <c r="H58" s="22"/>
      <c r="I58" s="22"/>
      <c r="J58" s="62" t="str">
        <f t="shared" si="4"/>
        <v/>
      </c>
      <c r="K58" s="63"/>
      <c r="L58" s="63"/>
      <c r="M58" s="64" t="str">
        <f t="shared" si="5"/>
        <v/>
      </c>
      <c r="N58" s="22"/>
      <c r="O58" s="22"/>
      <c r="P58" s="62" t="str">
        <f t="shared" si="6"/>
        <v/>
      </c>
      <c r="Q58" s="63"/>
      <c r="R58" s="63"/>
      <c r="S58" s="64" t="str">
        <f t="shared" si="7"/>
        <v/>
      </c>
      <c r="T58" s="65"/>
      <c r="U58" s="66"/>
      <c r="V58" s="18" t="str">
        <f>IF($C58="","",VLOOKUP($C58,#REF!,4,FALSE))</f>
        <v/>
      </c>
      <c r="W58" s="69" t="str">
        <f>IF($E58="","",VLOOKUP($E58,#REF!,4,FALSE))</f>
        <v/>
      </c>
      <c r="Y58"/>
      <c r="Z58"/>
      <c r="AA58"/>
      <c r="AB58"/>
      <c r="AC58"/>
    </row>
    <row r="59" spans="1:30" s="67" customFormat="1" ht="18" customHeight="1">
      <c r="A59" s="60"/>
      <c r="B59" s="61"/>
      <c r="C59" s="137"/>
      <c r="D59" s="271"/>
      <c r="E59" s="137"/>
      <c r="F59" s="279"/>
      <c r="G59" s="138"/>
      <c r="H59" s="22"/>
      <c r="I59" s="22"/>
      <c r="J59" s="62" t="str">
        <f t="shared" si="4"/>
        <v/>
      </c>
      <c r="K59" s="63"/>
      <c r="L59" s="63"/>
      <c r="M59" s="64" t="str">
        <f t="shared" si="5"/>
        <v/>
      </c>
      <c r="N59" s="22"/>
      <c r="O59" s="22"/>
      <c r="P59" s="62" t="str">
        <f t="shared" si="6"/>
        <v/>
      </c>
      <c r="Q59" s="63"/>
      <c r="R59" s="63"/>
      <c r="S59" s="64" t="str">
        <f t="shared" si="7"/>
        <v/>
      </c>
      <c r="T59" s="65"/>
      <c r="U59" s="66"/>
      <c r="V59" s="18" t="str">
        <f>IF($C59="","",VLOOKUP($C59,#REF!,4,FALSE))</f>
        <v/>
      </c>
      <c r="W59" s="69" t="str">
        <f>IF($E59="","",VLOOKUP($E59,#REF!,4,FALSE))</f>
        <v/>
      </c>
      <c r="Y59"/>
      <c r="Z59"/>
      <c r="AA59"/>
      <c r="AB59"/>
      <c r="AC59"/>
    </row>
    <row r="60" spans="1:30" s="67" customFormat="1" ht="18" customHeight="1">
      <c r="A60" s="60"/>
      <c r="B60" s="61"/>
      <c r="C60" s="137"/>
      <c r="D60" s="271"/>
      <c r="E60" s="137"/>
      <c r="F60" s="279"/>
      <c r="G60" s="138"/>
      <c r="H60" s="22"/>
      <c r="I60" s="22"/>
      <c r="J60" s="62" t="str">
        <f t="shared" si="4"/>
        <v/>
      </c>
      <c r="K60" s="63"/>
      <c r="L60" s="63"/>
      <c r="M60" s="64" t="str">
        <f t="shared" si="5"/>
        <v/>
      </c>
      <c r="N60" s="22"/>
      <c r="O60" s="22"/>
      <c r="P60" s="62" t="str">
        <f t="shared" si="6"/>
        <v/>
      </c>
      <c r="Q60" s="63"/>
      <c r="R60" s="63"/>
      <c r="S60" s="64" t="str">
        <f t="shared" si="7"/>
        <v/>
      </c>
      <c r="T60" s="65"/>
      <c r="U60" s="66"/>
      <c r="V60" s="18" t="str">
        <f>IF($C60="","",VLOOKUP($C60,#REF!,4,FALSE))</f>
        <v/>
      </c>
      <c r="W60" s="69" t="str">
        <f>IF($E60="","",VLOOKUP($E60,#REF!,4,FALSE))</f>
        <v/>
      </c>
      <c r="Y60"/>
      <c r="Z60"/>
      <c r="AA60"/>
      <c r="AB60"/>
      <c r="AC60"/>
    </row>
    <row r="61" spans="1:30" s="67" customFormat="1" ht="18" customHeight="1">
      <c r="A61" s="60"/>
      <c r="B61" s="61"/>
      <c r="C61" s="21"/>
      <c r="D61" s="275" t="s">
        <v>76</v>
      </c>
      <c r="E61" s="21"/>
      <c r="F61" s="282" t="s">
        <v>76</v>
      </c>
      <c r="G61" s="23"/>
      <c r="H61" s="22"/>
      <c r="I61" s="22"/>
      <c r="J61" s="62" t="str">
        <f t="shared" si="4"/>
        <v/>
      </c>
      <c r="K61" s="63"/>
      <c r="L61" s="63"/>
      <c r="M61" s="64" t="str">
        <f t="shared" si="5"/>
        <v/>
      </c>
      <c r="N61" s="22"/>
      <c r="O61" s="22"/>
      <c r="P61" s="62" t="str">
        <f t="shared" si="6"/>
        <v/>
      </c>
      <c r="Q61" s="63"/>
      <c r="R61" s="63"/>
      <c r="S61" s="64" t="str">
        <f t="shared" si="7"/>
        <v/>
      </c>
      <c r="T61" s="65"/>
      <c r="U61" s="66"/>
      <c r="V61" s="18" t="str">
        <f>IF($C61="","",VLOOKUP($C61,#REF!,4,FALSE))</f>
        <v/>
      </c>
      <c r="W61" s="69" t="str">
        <f>IF($E61="","",VLOOKUP($E61,#REF!,4,FALSE))</f>
        <v/>
      </c>
      <c r="Y61"/>
      <c r="Z61"/>
      <c r="AA61"/>
      <c r="AB61"/>
      <c r="AC61"/>
    </row>
    <row r="62" spans="1:30" s="67" customFormat="1" ht="18" customHeight="1">
      <c r="A62" s="60"/>
      <c r="B62" s="61"/>
      <c r="C62" s="21"/>
      <c r="D62" s="275" t="s">
        <v>76</v>
      </c>
      <c r="E62" s="21"/>
      <c r="F62" s="282" t="s">
        <v>76</v>
      </c>
      <c r="G62" s="23"/>
      <c r="H62" s="22"/>
      <c r="I62" s="22"/>
      <c r="J62" s="62" t="str">
        <f t="shared" si="4"/>
        <v/>
      </c>
      <c r="K62" s="63"/>
      <c r="L62" s="63"/>
      <c r="M62" s="64" t="str">
        <f t="shared" si="5"/>
        <v/>
      </c>
      <c r="N62" s="22"/>
      <c r="O62" s="22"/>
      <c r="P62" s="62" t="str">
        <f t="shared" si="6"/>
        <v/>
      </c>
      <c r="Q62" s="63"/>
      <c r="R62" s="63"/>
      <c r="S62" s="64" t="str">
        <f t="shared" si="7"/>
        <v/>
      </c>
      <c r="T62" s="65"/>
      <c r="U62" s="66"/>
      <c r="V62" s="18" t="str">
        <f>IF($C62="","",VLOOKUP($C62,#REF!,4,FALSE))</f>
        <v/>
      </c>
      <c r="W62" s="69" t="str">
        <f>IF($E62="","",VLOOKUP($E62,#REF!,4,FALSE))</f>
        <v/>
      </c>
      <c r="Y62"/>
      <c r="Z62"/>
      <c r="AA62"/>
      <c r="AB62"/>
      <c r="AC62"/>
    </row>
    <row r="63" spans="1:30" s="67" customFormat="1" ht="18" customHeight="1">
      <c r="A63" s="60"/>
      <c r="B63" s="61"/>
      <c r="C63" s="21"/>
      <c r="D63" s="275" t="s">
        <v>76</v>
      </c>
      <c r="E63" s="21"/>
      <c r="F63" s="282" t="s">
        <v>76</v>
      </c>
      <c r="G63" s="23"/>
      <c r="H63" s="22"/>
      <c r="I63" s="22"/>
      <c r="J63" s="62" t="str">
        <f t="shared" si="4"/>
        <v/>
      </c>
      <c r="K63" s="63"/>
      <c r="L63" s="63"/>
      <c r="M63" s="64" t="str">
        <f t="shared" si="5"/>
        <v/>
      </c>
      <c r="N63" s="22"/>
      <c r="O63" s="22"/>
      <c r="P63" s="62" t="str">
        <f t="shared" si="6"/>
        <v/>
      </c>
      <c r="Q63" s="63"/>
      <c r="R63" s="63"/>
      <c r="S63" s="64" t="str">
        <f t="shared" si="7"/>
        <v/>
      </c>
      <c r="T63" s="65"/>
      <c r="U63" s="66"/>
      <c r="V63" s="18" t="str">
        <f>IF($C63="","",VLOOKUP($C63,#REF!,4,FALSE))</f>
        <v/>
      </c>
      <c r="W63" s="69" t="str">
        <f>IF($E63="","",VLOOKUP($E63,#REF!,4,FALSE))</f>
        <v/>
      </c>
      <c r="Y63"/>
      <c r="Z63"/>
      <c r="AA63"/>
      <c r="AB63"/>
      <c r="AC63"/>
    </row>
    <row r="64" spans="1:30" s="67" customFormat="1" ht="18" customHeight="1">
      <c r="A64" s="60"/>
      <c r="B64" s="61"/>
      <c r="C64" s="21"/>
      <c r="D64" s="275" t="s">
        <v>76</v>
      </c>
      <c r="E64" s="21"/>
      <c r="F64" s="282" t="s">
        <v>76</v>
      </c>
      <c r="G64" s="23"/>
      <c r="H64" s="22"/>
      <c r="I64" s="22"/>
      <c r="J64" s="62" t="str">
        <f t="shared" si="4"/>
        <v/>
      </c>
      <c r="K64" s="63"/>
      <c r="L64" s="63"/>
      <c r="M64" s="64" t="str">
        <f t="shared" si="5"/>
        <v/>
      </c>
      <c r="N64" s="22"/>
      <c r="O64" s="22"/>
      <c r="P64" s="62" t="str">
        <f t="shared" si="6"/>
        <v/>
      </c>
      <c r="Q64" s="63"/>
      <c r="R64" s="63"/>
      <c r="S64" s="64" t="str">
        <f t="shared" si="7"/>
        <v/>
      </c>
      <c r="T64" s="65"/>
      <c r="U64" s="66"/>
      <c r="V64" s="18" t="str">
        <f>IF($C64="","",VLOOKUP($C64,#REF!,4,FALSE))</f>
        <v/>
      </c>
      <c r="W64" s="69" t="str">
        <f>IF($E64="","",VLOOKUP($E64,#REF!,4,FALSE))</f>
        <v/>
      </c>
      <c r="Y64"/>
      <c r="Z64"/>
      <c r="AA64"/>
      <c r="AB64"/>
      <c r="AC64"/>
    </row>
    <row r="65" spans="1:29" s="67" customFormat="1" ht="18" customHeight="1">
      <c r="A65" s="60"/>
      <c r="B65" s="61"/>
      <c r="C65" s="21"/>
      <c r="D65" s="275" t="s">
        <v>76</v>
      </c>
      <c r="E65" s="21"/>
      <c r="F65" s="282" t="s">
        <v>76</v>
      </c>
      <c r="G65" s="23"/>
      <c r="H65" s="22"/>
      <c r="I65" s="22"/>
      <c r="J65" s="62" t="str">
        <f t="shared" si="4"/>
        <v/>
      </c>
      <c r="K65" s="63"/>
      <c r="L65" s="63"/>
      <c r="M65" s="64" t="str">
        <f t="shared" si="5"/>
        <v/>
      </c>
      <c r="N65" s="22"/>
      <c r="O65" s="22"/>
      <c r="P65" s="62" t="str">
        <f t="shared" si="6"/>
        <v/>
      </c>
      <c r="Q65" s="63"/>
      <c r="R65" s="63"/>
      <c r="S65" s="64" t="str">
        <f t="shared" si="7"/>
        <v/>
      </c>
      <c r="T65" s="65"/>
      <c r="U65" s="66"/>
      <c r="V65" s="18" t="str">
        <f>IF($C65="","",VLOOKUP($C65,#REF!,4,FALSE))</f>
        <v/>
      </c>
      <c r="W65" s="69" t="str">
        <f>IF($E65="","",VLOOKUP($E65,#REF!,4,FALSE))</f>
        <v/>
      </c>
      <c r="Y65"/>
      <c r="Z65"/>
      <c r="AA65"/>
      <c r="AB65"/>
      <c r="AC65"/>
    </row>
    <row r="66" spans="1:29" s="67" customFormat="1" ht="18" customHeight="1">
      <c r="A66" s="60"/>
      <c r="B66" s="61"/>
      <c r="C66" s="21"/>
      <c r="D66" s="275" t="s">
        <v>76</v>
      </c>
      <c r="E66" s="21"/>
      <c r="F66" s="282" t="s">
        <v>76</v>
      </c>
      <c r="G66" s="23"/>
      <c r="H66" s="22"/>
      <c r="I66" s="22"/>
      <c r="J66" s="62" t="str">
        <f t="shared" si="4"/>
        <v/>
      </c>
      <c r="K66" s="63"/>
      <c r="L66" s="63"/>
      <c r="M66" s="64" t="str">
        <f t="shared" si="5"/>
        <v/>
      </c>
      <c r="N66" s="22"/>
      <c r="O66" s="22"/>
      <c r="P66" s="62" t="str">
        <f t="shared" si="6"/>
        <v/>
      </c>
      <c r="Q66" s="63"/>
      <c r="R66" s="63"/>
      <c r="S66" s="64" t="str">
        <f t="shared" si="7"/>
        <v/>
      </c>
      <c r="T66" s="65"/>
      <c r="U66" s="66"/>
      <c r="V66" s="18" t="str">
        <f>IF($C66="","",VLOOKUP($C66,#REF!,4,FALSE))</f>
        <v/>
      </c>
      <c r="W66" s="69" t="str">
        <f>IF($E66="","",VLOOKUP($E66,#REF!,4,FALSE))</f>
        <v/>
      </c>
      <c r="Y66"/>
      <c r="Z66"/>
      <c r="AA66"/>
      <c r="AB66"/>
      <c r="AC66"/>
    </row>
    <row r="67" spans="1:29" s="67" customFormat="1" ht="18" customHeight="1">
      <c r="A67" s="60"/>
      <c r="B67" s="61"/>
      <c r="C67" s="21"/>
      <c r="D67" s="275" t="s">
        <v>76</v>
      </c>
      <c r="E67" s="21"/>
      <c r="F67" s="282" t="s">
        <v>76</v>
      </c>
      <c r="G67" s="23"/>
      <c r="H67" s="22"/>
      <c r="I67" s="22"/>
      <c r="J67" s="62" t="str">
        <f t="shared" si="4"/>
        <v/>
      </c>
      <c r="K67" s="63"/>
      <c r="L67" s="63"/>
      <c r="M67" s="64" t="str">
        <f t="shared" si="5"/>
        <v/>
      </c>
      <c r="N67" s="22"/>
      <c r="O67" s="22"/>
      <c r="P67" s="62" t="str">
        <f t="shared" si="6"/>
        <v/>
      </c>
      <c r="Q67" s="63"/>
      <c r="R67" s="63"/>
      <c r="S67" s="64" t="str">
        <f t="shared" si="7"/>
        <v/>
      </c>
      <c r="T67" s="65"/>
      <c r="U67" s="66"/>
      <c r="V67" s="18" t="str">
        <f>IF($C67="","",VLOOKUP($C67,#REF!,4,FALSE))</f>
        <v/>
      </c>
      <c r="W67" s="69" t="str">
        <f>IF($E67="","",VLOOKUP($E67,#REF!,4,FALSE))</f>
        <v/>
      </c>
      <c r="Y67"/>
      <c r="Z67"/>
      <c r="AA67"/>
      <c r="AB67"/>
      <c r="AC67"/>
    </row>
    <row r="68" spans="1:29" s="67" customFormat="1" ht="18" customHeight="1">
      <c r="A68" s="60"/>
      <c r="B68" s="61"/>
      <c r="C68" s="21"/>
      <c r="D68" s="275" t="s">
        <v>76</v>
      </c>
      <c r="E68" s="21"/>
      <c r="F68" s="282" t="s">
        <v>76</v>
      </c>
      <c r="G68" s="23"/>
      <c r="H68" s="22"/>
      <c r="I68" s="22"/>
      <c r="J68" s="62" t="str">
        <f t="shared" si="4"/>
        <v/>
      </c>
      <c r="K68" s="63"/>
      <c r="L68" s="63"/>
      <c r="M68" s="64" t="str">
        <f t="shared" si="5"/>
        <v/>
      </c>
      <c r="N68" s="22"/>
      <c r="O68" s="22"/>
      <c r="P68" s="62" t="str">
        <f t="shared" si="6"/>
        <v/>
      </c>
      <c r="Q68" s="63"/>
      <c r="R68" s="63"/>
      <c r="S68" s="64" t="str">
        <f t="shared" si="7"/>
        <v/>
      </c>
      <c r="T68" s="65"/>
      <c r="U68" s="66"/>
      <c r="V68" s="18" t="str">
        <f>IF($C68="","",VLOOKUP($C68,#REF!,4,FALSE))</f>
        <v/>
      </c>
      <c r="W68" s="69" t="str">
        <f>IF($E68="","",VLOOKUP($E68,#REF!,4,FALSE))</f>
        <v/>
      </c>
      <c r="Y68"/>
      <c r="Z68"/>
      <c r="AA68"/>
      <c r="AB68"/>
      <c r="AC68"/>
    </row>
    <row r="69" spans="1:29" s="67" customFormat="1" ht="18" customHeight="1">
      <c r="A69" s="60"/>
      <c r="B69" s="61"/>
      <c r="C69" s="21"/>
      <c r="D69" s="275" t="s">
        <v>76</v>
      </c>
      <c r="E69" s="21"/>
      <c r="F69" s="282" t="s">
        <v>76</v>
      </c>
      <c r="G69" s="23"/>
      <c r="H69" s="22"/>
      <c r="I69" s="22"/>
      <c r="J69" s="62" t="str">
        <f t="shared" si="4"/>
        <v/>
      </c>
      <c r="K69" s="63"/>
      <c r="L69" s="63"/>
      <c r="M69" s="64" t="str">
        <f t="shared" si="5"/>
        <v/>
      </c>
      <c r="N69" s="22"/>
      <c r="O69" s="22"/>
      <c r="P69" s="62" t="str">
        <f t="shared" si="6"/>
        <v/>
      </c>
      <c r="Q69" s="63"/>
      <c r="R69" s="63"/>
      <c r="S69" s="64" t="str">
        <f t="shared" si="7"/>
        <v/>
      </c>
      <c r="T69" s="65"/>
      <c r="U69" s="66"/>
      <c r="V69" s="18" t="str">
        <f>IF($C69="","",VLOOKUP($C69,#REF!,4,FALSE))</f>
        <v/>
      </c>
      <c r="W69" s="69" t="str">
        <f>IF($E69="","",VLOOKUP($E69,#REF!,4,FALSE))</f>
        <v/>
      </c>
      <c r="Y69"/>
      <c r="Z69"/>
      <c r="AA69"/>
      <c r="AB69"/>
      <c r="AC69"/>
    </row>
    <row r="70" spans="1:29" s="67" customFormat="1" ht="18" customHeight="1">
      <c r="A70" s="60"/>
      <c r="B70" s="61"/>
      <c r="C70" s="21"/>
      <c r="D70" s="275" t="s">
        <v>76</v>
      </c>
      <c r="E70" s="21"/>
      <c r="F70" s="282" t="s">
        <v>76</v>
      </c>
      <c r="G70" s="23"/>
      <c r="H70" s="22"/>
      <c r="I70" s="22"/>
      <c r="J70" s="62" t="str">
        <f t="shared" si="4"/>
        <v/>
      </c>
      <c r="K70" s="63"/>
      <c r="L70" s="63"/>
      <c r="M70" s="64" t="str">
        <f t="shared" si="5"/>
        <v/>
      </c>
      <c r="N70" s="22"/>
      <c r="O70" s="22"/>
      <c r="P70" s="62" t="str">
        <f t="shared" si="6"/>
        <v/>
      </c>
      <c r="Q70" s="63"/>
      <c r="R70" s="63"/>
      <c r="S70" s="64" t="str">
        <f t="shared" si="7"/>
        <v/>
      </c>
      <c r="T70" s="65"/>
      <c r="U70" s="66"/>
      <c r="V70" s="18" t="str">
        <f>IF($C70="","",VLOOKUP($C70,#REF!,4,FALSE))</f>
        <v/>
      </c>
      <c r="W70" s="69" t="str">
        <f>IF($E70="","",VLOOKUP($E70,#REF!,4,FALSE))</f>
        <v/>
      </c>
      <c r="Y70"/>
      <c r="Z70"/>
      <c r="AA70"/>
      <c r="AB70"/>
      <c r="AC70"/>
    </row>
    <row r="71" spans="1:29" s="67" customFormat="1" ht="18" customHeight="1">
      <c r="A71" s="60"/>
      <c r="B71" s="61"/>
      <c r="C71" s="21"/>
      <c r="D71" s="275" t="s">
        <v>76</v>
      </c>
      <c r="E71" s="21"/>
      <c r="F71" s="282" t="s">
        <v>76</v>
      </c>
      <c r="G71" s="23"/>
      <c r="H71" s="22"/>
      <c r="I71" s="22"/>
      <c r="J71" s="62" t="str">
        <f t="shared" si="4"/>
        <v/>
      </c>
      <c r="K71" s="63"/>
      <c r="L71" s="63"/>
      <c r="M71" s="64" t="str">
        <f t="shared" si="5"/>
        <v/>
      </c>
      <c r="N71" s="22"/>
      <c r="O71" s="22"/>
      <c r="P71" s="62" t="str">
        <f t="shared" si="6"/>
        <v/>
      </c>
      <c r="Q71" s="63"/>
      <c r="R71" s="63"/>
      <c r="S71" s="64" t="str">
        <f t="shared" si="7"/>
        <v/>
      </c>
      <c r="T71" s="65"/>
      <c r="U71" s="66"/>
      <c r="V71" s="18" t="str">
        <f>IF($C71="","",VLOOKUP($C71,#REF!,4,FALSE))</f>
        <v/>
      </c>
      <c r="W71" s="69" t="str">
        <f>IF($E71="","",VLOOKUP($E71,#REF!,4,FALSE))</f>
        <v/>
      </c>
      <c r="Y71"/>
      <c r="Z71"/>
      <c r="AA71"/>
      <c r="AB71"/>
      <c r="AC71"/>
    </row>
    <row r="72" spans="1:29" s="67" customFormat="1" ht="18" customHeight="1">
      <c r="A72" s="60"/>
      <c r="B72" s="61"/>
      <c r="C72" s="21"/>
      <c r="D72" s="275" t="s">
        <v>76</v>
      </c>
      <c r="E72" s="21"/>
      <c r="F72" s="282" t="s">
        <v>76</v>
      </c>
      <c r="G72" s="23"/>
      <c r="H72" s="22"/>
      <c r="I72" s="22"/>
      <c r="J72" s="62" t="str">
        <f t="shared" si="4"/>
        <v/>
      </c>
      <c r="K72" s="63"/>
      <c r="L72" s="63"/>
      <c r="M72" s="64" t="str">
        <f t="shared" si="5"/>
        <v/>
      </c>
      <c r="N72" s="22"/>
      <c r="O72" s="22"/>
      <c r="P72" s="62" t="str">
        <f t="shared" si="6"/>
        <v/>
      </c>
      <c r="Q72" s="63"/>
      <c r="R72" s="63"/>
      <c r="S72" s="64" t="str">
        <f t="shared" si="7"/>
        <v/>
      </c>
      <c r="T72" s="65"/>
      <c r="U72" s="66"/>
      <c r="V72" s="18" t="str">
        <f>IF($C72="","",VLOOKUP($C72,#REF!,4,FALSE))</f>
        <v/>
      </c>
      <c r="W72" s="69" t="str">
        <f>IF($E72="","",VLOOKUP($E72,#REF!,4,FALSE))</f>
        <v/>
      </c>
      <c r="Y72"/>
      <c r="Z72"/>
      <c r="AA72"/>
      <c r="AB72"/>
      <c r="AC72"/>
    </row>
    <row r="73" spans="1:29" s="67" customFormat="1" ht="18" customHeight="1">
      <c r="A73" s="60"/>
      <c r="B73" s="61"/>
      <c r="C73" s="21"/>
      <c r="D73" s="275" t="s">
        <v>76</v>
      </c>
      <c r="E73" s="21"/>
      <c r="F73" s="282" t="s">
        <v>76</v>
      </c>
      <c r="G73" s="23"/>
      <c r="H73" s="22"/>
      <c r="I73" s="22"/>
      <c r="J73" s="62" t="str">
        <f t="shared" si="4"/>
        <v/>
      </c>
      <c r="K73" s="63"/>
      <c r="L73" s="63"/>
      <c r="M73" s="64" t="str">
        <f t="shared" si="5"/>
        <v/>
      </c>
      <c r="N73" s="22"/>
      <c r="O73" s="22"/>
      <c r="P73" s="62" t="str">
        <f t="shared" si="6"/>
        <v/>
      </c>
      <c r="Q73" s="63"/>
      <c r="R73" s="63"/>
      <c r="S73" s="64" t="str">
        <f t="shared" si="7"/>
        <v/>
      </c>
      <c r="T73" s="65"/>
      <c r="U73" s="66"/>
      <c r="V73" s="18" t="str">
        <f>IF($C73="","",VLOOKUP($C73,#REF!,4,FALSE))</f>
        <v/>
      </c>
      <c r="W73" s="69" t="str">
        <f>IF($E73="","",VLOOKUP($E73,#REF!,4,FALSE))</f>
        <v/>
      </c>
      <c r="Y73"/>
      <c r="Z73"/>
      <c r="AA73"/>
      <c r="AB73"/>
      <c r="AC73"/>
    </row>
    <row r="126" spans="5:5" ht="18" customHeight="1">
      <c r="E126" s="20" ph="1"/>
    </row>
    <row r="137" spans="5:5" ht="18" customHeight="1">
      <c r="E137" s="20" ph="1"/>
    </row>
    <row r="153" spans="5:5" ht="18" customHeight="1">
      <c r="E153" s="20" ph="1"/>
    </row>
    <row r="154" spans="5:5" ht="18" customHeight="1">
      <c r="E154" s="20" ph="1"/>
    </row>
    <row r="173" spans="5:5" ht="18" customHeight="1">
      <c r="E173" s="20" ph="1"/>
    </row>
    <row r="181" spans="5:5" ht="18" customHeight="1">
      <c r="E181" s="20" ph="1"/>
    </row>
    <row r="182" spans="5:5" ht="18" customHeight="1">
      <c r="E182" s="20" ph="1"/>
    </row>
    <row r="196" spans="5:5" ht="18" customHeight="1">
      <c r="E196" s="20" ph="1"/>
    </row>
    <row r="198" spans="5:5" ht="18" customHeight="1">
      <c r="E198" s="20" ph="1"/>
    </row>
    <row r="199" spans="5:5" ht="18" customHeight="1">
      <c r="E199" s="20" ph="1"/>
    </row>
    <row r="200" spans="5:5" ht="18" customHeight="1">
      <c r="E200" s="20" ph="1"/>
    </row>
    <row r="201" spans="5:5" ht="18" customHeight="1">
      <c r="E201" s="20" ph="1"/>
    </row>
  </sheetData>
  <autoFilter ref="A13:W13" xr:uid="{00000000-0001-0000-1100-000000000000}">
    <sortState xmlns:xlrd2="http://schemas.microsoft.com/office/spreadsheetml/2017/richdata2" ref="A14:W73">
      <sortCondition ref="B13"/>
    </sortState>
  </autoFilter>
  <sortState xmlns:xlrd2="http://schemas.microsoft.com/office/spreadsheetml/2017/richdata2" ref="A43:AD47">
    <sortCondition ref="B43:B47"/>
  </sortState>
  <mergeCells count="1">
    <mergeCell ref="F4:G4"/>
  </mergeCells>
  <phoneticPr fontId="10"/>
  <conditionalFormatting sqref="V14:V73">
    <cfRule type="cellIs" dxfId="19" priority="4" stopIfTrue="1" operator="notBetween">
      <formula>"A"</formula>
      <formula>"Ｂ"</formula>
    </cfRule>
  </conditionalFormatting>
  <conditionalFormatting sqref="W14:W73">
    <cfRule type="cellIs" dxfId="18" priority="3" stopIfTrue="1" operator="between">
      <formula>"-"</formula>
      <formula>"申請中"</formula>
    </cfRule>
  </conditionalFormatting>
  <conditionalFormatting sqref="Y14:Z73">
    <cfRule type="expression" dxfId="17" priority="2">
      <formula>Y14&lt;&gt;C14</formula>
    </cfRule>
  </conditionalFormatting>
  <conditionalFormatting sqref="AB14:AC73">
    <cfRule type="expression" dxfId="16" priority="1">
      <formula>AB14&lt;&gt;E14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GetJEFInfo">
                <anchor moveWithCells="1" sizeWithCells="1">
                  <from>
                    <xdr:col>23</xdr:col>
                    <xdr:colOff>381000</xdr:colOff>
                    <xdr:row>2</xdr:row>
                    <xdr:rowOff>213360</xdr:rowOff>
                  </from>
                  <to>
                    <xdr:col>25</xdr:col>
                    <xdr:colOff>601980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5">
    <tabColor rgb="FFFFC000"/>
  </sheetPr>
  <dimension ref="A1:AD201"/>
  <sheetViews>
    <sheetView workbookViewId="0">
      <selection activeCell="A14" sqref="A14:G27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24" width="9.6640625" style="20"/>
    <col min="29" max="16384" width="9.6640625" style="20"/>
  </cols>
  <sheetData>
    <row r="1" spans="1:30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Y1"/>
      <c r="Z1"/>
      <c r="AA1"/>
      <c r="AB1"/>
    </row>
    <row r="2" spans="1:30" s="25" customFormat="1" ht="18" customHeight="1">
      <c r="B2" s="26" t="s">
        <v>1</v>
      </c>
      <c r="C2" s="27"/>
      <c r="E2" s="26" t="s">
        <v>2</v>
      </c>
      <c r="F2" s="30"/>
      <c r="G2" s="175">
        <v>46277</v>
      </c>
      <c r="L2" s="28"/>
      <c r="N2" s="26" t="s">
        <v>3</v>
      </c>
      <c r="O2" s="29"/>
      <c r="P2" s="30"/>
      <c r="Q2" s="30"/>
      <c r="R2" s="30"/>
      <c r="S2" s="30"/>
      <c r="T2" s="30"/>
      <c r="Y2"/>
      <c r="Z2"/>
      <c r="AA2"/>
      <c r="AB2"/>
    </row>
    <row r="3" spans="1:30" s="25" customFormat="1" ht="18" customHeight="1">
      <c r="A3" s="31"/>
      <c r="B3" s="26" t="s">
        <v>4</v>
      </c>
      <c r="C3" s="71" t="s">
        <v>481</v>
      </c>
      <c r="D3" s="139"/>
      <c r="E3" s="139"/>
      <c r="F3" s="139"/>
      <c r="G3" s="139"/>
      <c r="Q3" s="26" t="s">
        <v>5</v>
      </c>
      <c r="R3" s="29"/>
      <c r="S3" s="30"/>
      <c r="T3" s="30"/>
      <c r="U3" s="32"/>
      <c r="Y3"/>
      <c r="Z3"/>
      <c r="AA3"/>
      <c r="AB3"/>
    </row>
    <row r="4" spans="1:30" s="25" customFormat="1" ht="18" customHeight="1">
      <c r="B4" s="26" t="s">
        <v>6</v>
      </c>
      <c r="C4" s="33">
        <v>17</v>
      </c>
      <c r="D4" s="25" t="s">
        <v>7</v>
      </c>
      <c r="E4" s="26" t="s">
        <v>8</v>
      </c>
      <c r="F4" s="276" t="s">
        <v>84</v>
      </c>
      <c r="G4" s="30"/>
      <c r="H4" s="30"/>
      <c r="J4" s="26" t="s">
        <v>9</v>
      </c>
      <c r="K4" s="34" t="s">
        <v>75</v>
      </c>
      <c r="N4" s="26" t="s">
        <v>10</v>
      </c>
      <c r="O4" s="35"/>
      <c r="Y4"/>
      <c r="Z4"/>
      <c r="AA4"/>
      <c r="AB4"/>
    </row>
    <row r="5" spans="1:30" s="25" customFormat="1" ht="18" customHeight="1">
      <c r="C5" s="26" t="s">
        <v>11</v>
      </c>
      <c r="D5" s="27">
        <v>6</v>
      </c>
      <c r="E5" s="26" t="s">
        <v>12</v>
      </c>
      <c r="F5" s="29" t="s">
        <v>486</v>
      </c>
      <c r="G5" s="26" t="s">
        <v>13</v>
      </c>
      <c r="H5" s="70"/>
      <c r="I5" s="36"/>
      <c r="J5" s="37" t="s">
        <v>14</v>
      </c>
      <c r="K5" s="38"/>
      <c r="L5" s="26" t="s">
        <v>15</v>
      </c>
      <c r="M5" s="39"/>
      <c r="O5" s="26" t="s">
        <v>16</v>
      </c>
      <c r="P5" s="39"/>
      <c r="R5" s="26" t="s">
        <v>17</v>
      </c>
      <c r="S5" s="39"/>
      <c r="Y5"/>
      <c r="Z5"/>
      <c r="AA5"/>
      <c r="AB5"/>
    </row>
    <row r="6" spans="1:30" s="25" customFormat="1" ht="35.1" customHeight="1">
      <c r="C6" s="40" t="s">
        <v>18</v>
      </c>
      <c r="D6" s="269" t="s">
        <v>40</v>
      </c>
      <c r="E6" s="26" t="s">
        <v>19</v>
      </c>
      <c r="F6" s="277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  <c r="Y6"/>
      <c r="Z6"/>
      <c r="AA6"/>
      <c r="AB6"/>
    </row>
    <row r="7" spans="1:30" s="25" customFormat="1" ht="15" customHeight="1">
      <c r="A7" s="26" t="s">
        <v>69</v>
      </c>
      <c r="B7" s="74" t="s">
        <v>0</v>
      </c>
      <c r="C7" s="77"/>
      <c r="D7" s="26" t="s">
        <v>70</v>
      </c>
      <c r="E7" s="75"/>
      <c r="F7" s="32"/>
      <c r="I7" s="26"/>
      <c r="J7" s="37"/>
      <c r="K7" s="32"/>
      <c r="L7" s="26"/>
      <c r="M7" s="32"/>
      <c r="N7" s="26"/>
      <c r="O7" s="42"/>
      <c r="Q7" s="26"/>
      <c r="R7" s="43"/>
      <c r="Y7"/>
      <c r="Z7"/>
      <c r="AA7"/>
      <c r="AB7"/>
    </row>
    <row r="8" spans="1:30" s="25" customFormat="1" ht="15" customHeight="1">
      <c r="A8" s="26" t="s">
        <v>71</v>
      </c>
      <c r="B8" s="74" t="s">
        <v>0</v>
      </c>
      <c r="C8" s="73"/>
      <c r="D8" s="26" t="s">
        <v>70</v>
      </c>
      <c r="E8" s="76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  <c r="Y8"/>
      <c r="Z8"/>
      <c r="AA8"/>
      <c r="AB8"/>
    </row>
    <row r="9" spans="1:30" s="25" customFormat="1" ht="15" customHeight="1">
      <c r="A9" s="26" t="s">
        <v>72</v>
      </c>
      <c r="B9" s="74" t="s">
        <v>0</v>
      </c>
      <c r="C9" s="73"/>
      <c r="D9" s="26" t="s">
        <v>70</v>
      </c>
      <c r="E9" s="76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  <c r="Y9"/>
      <c r="Z9"/>
      <c r="AA9"/>
      <c r="AB9"/>
    </row>
    <row r="10" spans="1:30" s="25" customFormat="1" ht="15" customHeight="1">
      <c r="A10" s="26" t="s">
        <v>73</v>
      </c>
      <c r="B10" s="74" t="s">
        <v>0</v>
      </c>
      <c r="C10" s="73"/>
      <c r="D10" s="26" t="s">
        <v>70</v>
      </c>
      <c r="E10" s="76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  <c r="Y10"/>
      <c r="Z10"/>
      <c r="AA10"/>
      <c r="AB10"/>
    </row>
    <row r="11" spans="1:30" s="25" customFormat="1" ht="15" customHeight="1">
      <c r="A11" s="26" t="s">
        <v>74</v>
      </c>
      <c r="B11" s="74" t="s">
        <v>0</v>
      </c>
      <c r="C11" s="73"/>
      <c r="D11" s="26" t="s">
        <v>70</v>
      </c>
      <c r="E11" s="76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  <c r="V11" s="25">
        <f>COUNTA(C14:C73)</f>
        <v>14</v>
      </c>
      <c r="W11" s="25">
        <f>COUNTA(E14:E73)</f>
        <v>14</v>
      </c>
      <c r="Y11"/>
      <c r="Z11"/>
      <c r="AA11"/>
      <c r="AB11"/>
    </row>
    <row r="12" spans="1:30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51</v>
      </c>
      <c r="W12" s="15" t="s">
        <v>52</v>
      </c>
    </row>
    <row r="13" spans="1:30" ht="35.1" customHeight="1">
      <c r="A13" s="52" t="s">
        <v>24</v>
      </c>
      <c r="B13" s="52" t="s">
        <v>25</v>
      </c>
      <c r="C13" s="53" t="s">
        <v>26</v>
      </c>
      <c r="D13" s="270" t="s">
        <v>0</v>
      </c>
      <c r="E13" s="53" t="s">
        <v>27</v>
      </c>
      <c r="F13" s="270" t="s">
        <v>28</v>
      </c>
      <c r="G13" s="53" t="s">
        <v>29</v>
      </c>
      <c r="H13" s="54" t="s">
        <v>30</v>
      </c>
      <c r="I13" s="53" t="s">
        <v>31</v>
      </c>
      <c r="J13" s="54" t="s">
        <v>32</v>
      </c>
      <c r="K13" s="54" t="s">
        <v>33</v>
      </c>
      <c r="L13" s="54" t="s">
        <v>34</v>
      </c>
      <c r="M13" s="53" t="s">
        <v>35</v>
      </c>
      <c r="N13" s="55" t="s">
        <v>30</v>
      </c>
      <c r="O13" s="56" t="s">
        <v>31</v>
      </c>
      <c r="P13" s="55" t="s">
        <v>32</v>
      </c>
      <c r="Q13" s="55" t="s">
        <v>33</v>
      </c>
      <c r="R13" s="57" t="s">
        <v>36</v>
      </c>
      <c r="S13" s="58" t="s">
        <v>37</v>
      </c>
      <c r="T13" s="59" t="s">
        <v>38</v>
      </c>
      <c r="V13" s="15" t="s">
        <v>57</v>
      </c>
      <c r="W13" s="15" t="s">
        <v>68</v>
      </c>
    </row>
    <row r="14" spans="1:30" s="67" customFormat="1" ht="18" customHeight="1">
      <c r="A14" s="60"/>
      <c r="B14" s="61">
        <v>1</v>
      </c>
      <c r="C14" s="103" t="s">
        <v>261</v>
      </c>
      <c r="D14" s="273">
        <v>31292</v>
      </c>
      <c r="E14" s="339" t="s">
        <v>104</v>
      </c>
      <c r="F14" s="342">
        <v>60391</v>
      </c>
      <c r="G14" s="344" t="s">
        <v>564</v>
      </c>
      <c r="H14" s="22"/>
      <c r="I14" s="22"/>
      <c r="J14" s="62" t="str">
        <f t="shared" ref="J14:J45" si="0">IF(H14="","",H14+I14)</f>
        <v/>
      </c>
      <c r="K14" s="63"/>
      <c r="L14" s="63"/>
      <c r="M14" s="64" t="str">
        <f t="shared" ref="M14:M45" si="1">IF(L14="","",K14+L14)</f>
        <v/>
      </c>
      <c r="N14" s="22"/>
      <c r="O14" s="22"/>
      <c r="P14" s="62" t="str">
        <f t="shared" ref="P14:P45" si="2">IF(N14="","",N14+O14)</f>
        <v/>
      </c>
      <c r="Q14" s="63"/>
      <c r="R14" s="63"/>
      <c r="S14" s="64" t="str">
        <f t="shared" ref="S14:S45" si="3">IF(R14="","",Q14+R14)</f>
        <v/>
      </c>
      <c r="T14" s="65"/>
      <c r="U14" s="66"/>
      <c r="V14" s="18" t="e">
        <f>IF($C14="","",VLOOKUP($C14,#REF!,4,FALSE))</f>
        <v>#REF!</v>
      </c>
      <c r="W14" s="69" t="e">
        <f>IF($E14="","",VLOOKUP($E14,#REF!,4,FALSE))</f>
        <v>#REF!</v>
      </c>
      <c r="Y14" t="s">
        <v>407</v>
      </c>
      <c r="Z14">
        <v>26066</v>
      </c>
      <c r="AA14" t="s">
        <v>406</v>
      </c>
      <c r="AB14" t="s">
        <v>303</v>
      </c>
      <c r="AC14">
        <v>59608</v>
      </c>
      <c r="AD14" s="67" t="s">
        <v>421</v>
      </c>
    </row>
    <row r="15" spans="1:30" s="67" customFormat="1" ht="18" customHeight="1">
      <c r="A15" s="60"/>
      <c r="B15" s="61">
        <v>2</v>
      </c>
      <c r="C15" s="103" t="s">
        <v>362</v>
      </c>
      <c r="D15" s="300">
        <v>12188</v>
      </c>
      <c r="E15" s="341" t="s">
        <v>305</v>
      </c>
      <c r="F15" s="307">
        <v>60249</v>
      </c>
      <c r="G15" s="168" t="s">
        <v>602</v>
      </c>
      <c r="H15" s="22"/>
      <c r="I15" s="22"/>
      <c r="J15" s="62" t="str">
        <f t="shared" si="0"/>
        <v/>
      </c>
      <c r="K15" s="63"/>
      <c r="L15" s="63"/>
      <c r="M15" s="64" t="str">
        <f t="shared" si="1"/>
        <v/>
      </c>
      <c r="N15" s="22"/>
      <c r="O15" s="22"/>
      <c r="P15" s="62" t="str">
        <f t="shared" si="2"/>
        <v/>
      </c>
      <c r="Q15" s="63"/>
      <c r="R15" s="63"/>
      <c r="S15" s="64" t="str">
        <f t="shared" si="3"/>
        <v/>
      </c>
      <c r="T15" s="65"/>
      <c r="U15" s="66"/>
      <c r="V15" s="18" t="e">
        <f>IF($C15="","",VLOOKUP($C15,#REF!,4,FALSE))</f>
        <v>#REF!</v>
      </c>
      <c r="W15" s="69" t="e">
        <f>IF($E15="","",VLOOKUP($E15,#REF!,4,FALSE))</f>
        <v>#REF!</v>
      </c>
      <c r="Y15" t="s">
        <v>275</v>
      </c>
      <c r="Z15">
        <v>29554</v>
      </c>
      <c r="AA15" t="s">
        <v>232</v>
      </c>
      <c r="AB15" t="s">
        <v>320</v>
      </c>
      <c r="AC15">
        <v>61496</v>
      </c>
      <c r="AD15" s="67" t="s">
        <v>422</v>
      </c>
    </row>
    <row r="16" spans="1:30" s="67" customFormat="1" ht="18" customHeight="1">
      <c r="A16" s="60"/>
      <c r="B16" s="61">
        <v>3</v>
      </c>
      <c r="C16" s="171" t="s">
        <v>720</v>
      </c>
      <c r="D16" s="291">
        <v>32095</v>
      </c>
      <c r="E16" s="135" t="s">
        <v>610</v>
      </c>
      <c r="F16" s="294">
        <v>62036</v>
      </c>
      <c r="G16" s="143" t="s">
        <v>721</v>
      </c>
      <c r="H16" s="22"/>
      <c r="I16" s="22"/>
      <c r="J16" s="62" t="str">
        <f t="shared" si="0"/>
        <v/>
      </c>
      <c r="K16" s="63"/>
      <c r="L16" s="63"/>
      <c r="M16" s="64" t="str">
        <f t="shared" si="1"/>
        <v/>
      </c>
      <c r="N16" s="22"/>
      <c r="O16" s="22"/>
      <c r="P16" s="62" t="str">
        <f t="shared" si="2"/>
        <v/>
      </c>
      <c r="Q16" s="63"/>
      <c r="R16" s="63"/>
      <c r="S16" s="64" t="str">
        <f t="shared" si="3"/>
        <v/>
      </c>
      <c r="T16" s="65"/>
      <c r="U16" s="66"/>
      <c r="V16" s="18" t="e">
        <f>IF($C16="","",VLOOKUP($C16,#REF!,4,FALSE))</f>
        <v>#REF!</v>
      </c>
      <c r="W16" s="69" t="e">
        <f>IF($E16="","",VLOOKUP($E16,#REF!,4,FALSE))</f>
        <v>#REF!</v>
      </c>
      <c r="Y16" t="s">
        <v>401</v>
      </c>
      <c r="Z16">
        <v>25741</v>
      </c>
      <c r="AA16" t="s">
        <v>400</v>
      </c>
      <c r="AB16"/>
      <c r="AC16"/>
    </row>
    <row r="17" spans="1:30" s="67" customFormat="1" ht="18" customHeight="1">
      <c r="A17" s="60"/>
      <c r="B17" s="61">
        <v>4</v>
      </c>
      <c r="C17" s="173" t="s">
        <v>410</v>
      </c>
      <c r="D17" s="299">
        <v>27382</v>
      </c>
      <c r="E17" s="184" t="s">
        <v>282</v>
      </c>
      <c r="F17" s="305">
        <v>61157</v>
      </c>
      <c r="G17" s="173" t="s">
        <v>585</v>
      </c>
      <c r="H17" s="22"/>
      <c r="I17" s="22"/>
      <c r="J17" s="62" t="str">
        <f t="shared" si="0"/>
        <v/>
      </c>
      <c r="K17" s="63"/>
      <c r="L17" s="63"/>
      <c r="M17" s="64" t="str">
        <f t="shared" si="1"/>
        <v/>
      </c>
      <c r="N17" s="22"/>
      <c r="O17" s="22"/>
      <c r="P17" s="62" t="str">
        <f t="shared" si="2"/>
        <v/>
      </c>
      <c r="Q17" s="63"/>
      <c r="R17" s="63"/>
      <c r="S17" s="64" t="str">
        <f t="shared" si="3"/>
        <v/>
      </c>
      <c r="T17" s="65"/>
      <c r="U17" s="66"/>
      <c r="V17" s="18" t="e">
        <f>IF($C17="","",VLOOKUP($C17,#REF!,4,FALSE))</f>
        <v>#REF!</v>
      </c>
      <c r="W17" s="69" t="e">
        <f>IF($E17="","",VLOOKUP($E17,#REF!,4,FALSE))</f>
        <v>#REF!</v>
      </c>
      <c r="Y17" t="s">
        <v>264</v>
      </c>
      <c r="Z17">
        <v>18817</v>
      </c>
      <c r="AA17" t="s">
        <v>399</v>
      </c>
      <c r="AB17"/>
      <c r="AC17"/>
    </row>
    <row r="18" spans="1:30" s="67" customFormat="1" ht="18" customHeight="1">
      <c r="A18" s="60"/>
      <c r="B18" s="61">
        <v>5</v>
      </c>
      <c r="C18" s="143" t="s">
        <v>722</v>
      </c>
      <c r="D18" s="291">
        <v>14221</v>
      </c>
      <c r="E18" s="340" t="s">
        <v>591</v>
      </c>
      <c r="F18" s="343">
        <v>58330</v>
      </c>
      <c r="G18" s="154" t="s">
        <v>590</v>
      </c>
      <c r="H18" s="22"/>
      <c r="I18" s="22"/>
      <c r="J18" s="62" t="str">
        <f t="shared" si="0"/>
        <v/>
      </c>
      <c r="K18" s="63"/>
      <c r="L18" s="63"/>
      <c r="M18" s="64" t="str">
        <f t="shared" si="1"/>
        <v/>
      </c>
      <c r="N18" s="22"/>
      <c r="O18" s="22"/>
      <c r="P18" s="62" t="str">
        <f t="shared" si="2"/>
        <v/>
      </c>
      <c r="Q18" s="63"/>
      <c r="R18" s="63"/>
      <c r="S18" s="64" t="str">
        <f t="shared" si="3"/>
        <v/>
      </c>
      <c r="T18" s="65"/>
      <c r="U18" s="66"/>
      <c r="V18" s="18" t="e">
        <f>IF($C18="","",VLOOKUP($C18,#REF!,4,FALSE))</f>
        <v>#REF!</v>
      </c>
      <c r="W18" s="69" t="e">
        <f>IF($E18="","",VLOOKUP($E18,#REF!,4,FALSE))</f>
        <v>#REF!</v>
      </c>
      <c r="Y18" t="s">
        <v>245</v>
      </c>
      <c r="Z18">
        <v>11802</v>
      </c>
      <c r="AA18" t="s">
        <v>168</v>
      </c>
      <c r="AB18" t="s">
        <v>311</v>
      </c>
      <c r="AC18">
        <v>61250</v>
      </c>
      <c r="AD18" s="67" t="s">
        <v>419</v>
      </c>
    </row>
    <row r="19" spans="1:30" s="67" customFormat="1" ht="18" customHeight="1">
      <c r="A19" s="60"/>
      <c r="B19" s="61">
        <v>6</v>
      </c>
      <c r="C19" s="133" t="s">
        <v>561</v>
      </c>
      <c r="D19" s="283">
        <v>32313</v>
      </c>
      <c r="E19" s="172" t="s">
        <v>562</v>
      </c>
      <c r="F19" s="295">
        <v>58633</v>
      </c>
      <c r="G19" s="168" t="s">
        <v>564</v>
      </c>
      <c r="H19" s="22"/>
      <c r="I19" s="22"/>
      <c r="J19" s="62" t="str">
        <f t="shared" si="0"/>
        <v/>
      </c>
      <c r="K19" s="63"/>
      <c r="L19" s="63"/>
      <c r="M19" s="64" t="str">
        <f t="shared" si="1"/>
        <v/>
      </c>
      <c r="N19" s="22"/>
      <c r="O19" s="22"/>
      <c r="P19" s="62" t="str">
        <f t="shared" si="2"/>
        <v/>
      </c>
      <c r="Q19" s="63"/>
      <c r="R19" s="63"/>
      <c r="S19" s="64" t="str">
        <f t="shared" si="3"/>
        <v/>
      </c>
      <c r="T19" s="65"/>
      <c r="U19" s="66"/>
      <c r="V19" s="18" t="e">
        <f>IF($C19="","",VLOOKUP($C19,#REF!,4,FALSE))</f>
        <v>#REF!</v>
      </c>
      <c r="W19" s="69" t="e">
        <f>IF($E19="","",VLOOKUP($E19,#REF!,4,FALSE))</f>
        <v>#REF!</v>
      </c>
      <c r="Y19" t="s">
        <v>148</v>
      </c>
      <c r="Z19">
        <v>10562</v>
      </c>
      <c r="AA19" t="s">
        <v>216</v>
      </c>
      <c r="AB19" t="s">
        <v>330</v>
      </c>
      <c r="AC19">
        <v>61316</v>
      </c>
      <c r="AD19" s="67" t="s">
        <v>423</v>
      </c>
    </row>
    <row r="20" spans="1:30" s="67" customFormat="1" ht="18" customHeight="1">
      <c r="A20" s="60"/>
      <c r="B20" s="61">
        <v>7</v>
      </c>
      <c r="C20" s="133" t="s">
        <v>624</v>
      </c>
      <c r="D20" s="283">
        <v>11693</v>
      </c>
      <c r="E20" s="172" t="s">
        <v>126</v>
      </c>
      <c r="F20" s="295">
        <v>58584</v>
      </c>
      <c r="G20" s="154" t="s">
        <v>542</v>
      </c>
      <c r="H20" s="22"/>
      <c r="I20" s="22"/>
      <c r="J20" s="62" t="str">
        <f t="shared" si="0"/>
        <v/>
      </c>
      <c r="K20" s="63"/>
      <c r="L20" s="63"/>
      <c r="M20" s="64" t="str">
        <f t="shared" si="1"/>
        <v/>
      </c>
      <c r="N20" s="22"/>
      <c r="O20" s="22"/>
      <c r="P20" s="62" t="str">
        <f t="shared" si="2"/>
        <v/>
      </c>
      <c r="Q20" s="63"/>
      <c r="R20" s="63"/>
      <c r="S20" s="64" t="str">
        <f t="shared" si="3"/>
        <v/>
      </c>
      <c r="T20" s="65"/>
      <c r="U20" s="66"/>
      <c r="V20" s="18" t="e">
        <f>IF($C20="","",VLOOKUP($C20,#REF!,4,FALSE))</f>
        <v>#REF!</v>
      </c>
      <c r="W20" s="69" t="e">
        <f>IF($E20="","",VLOOKUP($E20,#REF!,4,FALSE))</f>
        <v>#REF!</v>
      </c>
      <c r="Y20" t="s">
        <v>403</v>
      </c>
      <c r="Z20">
        <v>28809</v>
      </c>
      <c r="AA20" t="s">
        <v>402</v>
      </c>
      <c r="AB20" t="s">
        <v>281</v>
      </c>
      <c r="AC20">
        <v>59063</v>
      </c>
      <c r="AD20" s="67" t="s">
        <v>420</v>
      </c>
    </row>
    <row r="21" spans="1:30" s="67" customFormat="1" ht="18" customHeight="1">
      <c r="A21" s="60"/>
      <c r="B21" s="61">
        <v>8</v>
      </c>
      <c r="C21" s="103" t="s">
        <v>403</v>
      </c>
      <c r="D21" s="300">
        <v>28809</v>
      </c>
      <c r="E21" s="136" t="s">
        <v>281</v>
      </c>
      <c r="F21" s="306">
        <v>59063</v>
      </c>
      <c r="G21" s="104" t="s">
        <v>537</v>
      </c>
      <c r="H21" s="22"/>
      <c r="I21" s="22"/>
      <c r="J21" s="62" t="str">
        <f t="shared" si="0"/>
        <v/>
      </c>
      <c r="K21" s="63"/>
      <c r="L21" s="63"/>
      <c r="M21" s="64" t="str">
        <f t="shared" si="1"/>
        <v/>
      </c>
      <c r="N21" s="22"/>
      <c r="O21" s="22"/>
      <c r="P21" s="62" t="str">
        <f t="shared" si="2"/>
        <v/>
      </c>
      <c r="Q21" s="63"/>
      <c r="R21" s="63"/>
      <c r="S21" s="64" t="str">
        <f t="shared" si="3"/>
        <v/>
      </c>
      <c r="T21" s="65"/>
      <c r="U21" s="66"/>
      <c r="V21" s="18" t="e">
        <f>IF($C21="","",VLOOKUP($C21,#REF!,4,FALSE))</f>
        <v>#REF!</v>
      </c>
      <c r="W21" s="69" t="e">
        <f>IF($E21="","",VLOOKUP($E21,#REF!,4,FALSE))</f>
        <v>#REF!</v>
      </c>
      <c r="Y21" t="s">
        <v>405</v>
      </c>
      <c r="Z21">
        <v>27498</v>
      </c>
      <c r="AA21" t="s">
        <v>404</v>
      </c>
      <c r="AB21" t="s">
        <v>235</v>
      </c>
      <c r="AC21">
        <v>60517</v>
      </c>
      <c r="AD21" s="67" t="s">
        <v>268</v>
      </c>
    </row>
    <row r="22" spans="1:30" s="67" customFormat="1" ht="18" customHeight="1">
      <c r="A22" s="60"/>
      <c r="B22" s="61">
        <v>9</v>
      </c>
      <c r="C22" s="133" t="s">
        <v>236</v>
      </c>
      <c r="D22" s="283">
        <v>11976</v>
      </c>
      <c r="E22" s="133" t="s">
        <v>287</v>
      </c>
      <c r="F22" s="295">
        <v>61272</v>
      </c>
      <c r="G22" s="154" t="s">
        <v>604</v>
      </c>
      <c r="H22" s="22"/>
      <c r="I22" s="22"/>
      <c r="J22" s="62" t="str">
        <f t="shared" si="0"/>
        <v/>
      </c>
      <c r="K22" s="63"/>
      <c r="L22" s="63"/>
      <c r="M22" s="64" t="str">
        <f t="shared" si="1"/>
        <v/>
      </c>
      <c r="N22" s="22"/>
      <c r="O22" s="22"/>
      <c r="P22" s="62" t="str">
        <f t="shared" si="2"/>
        <v/>
      </c>
      <c r="Q22" s="63"/>
      <c r="R22" s="63"/>
      <c r="S22" s="64" t="str">
        <f t="shared" si="3"/>
        <v/>
      </c>
      <c r="T22" s="65"/>
      <c r="U22" s="66"/>
      <c r="V22" s="18" t="e">
        <f>IF($C22="","",VLOOKUP($C22,#REF!,4,FALSE))</f>
        <v>#REF!</v>
      </c>
      <c r="W22" s="69" t="e">
        <f>IF($E22="","",VLOOKUP($E22,#REF!,4,FALSE))</f>
        <v>#REF!</v>
      </c>
      <c r="Y22" t="s">
        <v>265</v>
      </c>
      <c r="Z22">
        <v>27853</v>
      </c>
      <c r="AA22" t="s">
        <v>207</v>
      </c>
      <c r="AB22" t="s">
        <v>129</v>
      </c>
      <c r="AC22">
        <v>58118</v>
      </c>
      <c r="AD22" s="67" t="s">
        <v>226</v>
      </c>
    </row>
    <row r="23" spans="1:30" s="67" customFormat="1" ht="18" customHeight="1">
      <c r="A23" s="60"/>
      <c r="B23" s="61">
        <v>10</v>
      </c>
      <c r="C23" s="171" t="s">
        <v>264</v>
      </c>
      <c r="D23" s="291">
        <v>18817</v>
      </c>
      <c r="E23" s="189" t="s">
        <v>571</v>
      </c>
      <c r="F23" s="307">
        <v>61767</v>
      </c>
      <c r="G23" s="169" t="s">
        <v>723</v>
      </c>
      <c r="H23" s="22"/>
      <c r="I23" s="22"/>
      <c r="J23" s="62" t="str">
        <f t="shared" si="0"/>
        <v/>
      </c>
      <c r="K23" s="63"/>
      <c r="L23" s="63"/>
      <c r="M23" s="64" t="str">
        <f t="shared" si="1"/>
        <v/>
      </c>
      <c r="N23" s="22"/>
      <c r="O23" s="22"/>
      <c r="P23" s="62" t="str">
        <f t="shared" si="2"/>
        <v/>
      </c>
      <c r="Q23" s="63"/>
      <c r="R23" s="63"/>
      <c r="S23" s="64" t="str">
        <f t="shared" si="3"/>
        <v/>
      </c>
      <c r="T23" s="65"/>
      <c r="U23" s="66"/>
      <c r="V23" s="18" t="e">
        <f>IF($C23="","",VLOOKUP($C23,#REF!,4,FALSE))</f>
        <v>#REF!</v>
      </c>
      <c r="W23" s="69" t="e">
        <f>IF($E23="","",VLOOKUP($E23,#REF!,4,FALSE))</f>
        <v>#REF!</v>
      </c>
      <c r="Y23" t="s">
        <v>398</v>
      </c>
      <c r="Z23">
        <v>26124</v>
      </c>
      <c r="AA23" t="s">
        <v>397</v>
      </c>
      <c r="AB23"/>
      <c r="AC23"/>
    </row>
    <row r="24" spans="1:30" s="67" customFormat="1" ht="18" customHeight="1">
      <c r="A24" s="60"/>
      <c r="B24" s="61">
        <v>11</v>
      </c>
      <c r="C24" s="133" t="s">
        <v>724</v>
      </c>
      <c r="D24" s="283">
        <v>31333</v>
      </c>
      <c r="E24" s="133" t="s">
        <v>586</v>
      </c>
      <c r="F24" s="295">
        <v>60895</v>
      </c>
      <c r="G24" s="154" t="s">
        <v>585</v>
      </c>
      <c r="H24" s="22"/>
      <c r="I24" s="22"/>
      <c r="J24" s="62" t="str">
        <f t="shared" si="0"/>
        <v/>
      </c>
      <c r="K24" s="63"/>
      <c r="L24" s="63"/>
      <c r="M24" s="64" t="str">
        <f t="shared" si="1"/>
        <v/>
      </c>
      <c r="N24" s="22"/>
      <c r="O24" s="22"/>
      <c r="P24" s="62" t="str">
        <f t="shared" si="2"/>
        <v/>
      </c>
      <c r="Q24" s="63"/>
      <c r="R24" s="63"/>
      <c r="S24" s="64" t="str">
        <f t="shared" si="3"/>
        <v/>
      </c>
      <c r="T24" s="65"/>
      <c r="U24" s="66"/>
      <c r="V24" s="18" t="e">
        <f>IF($C24="","",VLOOKUP($C24,#REF!,4,FALSE))</f>
        <v>#REF!</v>
      </c>
      <c r="W24" s="69" t="e">
        <f>IF($E24="","",VLOOKUP($E24,#REF!,4,FALSE))</f>
        <v>#REF!</v>
      </c>
      <c r="Y24" t="s">
        <v>270</v>
      </c>
      <c r="Z24">
        <v>28108</v>
      </c>
      <c r="AA24" t="s">
        <v>217</v>
      </c>
      <c r="AB24" t="s">
        <v>305</v>
      </c>
      <c r="AC24">
        <v>60249</v>
      </c>
      <c r="AD24" s="67" t="s">
        <v>424</v>
      </c>
    </row>
    <row r="25" spans="1:30" s="67" customFormat="1" ht="18" customHeight="1">
      <c r="A25" s="60"/>
      <c r="B25" s="61">
        <v>12</v>
      </c>
      <c r="C25" s="137" t="s">
        <v>725</v>
      </c>
      <c r="D25" s="271">
        <v>32390</v>
      </c>
      <c r="E25" s="137" t="s">
        <v>569</v>
      </c>
      <c r="F25" s="279">
        <v>59574</v>
      </c>
      <c r="G25" s="138" t="s">
        <v>714</v>
      </c>
      <c r="H25" s="22"/>
      <c r="I25" s="22"/>
      <c r="J25" s="62" t="str">
        <f t="shared" si="0"/>
        <v/>
      </c>
      <c r="K25" s="63"/>
      <c r="L25" s="63"/>
      <c r="M25" s="64" t="str">
        <f t="shared" si="1"/>
        <v/>
      </c>
      <c r="N25" s="22"/>
      <c r="O25" s="22"/>
      <c r="P25" s="62" t="str">
        <f t="shared" si="2"/>
        <v/>
      </c>
      <c r="Q25" s="63"/>
      <c r="R25" s="63"/>
      <c r="S25" s="64" t="str">
        <f t="shared" si="3"/>
        <v/>
      </c>
      <c r="T25" s="65"/>
      <c r="U25" s="66"/>
      <c r="V25" s="18" t="e">
        <f>IF($C25="","",VLOOKUP($C25,#REF!,4,FALSE))</f>
        <v>#REF!</v>
      </c>
      <c r="W25" s="69" t="e">
        <f>IF($E25="","",VLOOKUP($E25,#REF!,4,FALSE))</f>
        <v>#REF!</v>
      </c>
      <c r="Y25" t="s">
        <v>248</v>
      </c>
      <c r="Z25">
        <v>12783</v>
      </c>
      <c r="AA25" t="s">
        <v>171</v>
      </c>
      <c r="AB25" t="s">
        <v>121</v>
      </c>
      <c r="AC25">
        <v>60501</v>
      </c>
      <c r="AD25" s="67" t="s">
        <v>176</v>
      </c>
    </row>
    <row r="26" spans="1:30" s="67" customFormat="1" ht="18" customHeight="1">
      <c r="A26" s="60"/>
      <c r="B26" s="61">
        <v>13</v>
      </c>
      <c r="C26" s="197" t="s">
        <v>726</v>
      </c>
      <c r="D26" s="301">
        <v>32403</v>
      </c>
      <c r="E26" s="199" t="s">
        <v>538</v>
      </c>
      <c r="F26" s="308">
        <v>58733</v>
      </c>
      <c r="G26" s="202" t="s">
        <v>537</v>
      </c>
      <c r="H26" s="22"/>
      <c r="I26" s="22"/>
      <c r="J26" s="62" t="str">
        <f t="shared" si="0"/>
        <v/>
      </c>
      <c r="K26" s="63"/>
      <c r="L26" s="63"/>
      <c r="M26" s="64" t="str">
        <f t="shared" si="1"/>
        <v/>
      </c>
      <c r="N26" s="22"/>
      <c r="O26" s="22"/>
      <c r="P26" s="62" t="str">
        <f t="shared" si="2"/>
        <v/>
      </c>
      <c r="Q26" s="63"/>
      <c r="R26" s="63"/>
      <c r="S26" s="64" t="str">
        <f t="shared" si="3"/>
        <v/>
      </c>
      <c r="T26" s="65"/>
      <c r="U26" s="66"/>
      <c r="V26" s="18" t="e">
        <f>IF($C26="","",VLOOKUP($C26,#REF!,4,FALSE))</f>
        <v>#REF!</v>
      </c>
      <c r="W26" s="69" t="e">
        <f>IF($E26="","",VLOOKUP($E26,#REF!,4,FALSE))</f>
        <v>#REF!</v>
      </c>
      <c r="Y26" t="s">
        <v>307</v>
      </c>
      <c r="Z26">
        <v>28544</v>
      </c>
      <c r="AA26" t="s">
        <v>408</v>
      </c>
      <c r="AB26" t="s">
        <v>308</v>
      </c>
      <c r="AC26">
        <v>57109</v>
      </c>
      <c r="AD26" s="67" t="s">
        <v>425</v>
      </c>
    </row>
    <row r="27" spans="1:30" s="67" customFormat="1" ht="18" customHeight="1">
      <c r="A27" s="60"/>
      <c r="B27" s="61">
        <v>14</v>
      </c>
      <c r="C27" s="137" t="s">
        <v>134</v>
      </c>
      <c r="D27" s="271">
        <v>13141</v>
      </c>
      <c r="E27" s="137" t="s">
        <v>235</v>
      </c>
      <c r="F27" s="279">
        <v>60517</v>
      </c>
      <c r="G27" s="144" t="s">
        <v>607</v>
      </c>
      <c r="H27" s="22"/>
      <c r="I27" s="22"/>
      <c r="J27" s="62" t="str">
        <f t="shared" si="0"/>
        <v/>
      </c>
      <c r="K27" s="63"/>
      <c r="L27" s="63"/>
      <c r="M27" s="64" t="str">
        <f t="shared" si="1"/>
        <v/>
      </c>
      <c r="N27" s="22"/>
      <c r="O27" s="22"/>
      <c r="P27" s="62" t="str">
        <f t="shared" si="2"/>
        <v/>
      </c>
      <c r="Q27" s="63"/>
      <c r="R27" s="63"/>
      <c r="S27" s="64" t="str">
        <f t="shared" si="3"/>
        <v/>
      </c>
      <c r="T27" s="65"/>
      <c r="U27" s="66"/>
      <c r="V27" s="18" t="e">
        <f>IF($C27="","",VLOOKUP($C27,#REF!,4,FALSE))</f>
        <v>#REF!</v>
      </c>
      <c r="W27" s="69" t="e">
        <f>IF($E27="","",VLOOKUP($E27,#REF!,4,FALSE))</f>
        <v>#REF!</v>
      </c>
      <c r="Y27" t="s">
        <v>261</v>
      </c>
      <c r="Z27">
        <v>31292</v>
      </c>
      <c r="AA27" t="s">
        <v>192</v>
      </c>
      <c r="AB27" t="s">
        <v>104</v>
      </c>
      <c r="AC27">
        <v>60391</v>
      </c>
      <c r="AD27" s="67" t="s">
        <v>200</v>
      </c>
    </row>
    <row r="28" spans="1:30" s="67" customFormat="1" ht="18" customHeight="1">
      <c r="A28" s="60"/>
      <c r="B28" s="61">
        <v>15</v>
      </c>
      <c r="C28" s="183"/>
      <c r="D28" s="302"/>
      <c r="E28" s="198"/>
      <c r="F28" s="309"/>
      <c r="G28" s="201"/>
      <c r="H28" s="22"/>
      <c r="I28" s="22"/>
      <c r="J28" s="62" t="str">
        <f t="shared" si="0"/>
        <v/>
      </c>
      <c r="K28" s="63"/>
      <c r="L28" s="63"/>
      <c r="M28" s="64" t="str">
        <f t="shared" si="1"/>
        <v/>
      </c>
      <c r="N28" s="22"/>
      <c r="O28" s="22"/>
      <c r="P28" s="62" t="str">
        <f t="shared" si="2"/>
        <v/>
      </c>
      <c r="Q28" s="63"/>
      <c r="R28" s="63"/>
      <c r="S28" s="64" t="str">
        <f t="shared" si="3"/>
        <v/>
      </c>
      <c r="T28" s="65"/>
      <c r="U28" s="66"/>
      <c r="V28" s="18" t="str">
        <f>IF($C28="","",VLOOKUP($C28,#REF!,4,FALSE))</f>
        <v/>
      </c>
      <c r="W28" s="69" t="str">
        <f>IF($E28="","",VLOOKUP($E28,#REF!,4,FALSE))</f>
        <v/>
      </c>
      <c r="Y28" t="s">
        <v>410</v>
      </c>
      <c r="Z28">
        <v>27382</v>
      </c>
      <c r="AA28" t="s">
        <v>409</v>
      </c>
      <c r="AB28" t="s">
        <v>282</v>
      </c>
      <c r="AC28">
        <v>61157</v>
      </c>
      <c r="AD28" s="67" t="s">
        <v>426</v>
      </c>
    </row>
    <row r="29" spans="1:30" s="67" customFormat="1" ht="18" customHeight="1">
      <c r="A29" s="60"/>
      <c r="B29" s="61">
        <v>16</v>
      </c>
      <c r="C29" s="133"/>
      <c r="D29" s="271"/>
      <c r="E29" s="205"/>
      <c r="F29" s="271"/>
      <c r="G29" s="200"/>
      <c r="H29" s="22"/>
      <c r="I29" s="22"/>
      <c r="J29" s="62" t="str">
        <f t="shared" si="0"/>
        <v/>
      </c>
      <c r="K29" s="63"/>
      <c r="L29" s="63"/>
      <c r="M29" s="64" t="str">
        <f t="shared" si="1"/>
        <v/>
      </c>
      <c r="N29" s="22"/>
      <c r="O29" s="22"/>
      <c r="P29" s="62" t="str">
        <f t="shared" si="2"/>
        <v/>
      </c>
      <c r="Q29" s="63"/>
      <c r="R29" s="63"/>
      <c r="S29" s="64" t="str">
        <f t="shared" si="3"/>
        <v/>
      </c>
      <c r="T29" s="65"/>
      <c r="U29" s="66"/>
      <c r="V29" s="18" t="str">
        <f>IF($C29="","",VLOOKUP($C29,#REF!,4,FALSE))</f>
        <v/>
      </c>
      <c r="W29" s="69" t="str">
        <f>IF($E29="","",VLOOKUP($E29,#REF!,4,FALSE))</f>
        <v/>
      </c>
      <c r="Y29" t="s">
        <v>412</v>
      </c>
      <c r="Z29">
        <v>30696</v>
      </c>
      <c r="AA29" t="s">
        <v>411</v>
      </c>
      <c r="AB29" t="s">
        <v>326</v>
      </c>
      <c r="AC29">
        <v>58107</v>
      </c>
      <c r="AD29" s="67" t="s">
        <v>427</v>
      </c>
    </row>
    <row r="30" spans="1:30" s="67" customFormat="1" ht="18" customHeight="1">
      <c r="A30" s="60"/>
      <c r="B30" s="61">
        <v>17</v>
      </c>
      <c r="C30" s="141"/>
      <c r="D30" s="271"/>
      <c r="E30" s="145"/>
      <c r="F30" s="279"/>
      <c r="G30" s="141"/>
      <c r="H30" s="22"/>
      <c r="I30" s="22"/>
      <c r="J30" s="62" t="str">
        <f t="shared" si="0"/>
        <v/>
      </c>
      <c r="K30" s="63"/>
      <c r="L30" s="63"/>
      <c r="M30" s="64" t="str">
        <f t="shared" si="1"/>
        <v/>
      </c>
      <c r="N30" s="22"/>
      <c r="O30" s="22"/>
      <c r="P30" s="62" t="str">
        <f t="shared" si="2"/>
        <v/>
      </c>
      <c r="Q30" s="63"/>
      <c r="R30" s="63"/>
      <c r="S30" s="64" t="str">
        <f t="shared" si="3"/>
        <v/>
      </c>
      <c r="T30" s="65"/>
      <c r="U30" s="66"/>
      <c r="V30" s="18" t="str">
        <f>IF($C30="","",VLOOKUP($C30,#REF!,4,FALSE))</f>
        <v/>
      </c>
      <c r="W30" s="69" t="str">
        <f>IF($E30="","",VLOOKUP($E30,#REF!,4,FALSE))</f>
        <v/>
      </c>
      <c r="Y30" t="s">
        <v>271</v>
      </c>
      <c r="Z30">
        <v>28178</v>
      </c>
      <c r="AA30" t="s">
        <v>218</v>
      </c>
      <c r="AB30" t="s">
        <v>316</v>
      </c>
      <c r="AC30">
        <v>60713</v>
      </c>
      <c r="AD30" s="67" t="s">
        <v>428</v>
      </c>
    </row>
    <row r="31" spans="1:30" s="67" customFormat="1" ht="18" customHeight="1">
      <c r="A31" s="60"/>
      <c r="B31" s="61">
        <v>18</v>
      </c>
      <c r="C31" s="137"/>
      <c r="D31" s="271"/>
      <c r="E31" s="137"/>
      <c r="F31" s="279"/>
      <c r="G31" s="138"/>
      <c r="H31" s="22"/>
      <c r="I31" s="22"/>
      <c r="J31" s="62" t="str">
        <f t="shared" si="0"/>
        <v/>
      </c>
      <c r="K31" s="63"/>
      <c r="L31" s="63"/>
      <c r="M31" s="64" t="str">
        <f t="shared" si="1"/>
        <v/>
      </c>
      <c r="N31" s="22"/>
      <c r="O31" s="22"/>
      <c r="P31" s="62" t="str">
        <f t="shared" si="2"/>
        <v/>
      </c>
      <c r="Q31" s="63"/>
      <c r="R31" s="63"/>
      <c r="S31" s="64" t="str">
        <f t="shared" si="3"/>
        <v/>
      </c>
      <c r="T31" s="65"/>
      <c r="U31" s="66"/>
      <c r="V31" s="18" t="str">
        <f>IF($C31="","",VLOOKUP($C31,#REF!,4,FALSE))</f>
        <v/>
      </c>
      <c r="W31" s="69" t="str">
        <f>IF($E31="","",VLOOKUP($E31,#REF!,4,FALSE))</f>
        <v/>
      </c>
      <c r="Y31" t="s">
        <v>256</v>
      </c>
      <c r="Z31">
        <v>10571</v>
      </c>
      <c r="AA31" t="s">
        <v>186</v>
      </c>
      <c r="AB31" t="s">
        <v>109</v>
      </c>
      <c r="AC31">
        <v>59937</v>
      </c>
      <c r="AD31" s="67" t="s">
        <v>213</v>
      </c>
    </row>
    <row r="32" spans="1:30" s="67" customFormat="1" ht="18" customHeight="1">
      <c r="A32" s="60"/>
      <c r="B32" s="61">
        <v>19</v>
      </c>
      <c r="C32" s="137"/>
      <c r="D32" s="271"/>
      <c r="E32" s="167"/>
      <c r="F32" s="310"/>
      <c r="G32" s="138"/>
      <c r="H32" s="22"/>
      <c r="I32" s="22"/>
      <c r="J32" s="62" t="str">
        <f t="shared" si="0"/>
        <v/>
      </c>
      <c r="K32" s="63"/>
      <c r="L32" s="63"/>
      <c r="M32" s="64" t="str">
        <f t="shared" si="1"/>
        <v/>
      </c>
      <c r="N32" s="22"/>
      <c r="O32" s="22"/>
      <c r="P32" s="62" t="str">
        <f t="shared" si="2"/>
        <v/>
      </c>
      <c r="Q32" s="63"/>
      <c r="R32" s="63"/>
      <c r="S32" s="64" t="str">
        <f t="shared" si="3"/>
        <v/>
      </c>
      <c r="T32" s="65"/>
      <c r="U32" s="66"/>
      <c r="V32" s="18" t="str">
        <f>IF($C32="","",VLOOKUP($C32,#REF!,4,FALSE))</f>
        <v/>
      </c>
      <c r="W32" s="69" t="str">
        <f>IF($E32="","",VLOOKUP($E32,#REF!,4,FALSE))</f>
        <v/>
      </c>
      <c r="Y32" t="s">
        <v>243</v>
      </c>
      <c r="Z32">
        <v>20200</v>
      </c>
      <c r="AA32" t="s">
        <v>162</v>
      </c>
      <c r="AB32" t="s">
        <v>106</v>
      </c>
      <c r="AC32">
        <v>58521</v>
      </c>
      <c r="AD32" s="67" t="s">
        <v>214</v>
      </c>
    </row>
    <row r="33" spans="1:30" s="67" customFormat="1" ht="18" customHeight="1">
      <c r="A33" s="60"/>
      <c r="B33" s="61">
        <v>20</v>
      </c>
      <c r="C33" s="180"/>
      <c r="D33" s="303"/>
      <c r="E33" s="135"/>
      <c r="F33" s="293"/>
      <c r="G33" s="185"/>
      <c r="H33" s="22"/>
      <c r="I33" s="22"/>
      <c r="J33" s="62" t="str">
        <f t="shared" si="0"/>
        <v/>
      </c>
      <c r="K33" s="63"/>
      <c r="L33" s="63"/>
      <c r="M33" s="64" t="str">
        <f t="shared" si="1"/>
        <v/>
      </c>
      <c r="N33" s="22"/>
      <c r="O33" s="22"/>
      <c r="P33" s="62" t="str">
        <f t="shared" si="2"/>
        <v/>
      </c>
      <c r="Q33" s="63"/>
      <c r="R33" s="63"/>
      <c r="S33" s="64" t="str">
        <f t="shared" si="3"/>
        <v/>
      </c>
      <c r="T33" s="65"/>
      <c r="U33" s="66"/>
      <c r="V33" s="18" t="str">
        <f>IF($C33="","",VLOOKUP($C33,#REF!,4,FALSE))</f>
        <v/>
      </c>
      <c r="W33" s="69" t="str">
        <f>IF($E33="","",VLOOKUP($E33,#REF!,4,FALSE))</f>
        <v/>
      </c>
      <c r="Y33" t="s">
        <v>414</v>
      </c>
      <c r="Z33">
        <v>28061</v>
      </c>
      <c r="AA33" t="s">
        <v>413</v>
      </c>
      <c r="AB33" t="s">
        <v>289</v>
      </c>
      <c r="AC33">
        <v>58167</v>
      </c>
      <c r="AD33" s="67" t="s">
        <v>429</v>
      </c>
    </row>
    <row r="34" spans="1:30" s="67" customFormat="1" ht="18" customHeight="1">
      <c r="A34" s="60"/>
      <c r="B34" s="61">
        <v>21</v>
      </c>
      <c r="C34" s="207"/>
      <c r="D34" s="207"/>
      <c r="E34" s="207"/>
      <c r="F34" s="295"/>
      <c r="G34" s="186"/>
      <c r="H34" s="22"/>
      <c r="I34" s="22"/>
      <c r="J34" s="62" t="str">
        <f t="shared" si="0"/>
        <v/>
      </c>
      <c r="K34" s="63"/>
      <c r="L34" s="63"/>
      <c r="M34" s="64" t="str">
        <f t="shared" si="1"/>
        <v/>
      </c>
      <c r="N34" s="22"/>
      <c r="O34" s="22"/>
      <c r="P34" s="62" t="str">
        <f t="shared" si="2"/>
        <v/>
      </c>
      <c r="Q34" s="63"/>
      <c r="R34" s="63"/>
      <c r="S34" s="64" t="str">
        <f t="shared" si="3"/>
        <v/>
      </c>
      <c r="T34" s="65"/>
      <c r="U34" s="66"/>
      <c r="V34" s="18" t="e">
        <f>IF('11'!$C21="","",VLOOKUP('11'!$C21,#REF!,4,FALSE))</f>
        <v>#REF!</v>
      </c>
      <c r="W34" s="69" t="e">
        <f>IF('11'!$E21="","",VLOOKUP('11'!$E21,#REF!,4,FALSE))</f>
        <v>#REF!</v>
      </c>
      <c r="Y34" t="s">
        <v>317</v>
      </c>
      <c r="Z34">
        <v>32773</v>
      </c>
      <c r="AA34" t="s">
        <v>415</v>
      </c>
      <c r="AB34" t="s">
        <v>318</v>
      </c>
      <c r="AC34">
        <v>57320</v>
      </c>
      <c r="AD34" s="67" t="s">
        <v>430</v>
      </c>
    </row>
    <row r="35" spans="1:30" s="67" customFormat="1" ht="18" customHeight="1">
      <c r="A35" s="60"/>
      <c r="B35" s="61">
        <v>22</v>
      </c>
      <c r="C35" s="141"/>
      <c r="D35" s="290"/>
      <c r="E35" s="147"/>
      <c r="F35" s="280"/>
      <c r="G35" s="141"/>
      <c r="H35" s="22"/>
      <c r="I35" s="22"/>
      <c r="J35" s="62" t="str">
        <f t="shared" si="0"/>
        <v/>
      </c>
      <c r="K35" s="63"/>
      <c r="L35" s="63"/>
      <c r="M35" s="64" t="str">
        <f t="shared" si="1"/>
        <v/>
      </c>
      <c r="N35" s="22"/>
      <c r="O35" s="22"/>
      <c r="P35" s="62" t="str">
        <f t="shared" si="2"/>
        <v/>
      </c>
      <c r="Q35" s="63"/>
      <c r="R35" s="63"/>
      <c r="S35" s="64" t="str">
        <f t="shared" si="3"/>
        <v/>
      </c>
      <c r="T35" s="65"/>
      <c r="U35" s="66"/>
      <c r="V35" s="18" t="str">
        <f>IF($C35="","",VLOOKUP($C35,#REF!,4,FALSE))</f>
        <v/>
      </c>
      <c r="W35" s="69" t="str">
        <f>IF($E35="","",VLOOKUP($E35,#REF!,4,FALSE))</f>
        <v/>
      </c>
      <c r="Y35" t="s">
        <v>250</v>
      </c>
      <c r="Z35">
        <v>31288</v>
      </c>
      <c r="AA35" t="s">
        <v>416</v>
      </c>
      <c r="AB35" t="s">
        <v>309</v>
      </c>
      <c r="AC35">
        <v>57096</v>
      </c>
      <c r="AD35" s="67" t="s">
        <v>431</v>
      </c>
    </row>
    <row r="36" spans="1:30" s="67" customFormat="1" ht="18" customHeight="1">
      <c r="A36" s="60"/>
      <c r="B36" s="61">
        <v>23</v>
      </c>
      <c r="C36" s="137"/>
      <c r="D36" s="271"/>
      <c r="E36" s="193"/>
      <c r="F36" s="310"/>
      <c r="G36" s="154"/>
      <c r="H36" s="22"/>
      <c r="I36" s="22"/>
      <c r="J36" s="62" t="str">
        <f t="shared" si="0"/>
        <v/>
      </c>
      <c r="K36" s="63"/>
      <c r="L36" s="63"/>
      <c r="M36" s="64" t="str">
        <f t="shared" si="1"/>
        <v/>
      </c>
      <c r="N36" s="22"/>
      <c r="O36" s="22"/>
      <c r="P36" s="62" t="str">
        <f t="shared" si="2"/>
        <v/>
      </c>
      <c r="Q36" s="63"/>
      <c r="R36" s="63"/>
      <c r="S36" s="64" t="str">
        <f t="shared" si="3"/>
        <v/>
      </c>
      <c r="T36" s="65"/>
      <c r="U36" s="66"/>
      <c r="V36" s="18" t="str">
        <f>IF($C36="","",VLOOKUP($C36,#REF!,4,FALSE))</f>
        <v/>
      </c>
      <c r="W36" s="69" t="str">
        <f>IF($E36="","",VLOOKUP($E36,#REF!,4,FALSE))</f>
        <v/>
      </c>
      <c r="Y36" t="s">
        <v>265</v>
      </c>
      <c r="Z36">
        <v>27853</v>
      </c>
      <c r="AA36" t="s">
        <v>207</v>
      </c>
      <c r="AB36"/>
      <c r="AC36"/>
    </row>
    <row r="37" spans="1:30" s="67" customFormat="1" ht="18" customHeight="1">
      <c r="A37" s="60"/>
      <c r="B37" s="61">
        <v>24</v>
      </c>
      <c r="C37" s="137"/>
      <c r="D37" s="304"/>
      <c r="E37" s="133"/>
      <c r="F37" s="295"/>
      <c r="G37" s="174"/>
      <c r="H37" s="22"/>
      <c r="I37" s="22"/>
      <c r="J37" s="62" t="str">
        <f t="shared" si="0"/>
        <v/>
      </c>
      <c r="K37" s="63"/>
      <c r="L37" s="63"/>
      <c r="M37" s="64" t="str">
        <f t="shared" si="1"/>
        <v/>
      </c>
      <c r="N37" s="22"/>
      <c r="O37" s="22"/>
      <c r="P37" s="62" t="str">
        <f t="shared" si="2"/>
        <v/>
      </c>
      <c r="Q37" s="63"/>
      <c r="R37" s="63"/>
      <c r="S37" s="64" t="str">
        <f t="shared" si="3"/>
        <v/>
      </c>
      <c r="T37" s="65"/>
      <c r="U37" s="66"/>
      <c r="V37" s="18" t="str">
        <f>IF($C37="","",VLOOKUP($C37,#REF!,4,FALSE))</f>
        <v/>
      </c>
      <c r="W37" s="69" t="str">
        <f>IF($E37="","",VLOOKUP($E37,#REF!,4,FALSE))</f>
        <v/>
      </c>
      <c r="Y37" t="s">
        <v>418</v>
      </c>
      <c r="Z37">
        <v>32737</v>
      </c>
      <c r="AA37" t="s">
        <v>417</v>
      </c>
      <c r="AB37" t="s">
        <v>199</v>
      </c>
      <c r="AC37">
        <v>59353</v>
      </c>
      <c r="AD37" s="67" t="s">
        <v>198</v>
      </c>
    </row>
    <row r="38" spans="1:30" s="67" customFormat="1" ht="18" customHeight="1">
      <c r="A38" s="60"/>
      <c r="B38" s="61">
        <v>25</v>
      </c>
      <c r="C38" s="133"/>
      <c r="D38" s="283"/>
      <c r="E38" s="140"/>
      <c r="F38" s="294"/>
      <c r="G38" s="141"/>
      <c r="H38" s="22"/>
      <c r="I38" s="22"/>
      <c r="J38" s="62" t="str">
        <f t="shared" si="0"/>
        <v/>
      </c>
      <c r="K38" s="63"/>
      <c r="L38" s="63"/>
      <c r="M38" s="64" t="str">
        <f t="shared" si="1"/>
        <v/>
      </c>
      <c r="N38" s="22"/>
      <c r="O38" s="22"/>
      <c r="P38" s="62" t="str">
        <f t="shared" si="2"/>
        <v/>
      </c>
      <c r="Q38" s="63"/>
      <c r="R38" s="63"/>
      <c r="S38" s="64" t="str">
        <f t="shared" si="3"/>
        <v/>
      </c>
      <c r="T38" s="65"/>
      <c r="U38" s="66"/>
      <c r="V38" s="18" t="str">
        <f>IF($C38="","",VLOOKUP($C38,#REF!,4,FALSE))</f>
        <v/>
      </c>
      <c r="W38" s="69" t="str">
        <f>IF($E38="","",VLOOKUP($E38,#REF!,4,FALSE))</f>
        <v/>
      </c>
      <c r="Y38" t="s">
        <v>405</v>
      </c>
      <c r="Z38">
        <v>27498</v>
      </c>
      <c r="AA38" t="s">
        <v>404</v>
      </c>
      <c r="AB38"/>
      <c r="AC38"/>
    </row>
    <row r="39" spans="1:30" s="67" customFormat="1" ht="18" customHeight="1">
      <c r="A39" s="60"/>
      <c r="B39" s="61">
        <v>26</v>
      </c>
      <c r="C39" s="137"/>
      <c r="D39" s="271"/>
      <c r="E39" s="133"/>
      <c r="F39" s="295"/>
      <c r="G39" s="138"/>
      <c r="H39" s="22"/>
      <c r="I39" s="22"/>
      <c r="J39" s="62" t="str">
        <f t="shared" si="0"/>
        <v/>
      </c>
      <c r="K39" s="63"/>
      <c r="L39" s="63"/>
      <c r="M39" s="64" t="str">
        <f t="shared" si="1"/>
        <v/>
      </c>
      <c r="N39" s="22"/>
      <c r="O39" s="22"/>
      <c r="P39" s="62" t="str">
        <f t="shared" si="2"/>
        <v/>
      </c>
      <c r="Q39" s="63"/>
      <c r="R39" s="63"/>
      <c r="S39" s="64" t="str">
        <f t="shared" si="3"/>
        <v/>
      </c>
      <c r="T39" s="65"/>
      <c r="U39" s="66"/>
      <c r="V39" s="18" t="str">
        <f>IF($C39="","",VLOOKUP($C39,#REF!,4,FALSE))</f>
        <v/>
      </c>
      <c r="W39" s="69" t="str">
        <f>IF($E39="","",VLOOKUP($E39,#REF!,4,FALSE))</f>
        <v/>
      </c>
      <c r="Y39"/>
      <c r="Z39"/>
      <c r="AA39"/>
      <c r="AB39"/>
      <c r="AC39"/>
    </row>
    <row r="40" spans="1:30" s="67" customFormat="1" ht="18" customHeight="1">
      <c r="A40" s="60"/>
      <c r="B40" s="61">
        <v>27</v>
      </c>
      <c r="C40" s="131"/>
      <c r="D40" s="283"/>
      <c r="E40" s="131"/>
      <c r="F40" s="271"/>
      <c r="G40" s="187"/>
      <c r="H40" s="22"/>
      <c r="I40" s="22"/>
      <c r="J40" s="62" t="str">
        <f t="shared" si="0"/>
        <v/>
      </c>
      <c r="K40" s="63"/>
      <c r="L40" s="63"/>
      <c r="M40" s="64" t="str">
        <f t="shared" si="1"/>
        <v/>
      </c>
      <c r="N40" s="22"/>
      <c r="O40" s="22"/>
      <c r="P40" s="62" t="str">
        <f t="shared" si="2"/>
        <v/>
      </c>
      <c r="Q40" s="63"/>
      <c r="R40" s="63"/>
      <c r="S40" s="64" t="str">
        <f t="shared" si="3"/>
        <v/>
      </c>
      <c r="T40" s="65"/>
      <c r="U40" s="66"/>
      <c r="V40" s="18" t="str">
        <f>IF($C40="","",VLOOKUP($C40,#REF!,4,FALSE))</f>
        <v/>
      </c>
      <c r="W40" s="69" t="str">
        <f>IF($E40="","",VLOOKUP($E40,#REF!,4,FALSE))</f>
        <v/>
      </c>
      <c r="Y40"/>
      <c r="Z40"/>
      <c r="AA40"/>
      <c r="AB40"/>
      <c r="AC40"/>
    </row>
    <row r="41" spans="1:30" s="67" customFormat="1" ht="18" customHeight="1">
      <c r="A41" s="60"/>
      <c r="B41" s="61">
        <v>28</v>
      </c>
      <c r="C41" s="87"/>
      <c r="D41" s="273"/>
      <c r="E41" s="88"/>
      <c r="F41" s="280"/>
      <c r="G41" s="138"/>
      <c r="H41" s="22"/>
      <c r="I41" s="22"/>
      <c r="J41" s="62" t="str">
        <f t="shared" si="0"/>
        <v/>
      </c>
      <c r="K41" s="63"/>
      <c r="L41" s="63"/>
      <c r="M41" s="64" t="str">
        <f t="shared" si="1"/>
        <v/>
      </c>
      <c r="N41" s="22"/>
      <c r="O41" s="22"/>
      <c r="P41" s="62" t="str">
        <f t="shared" si="2"/>
        <v/>
      </c>
      <c r="Q41" s="63"/>
      <c r="R41" s="63"/>
      <c r="S41" s="64" t="str">
        <f t="shared" si="3"/>
        <v/>
      </c>
      <c r="T41" s="65"/>
      <c r="U41" s="66"/>
      <c r="V41" s="18" t="str">
        <f>IF($C41="","",VLOOKUP($C41,#REF!,4,FALSE))</f>
        <v/>
      </c>
      <c r="W41" s="69" t="str">
        <f>IF($E41="","",VLOOKUP($E41,#REF!,4,FALSE))</f>
        <v/>
      </c>
      <c r="Y41"/>
      <c r="Z41"/>
      <c r="AA41"/>
      <c r="AB41"/>
      <c r="AC41"/>
    </row>
    <row r="42" spans="1:30" s="67" customFormat="1" ht="18" customHeight="1">
      <c r="A42" s="60"/>
      <c r="B42" s="61">
        <v>29</v>
      </c>
      <c r="C42" s="137"/>
      <c r="D42" s="271"/>
      <c r="E42" s="137"/>
      <c r="F42" s="279"/>
      <c r="G42" s="138"/>
      <c r="H42" s="22"/>
      <c r="I42" s="22"/>
      <c r="J42" s="62" t="str">
        <f t="shared" si="0"/>
        <v/>
      </c>
      <c r="K42" s="63"/>
      <c r="L42" s="63"/>
      <c r="M42" s="64" t="str">
        <f t="shared" si="1"/>
        <v/>
      </c>
      <c r="N42" s="22"/>
      <c r="O42" s="22"/>
      <c r="P42" s="62" t="str">
        <f t="shared" si="2"/>
        <v/>
      </c>
      <c r="Q42" s="63"/>
      <c r="R42" s="63"/>
      <c r="S42" s="64" t="str">
        <f t="shared" si="3"/>
        <v/>
      </c>
      <c r="T42" s="65"/>
      <c r="U42" s="66"/>
      <c r="V42" s="18" t="str">
        <f>IF($C42="","",VLOOKUP($C42,#REF!,4,FALSE))</f>
        <v/>
      </c>
      <c r="W42" s="69" t="str">
        <f>IF($E42="","",VLOOKUP($E42,#REF!,4,FALSE))</f>
        <v/>
      </c>
      <c r="Y42"/>
      <c r="Z42"/>
      <c r="AA42"/>
      <c r="AB42"/>
      <c r="AC42"/>
    </row>
    <row r="43" spans="1:30" s="67" customFormat="1" ht="18" customHeight="1">
      <c r="A43" s="60"/>
      <c r="B43" s="61">
        <v>30</v>
      </c>
      <c r="C43" s="149"/>
      <c r="D43" s="290"/>
      <c r="E43" s="88"/>
      <c r="F43" s="280"/>
      <c r="G43" s="149"/>
      <c r="H43" s="22"/>
      <c r="I43" s="22"/>
      <c r="J43" s="62" t="str">
        <f t="shared" si="0"/>
        <v/>
      </c>
      <c r="K43" s="63"/>
      <c r="L43" s="63"/>
      <c r="M43" s="64" t="str">
        <f t="shared" si="1"/>
        <v/>
      </c>
      <c r="N43" s="22"/>
      <c r="O43" s="22"/>
      <c r="P43" s="62" t="str">
        <f t="shared" si="2"/>
        <v/>
      </c>
      <c r="Q43" s="63"/>
      <c r="R43" s="63"/>
      <c r="S43" s="64" t="str">
        <f t="shared" si="3"/>
        <v/>
      </c>
      <c r="T43" s="65"/>
      <c r="U43" s="66"/>
      <c r="V43" s="18" t="str">
        <f>IF($C43="","",VLOOKUP($C43,#REF!,4,FALSE))</f>
        <v/>
      </c>
      <c r="W43" s="69" t="str">
        <f>IF($E43="","",VLOOKUP($E43,#REF!,4,FALSE))</f>
        <v/>
      </c>
      <c r="Y43"/>
      <c r="Z43"/>
      <c r="AA43"/>
      <c r="AB43"/>
      <c r="AC43"/>
    </row>
    <row r="44" spans="1:30" s="67" customFormat="1" ht="18" customHeight="1">
      <c r="A44" s="60"/>
      <c r="B44" s="61">
        <v>31</v>
      </c>
      <c r="C44" s="149"/>
      <c r="D44" s="271"/>
      <c r="E44" s="147"/>
      <c r="F44" s="279"/>
      <c r="G44" s="89"/>
      <c r="H44" s="22"/>
      <c r="I44" s="22"/>
      <c r="J44" s="62" t="str">
        <f t="shared" si="0"/>
        <v/>
      </c>
      <c r="K44" s="63"/>
      <c r="L44" s="63"/>
      <c r="M44" s="64" t="str">
        <f t="shared" si="1"/>
        <v/>
      </c>
      <c r="N44" s="22"/>
      <c r="O44" s="22"/>
      <c r="P44" s="62" t="str">
        <f t="shared" si="2"/>
        <v/>
      </c>
      <c r="Q44" s="63"/>
      <c r="R44" s="63"/>
      <c r="S44" s="64" t="str">
        <f t="shared" si="3"/>
        <v/>
      </c>
      <c r="T44" s="65"/>
      <c r="U44" s="66"/>
      <c r="V44" s="18" t="str">
        <f>IF($C44="","",VLOOKUP($C44,#REF!,4,FALSE))</f>
        <v/>
      </c>
      <c r="W44" s="69" t="str">
        <f>IF($E44="","",VLOOKUP($E44,#REF!,4,FALSE))</f>
        <v/>
      </c>
      <c r="Y44"/>
      <c r="Z44"/>
      <c r="AA44"/>
      <c r="AB44"/>
      <c r="AC44"/>
    </row>
    <row r="45" spans="1:30" s="67" customFormat="1" ht="18" customHeight="1">
      <c r="A45" s="60"/>
      <c r="B45" s="61">
        <v>32</v>
      </c>
      <c r="C45" s="87"/>
      <c r="D45" s="273"/>
      <c r="E45" s="88"/>
      <c r="F45" s="280"/>
      <c r="G45" s="102"/>
      <c r="H45" s="22"/>
      <c r="I45" s="22"/>
      <c r="J45" s="62" t="str">
        <f t="shared" si="0"/>
        <v/>
      </c>
      <c r="K45" s="63"/>
      <c r="L45" s="63"/>
      <c r="M45" s="64" t="str">
        <f t="shared" si="1"/>
        <v/>
      </c>
      <c r="N45" s="22"/>
      <c r="O45" s="22"/>
      <c r="P45" s="62" t="str">
        <f t="shared" si="2"/>
        <v/>
      </c>
      <c r="Q45" s="63"/>
      <c r="R45" s="63"/>
      <c r="S45" s="64" t="str">
        <f t="shared" si="3"/>
        <v/>
      </c>
      <c r="T45" s="65"/>
      <c r="U45" s="66"/>
      <c r="V45" s="18" t="str">
        <f>IF($C45="","",VLOOKUP($C45,#REF!,4,FALSE))</f>
        <v/>
      </c>
      <c r="W45" s="69" t="str">
        <f>IF($E45="","",VLOOKUP($E45,#REF!,4,FALSE))</f>
        <v/>
      </c>
      <c r="Y45"/>
      <c r="Z45"/>
      <c r="AA45"/>
      <c r="AB45"/>
      <c r="AC45"/>
    </row>
    <row r="46" spans="1:30" s="67" customFormat="1" ht="18" customHeight="1">
      <c r="A46" s="60"/>
      <c r="B46" s="61">
        <v>33</v>
      </c>
      <c r="C46" s="137"/>
      <c r="D46" s="271"/>
      <c r="E46" s="137"/>
      <c r="F46" s="279"/>
      <c r="G46" s="138"/>
      <c r="H46" s="22"/>
      <c r="I46" s="22"/>
      <c r="J46" s="62" t="str">
        <f t="shared" ref="J46:J73" si="4">IF(H46="","",H46+I46)</f>
        <v/>
      </c>
      <c r="K46" s="63"/>
      <c r="L46" s="63"/>
      <c r="M46" s="64" t="str">
        <f t="shared" ref="M46:M73" si="5">IF(L46="","",K46+L46)</f>
        <v/>
      </c>
      <c r="N46" s="22"/>
      <c r="O46" s="22"/>
      <c r="P46" s="62" t="str">
        <f t="shared" ref="P46:P73" si="6">IF(N46="","",N46+O46)</f>
        <v/>
      </c>
      <c r="Q46" s="63"/>
      <c r="R46" s="63"/>
      <c r="S46" s="64" t="str">
        <f t="shared" ref="S46:S73" si="7">IF(R46="","",Q46+R46)</f>
        <v/>
      </c>
      <c r="T46" s="65"/>
      <c r="U46" s="66"/>
      <c r="V46" s="18" t="str">
        <f>IF($C46="","",VLOOKUP($C46,#REF!,4,FALSE))</f>
        <v/>
      </c>
      <c r="W46" s="69" t="str">
        <f>IF($E46="","",VLOOKUP($E46,#REF!,4,FALSE))</f>
        <v/>
      </c>
      <c r="Y46"/>
      <c r="Z46"/>
      <c r="AA46"/>
      <c r="AB46"/>
      <c r="AC46"/>
    </row>
    <row r="47" spans="1:30" s="67" customFormat="1" ht="18" customHeight="1">
      <c r="A47" s="60"/>
      <c r="B47" s="61">
        <v>34</v>
      </c>
      <c r="C47" s="87"/>
      <c r="D47" s="273"/>
      <c r="E47" s="136"/>
      <c r="F47" s="306"/>
      <c r="G47" s="104"/>
      <c r="H47" s="22"/>
      <c r="I47" s="22"/>
      <c r="J47" s="62" t="str">
        <f t="shared" si="4"/>
        <v/>
      </c>
      <c r="K47" s="63"/>
      <c r="L47" s="63"/>
      <c r="M47" s="64" t="str">
        <f t="shared" si="5"/>
        <v/>
      </c>
      <c r="N47" s="22"/>
      <c r="O47" s="22"/>
      <c r="P47" s="62" t="str">
        <f t="shared" si="6"/>
        <v/>
      </c>
      <c r="Q47" s="63"/>
      <c r="R47" s="63"/>
      <c r="S47" s="64" t="str">
        <f t="shared" si="7"/>
        <v/>
      </c>
      <c r="T47" s="65"/>
      <c r="U47" s="66"/>
      <c r="V47" s="18" t="str">
        <f>IF($C47="","",VLOOKUP($C47,#REF!,4,FALSE))</f>
        <v/>
      </c>
      <c r="W47" s="69" t="str">
        <f>IF($E47="","",VLOOKUP($E47,#REF!,4,FALSE))</f>
        <v/>
      </c>
      <c r="Y47"/>
      <c r="Z47"/>
      <c r="AA47"/>
      <c r="AB47"/>
      <c r="AC47"/>
    </row>
    <row r="48" spans="1:30" s="67" customFormat="1" ht="18" customHeight="1">
      <c r="A48" s="60"/>
      <c r="B48" s="61">
        <v>35</v>
      </c>
      <c r="C48" s="149"/>
      <c r="D48" s="271"/>
      <c r="E48" s="150"/>
      <c r="F48" s="311"/>
      <c r="G48" s="146"/>
      <c r="H48" s="22"/>
      <c r="I48" s="22"/>
      <c r="J48" s="62" t="str">
        <f t="shared" si="4"/>
        <v/>
      </c>
      <c r="K48" s="63"/>
      <c r="L48" s="63"/>
      <c r="M48" s="64" t="str">
        <f t="shared" si="5"/>
        <v/>
      </c>
      <c r="N48" s="22"/>
      <c r="O48" s="22"/>
      <c r="P48" s="62" t="str">
        <f t="shared" si="6"/>
        <v/>
      </c>
      <c r="Q48" s="63"/>
      <c r="R48" s="63"/>
      <c r="S48" s="64" t="str">
        <f t="shared" si="7"/>
        <v/>
      </c>
      <c r="T48" s="65"/>
      <c r="U48" s="66"/>
      <c r="V48" s="18" t="str">
        <f>IF($C48="","",VLOOKUP($C48,#REF!,4,FALSE))</f>
        <v/>
      </c>
      <c r="W48" s="69" t="str">
        <f>IF($E48="","",VLOOKUP($E48,#REF!,4,FALSE))</f>
        <v/>
      </c>
      <c r="Y48"/>
      <c r="Z48"/>
      <c r="AA48"/>
      <c r="AB48"/>
      <c r="AC48"/>
    </row>
    <row r="49" spans="1:29" s="67" customFormat="1" ht="18" customHeight="1">
      <c r="A49" s="60"/>
      <c r="B49" s="61">
        <v>36</v>
      </c>
      <c r="C49" s="137"/>
      <c r="D49" s="271"/>
      <c r="E49" s="137"/>
      <c r="F49" s="279"/>
      <c r="G49" s="138"/>
      <c r="H49" s="22"/>
      <c r="I49" s="22"/>
      <c r="J49" s="62" t="str">
        <f t="shared" si="4"/>
        <v/>
      </c>
      <c r="K49" s="63"/>
      <c r="L49" s="63"/>
      <c r="M49" s="64" t="str">
        <f t="shared" si="5"/>
        <v/>
      </c>
      <c r="N49" s="22"/>
      <c r="O49" s="22"/>
      <c r="P49" s="62" t="str">
        <f t="shared" si="6"/>
        <v/>
      </c>
      <c r="Q49" s="63"/>
      <c r="R49" s="63"/>
      <c r="S49" s="64" t="str">
        <f t="shared" si="7"/>
        <v/>
      </c>
      <c r="T49" s="65"/>
      <c r="U49" s="66"/>
      <c r="V49" s="18" t="str">
        <f>IF($C49="","",VLOOKUP($C49,#REF!,4,FALSE))</f>
        <v/>
      </c>
      <c r="W49" s="69" t="str">
        <f>IF($E49="","",VLOOKUP($E49,#REF!,4,FALSE))</f>
        <v/>
      </c>
      <c r="Y49"/>
      <c r="Z49"/>
      <c r="AA49"/>
      <c r="AB49"/>
      <c r="AC49"/>
    </row>
    <row r="50" spans="1:29" s="67" customFormat="1" ht="18" customHeight="1">
      <c r="A50" s="60"/>
      <c r="B50" s="61">
        <v>37</v>
      </c>
      <c r="C50" s="137"/>
      <c r="D50" s="271"/>
      <c r="E50" s="137"/>
      <c r="F50" s="279"/>
      <c r="G50" s="138"/>
      <c r="H50" s="22"/>
      <c r="I50" s="22"/>
      <c r="J50" s="62" t="str">
        <f t="shared" si="4"/>
        <v/>
      </c>
      <c r="K50" s="63"/>
      <c r="L50" s="63"/>
      <c r="M50" s="64" t="str">
        <f t="shared" si="5"/>
        <v/>
      </c>
      <c r="N50" s="22"/>
      <c r="O50" s="22"/>
      <c r="P50" s="62" t="str">
        <f t="shared" si="6"/>
        <v/>
      </c>
      <c r="Q50" s="63"/>
      <c r="R50" s="63"/>
      <c r="S50" s="64" t="str">
        <f t="shared" si="7"/>
        <v/>
      </c>
      <c r="T50" s="65"/>
      <c r="U50" s="66"/>
      <c r="V50" s="18" t="str">
        <f>IF($C50="","",VLOOKUP($C50,#REF!,4,FALSE))</f>
        <v/>
      </c>
      <c r="W50" s="69" t="str">
        <f>IF($E50="","",VLOOKUP($E50,#REF!,4,FALSE))</f>
        <v/>
      </c>
      <c r="Y50"/>
      <c r="Z50"/>
      <c r="AA50"/>
      <c r="AB50"/>
      <c r="AC50"/>
    </row>
    <row r="51" spans="1:29" s="67" customFormat="1" ht="18" customHeight="1">
      <c r="A51" s="60"/>
      <c r="B51" s="61">
        <v>38</v>
      </c>
      <c r="C51" s="137"/>
      <c r="D51" s="271"/>
      <c r="E51" s="137"/>
      <c r="F51" s="279"/>
      <c r="G51" s="138"/>
      <c r="H51" s="22"/>
      <c r="I51" s="22"/>
      <c r="J51" s="62" t="str">
        <f t="shared" si="4"/>
        <v/>
      </c>
      <c r="K51" s="63"/>
      <c r="L51" s="63"/>
      <c r="M51" s="64" t="str">
        <f t="shared" si="5"/>
        <v/>
      </c>
      <c r="N51" s="22"/>
      <c r="O51" s="22"/>
      <c r="P51" s="62" t="str">
        <f t="shared" si="6"/>
        <v/>
      </c>
      <c r="Q51" s="63"/>
      <c r="R51" s="63"/>
      <c r="S51" s="64" t="str">
        <f t="shared" si="7"/>
        <v/>
      </c>
      <c r="T51" s="65"/>
      <c r="U51" s="66"/>
      <c r="V51" s="18" t="str">
        <f>IF($C51="","",VLOOKUP($C51,#REF!,4,FALSE))</f>
        <v/>
      </c>
      <c r="W51" s="69" t="str">
        <f>IF($E51="","",VLOOKUP($E51,#REF!,4,FALSE))</f>
        <v/>
      </c>
      <c r="Y51"/>
      <c r="Z51"/>
      <c r="AA51"/>
      <c r="AB51"/>
      <c r="AC51"/>
    </row>
    <row r="52" spans="1:29" s="67" customFormat="1" ht="18" customHeight="1">
      <c r="A52" s="60"/>
      <c r="B52" s="61">
        <v>39</v>
      </c>
      <c r="C52" s="137"/>
      <c r="D52" s="271"/>
      <c r="E52" s="137"/>
      <c r="F52" s="279"/>
      <c r="G52" s="138"/>
      <c r="H52" s="22"/>
      <c r="I52" s="22"/>
      <c r="J52" s="62" t="str">
        <f t="shared" si="4"/>
        <v/>
      </c>
      <c r="K52" s="63"/>
      <c r="L52" s="63"/>
      <c r="M52" s="64" t="str">
        <f t="shared" si="5"/>
        <v/>
      </c>
      <c r="N52" s="22"/>
      <c r="O52" s="22"/>
      <c r="P52" s="62" t="str">
        <f t="shared" si="6"/>
        <v/>
      </c>
      <c r="Q52" s="63"/>
      <c r="R52" s="63"/>
      <c r="S52" s="64" t="str">
        <f t="shared" si="7"/>
        <v/>
      </c>
      <c r="T52" s="65"/>
      <c r="U52" s="66"/>
      <c r="V52" s="18" t="str">
        <f>IF($C52="","",VLOOKUP($C52,#REF!,4,FALSE))</f>
        <v/>
      </c>
      <c r="W52" s="69" t="str">
        <f>IF($E52="","",VLOOKUP($E52,#REF!,4,FALSE))</f>
        <v/>
      </c>
      <c r="Y52"/>
      <c r="Z52"/>
      <c r="AA52"/>
      <c r="AB52"/>
      <c r="AC52"/>
    </row>
    <row r="53" spans="1:29" s="67" customFormat="1" ht="18" customHeight="1">
      <c r="A53" s="60"/>
      <c r="B53" s="61">
        <v>40</v>
      </c>
      <c r="C53" s="137"/>
      <c r="D53" s="271"/>
      <c r="E53" s="137"/>
      <c r="F53" s="279"/>
      <c r="G53" s="138"/>
      <c r="H53" s="22"/>
      <c r="I53" s="22"/>
      <c r="J53" s="62" t="str">
        <f t="shared" si="4"/>
        <v/>
      </c>
      <c r="K53" s="63"/>
      <c r="L53" s="63"/>
      <c r="M53" s="64" t="str">
        <f t="shared" si="5"/>
        <v/>
      </c>
      <c r="N53" s="22"/>
      <c r="O53" s="22"/>
      <c r="P53" s="62" t="str">
        <f t="shared" si="6"/>
        <v/>
      </c>
      <c r="Q53" s="63"/>
      <c r="R53" s="63"/>
      <c r="S53" s="64" t="str">
        <f t="shared" si="7"/>
        <v/>
      </c>
      <c r="T53" s="65"/>
      <c r="U53" s="66"/>
      <c r="V53" s="18" t="str">
        <f>IF($C53="","",VLOOKUP($C53,#REF!,4,FALSE))</f>
        <v/>
      </c>
      <c r="W53" s="69" t="str">
        <f>IF($E53="","",VLOOKUP($E53,#REF!,4,FALSE))</f>
        <v/>
      </c>
      <c r="Y53"/>
      <c r="Z53"/>
      <c r="AA53"/>
      <c r="AB53"/>
      <c r="AC53"/>
    </row>
    <row r="54" spans="1:29" s="67" customFormat="1" ht="18" customHeight="1">
      <c r="A54" s="60"/>
      <c r="B54" s="61">
        <v>41</v>
      </c>
      <c r="C54" s="137"/>
      <c r="D54" s="271"/>
      <c r="E54" s="137"/>
      <c r="F54" s="279"/>
      <c r="G54" s="138"/>
      <c r="H54" s="22"/>
      <c r="I54" s="22"/>
      <c r="J54" s="62" t="str">
        <f t="shared" si="4"/>
        <v/>
      </c>
      <c r="K54" s="63"/>
      <c r="L54" s="63"/>
      <c r="M54" s="64" t="str">
        <f t="shared" si="5"/>
        <v/>
      </c>
      <c r="N54" s="22"/>
      <c r="O54" s="22"/>
      <c r="P54" s="62" t="str">
        <f t="shared" si="6"/>
        <v/>
      </c>
      <c r="Q54" s="63"/>
      <c r="R54" s="63"/>
      <c r="S54" s="64" t="str">
        <f t="shared" si="7"/>
        <v/>
      </c>
      <c r="T54" s="65"/>
      <c r="U54" s="66"/>
      <c r="V54" s="18" t="str">
        <f>IF($C54="","",VLOOKUP($C54,#REF!,4,FALSE))</f>
        <v/>
      </c>
      <c r="W54" s="69" t="str">
        <f>IF($E54="","",VLOOKUP($E54,#REF!,4,FALSE))</f>
        <v/>
      </c>
      <c r="Y54"/>
      <c r="Z54"/>
      <c r="AA54"/>
      <c r="AB54"/>
      <c r="AC54"/>
    </row>
    <row r="55" spans="1:29" s="67" customFormat="1" ht="18" customHeight="1">
      <c r="A55" s="60"/>
      <c r="B55" s="61">
        <v>42</v>
      </c>
      <c r="C55" s="137"/>
      <c r="D55" s="271"/>
      <c r="E55" s="137"/>
      <c r="F55" s="279"/>
      <c r="G55" s="138"/>
      <c r="H55" s="22"/>
      <c r="I55" s="22"/>
      <c r="J55" s="62" t="str">
        <f t="shared" si="4"/>
        <v/>
      </c>
      <c r="K55" s="63"/>
      <c r="L55" s="63"/>
      <c r="M55" s="64" t="str">
        <f t="shared" si="5"/>
        <v/>
      </c>
      <c r="N55" s="22"/>
      <c r="O55" s="22"/>
      <c r="P55" s="62" t="str">
        <f t="shared" si="6"/>
        <v/>
      </c>
      <c r="Q55" s="63"/>
      <c r="R55" s="63"/>
      <c r="S55" s="64" t="str">
        <f t="shared" si="7"/>
        <v/>
      </c>
      <c r="T55" s="65"/>
      <c r="U55" s="66"/>
      <c r="V55" s="18" t="str">
        <f>IF($C55="","",VLOOKUP($C55,#REF!,4,FALSE))</f>
        <v/>
      </c>
      <c r="W55" s="69" t="str">
        <f>IF($E55="","",VLOOKUP($E55,#REF!,4,FALSE))</f>
        <v/>
      </c>
      <c r="Y55"/>
      <c r="Z55"/>
      <c r="AA55"/>
      <c r="AB55"/>
      <c r="AC55"/>
    </row>
    <row r="56" spans="1:29" s="67" customFormat="1" ht="18" customHeight="1">
      <c r="A56" s="60"/>
      <c r="B56" s="61">
        <v>43</v>
      </c>
      <c r="C56" s="21"/>
      <c r="D56" s="275" t="s">
        <v>76</v>
      </c>
      <c r="E56" s="21"/>
      <c r="F56" s="282" t="s">
        <v>76</v>
      </c>
      <c r="G56" s="23"/>
      <c r="H56" s="22"/>
      <c r="I56" s="22"/>
      <c r="J56" s="62" t="str">
        <f t="shared" si="4"/>
        <v/>
      </c>
      <c r="K56" s="63"/>
      <c r="L56" s="63"/>
      <c r="M56" s="64" t="str">
        <f t="shared" si="5"/>
        <v/>
      </c>
      <c r="N56" s="22"/>
      <c r="O56" s="22"/>
      <c r="P56" s="62" t="str">
        <f t="shared" si="6"/>
        <v/>
      </c>
      <c r="Q56" s="63"/>
      <c r="R56" s="63"/>
      <c r="S56" s="64" t="str">
        <f t="shared" si="7"/>
        <v/>
      </c>
      <c r="T56" s="65"/>
      <c r="U56" s="66"/>
      <c r="V56" s="18" t="str">
        <f>IF($C56="","",VLOOKUP($C56,#REF!,4,FALSE))</f>
        <v/>
      </c>
      <c r="W56" s="69" t="str">
        <f>IF($E56="","",VLOOKUP($E56,#REF!,4,FALSE))</f>
        <v/>
      </c>
      <c r="Y56"/>
      <c r="Z56"/>
      <c r="AA56"/>
      <c r="AB56"/>
      <c r="AC56"/>
    </row>
    <row r="57" spans="1:29" s="67" customFormat="1" ht="18" customHeight="1">
      <c r="A57" s="60"/>
      <c r="B57" s="61">
        <v>44</v>
      </c>
      <c r="C57" s="21"/>
      <c r="D57" s="275" t="s">
        <v>76</v>
      </c>
      <c r="E57" s="21"/>
      <c r="F57" s="282" t="s">
        <v>76</v>
      </c>
      <c r="G57" s="23"/>
      <c r="H57" s="22"/>
      <c r="I57" s="22"/>
      <c r="J57" s="62" t="str">
        <f t="shared" si="4"/>
        <v/>
      </c>
      <c r="K57" s="63"/>
      <c r="L57" s="63"/>
      <c r="M57" s="64" t="str">
        <f t="shared" si="5"/>
        <v/>
      </c>
      <c r="N57" s="22"/>
      <c r="O57" s="22"/>
      <c r="P57" s="62" t="str">
        <f t="shared" si="6"/>
        <v/>
      </c>
      <c r="Q57" s="63"/>
      <c r="R57" s="63"/>
      <c r="S57" s="64" t="str">
        <f t="shared" si="7"/>
        <v/>
      </c>
      <c r="T57" s="65"/>
      <c r="U57" s="66"/>
      <c r="V57" s="18" t="str">
        <f>IF($C57="","",VLOOKUP($C57,#REF!,4,FALSE))</f>
        <v/>
      </c>
      <c r="W57" s="69" t="str">
        <f>IF($E57="","",VLOOKUP($E57,#REF!,4,FALSE))</f>
        <v/>
      </c>
      <c r="Y57"/>
      <c r="Z57"/>
      <c r="AA57"/>
      <c r="AB57"/>
      <c r="AC57"/>
    </row>
    <row r="58" spans="1:29" s="67" customFormat="1" ht="18" customHeight="1">
      <c r="A58" s="60"/>
      <c r="B58" s="61">
        <v>45</v>
      </c>
      <c r="C58" s="21"/>
      <c r="D58" s="275" t="s">
        <v>76</v>
      </c>
      <c r="E58" s="21"/>
      <c r="F58" s="282" t="s">
        <v>76</v>
      </c>
      <c r="G58" s="23"/>
      <c r="H58" s="22"/>
      <c r="I58" s="22"/>
      <c r="J58" s="62" t="str">
        <f t="shared" si="4"/>
        <v/>
      </c>
      <c r="K58" s="63"/>
      <c r="L58" s="63"/>
      <c r="M58" s="64" t="str">
        <f t="shared" si="5"/>
        <v/>
      </c>
      <c r="N58" s="22"/>
      <c r="O58" s="22"/>
      <c r="P58" s="62" t="str">
        <f t="shared" si="6"/>
        <v/>
      </c>
      <c r="Q58" s="63"/>
      <c r="R58" s="63"/>
      <c r="S58" s="64" t="str">
        <f t="shared" si="7"/>
        <v/>
      </c>
      <c r="T58" s="65"/>
      <c r="U58" s="66"/>
      <c r="V58" s="18" t="str">
        <f>IF($C58="","",VLOOKUP($C58,#REF!,4,FALSE))</f>
        <v/>
      </c>
      <c r="W58" s="69" t="str">
        <f>IF($E58="","",VLOOKUP($E58,#REF!,4,FALSE))</f>
        <v/>
      </c>
      <c r="Y58"/>
      <c r="Z58"/>
      <c r="AA58"/>
      <c r="AB58"/>
      <c r="AC58"/>
    </row>
    <row r="59" spans="1:29" s="67" customFormat="1" ht="18" customHeight="1">
      <c r="A59" s="60"/>
      <c r="B59" s="61">
        <v>46</v>
      </c>
      <c r="C59" s="21"/>
      <c r="D59" s="275" t="s">
        <v>76</v>
      </c>
      <c r="E59" s="21"/>
      <c r="F59" s="282" t="s">
        <v>76</v>
      </c>
      <c r="G59" s="23"/>
      <c r="H59" s="22"/>
      <c r="I59" s="22"/>
      <c r="J59" s="62" t="str">
        <f t="shared" si="4"/>
        <v/>
      </c>
      <c r="K59" s="63"/>
      <c r="L59" s="63"/>
      <c r="M59" s="64" t="str">
        <f t="shared" si="5"/>
        <v/>
      </c>
      <c r="N59" s="22"/>
      <c r="O59" s="22"/>
      <c r="P59" s="62" t="str">
        <f t="shared" si="6"/>
        <v/>
      </c>
      <c r="Q59" s="63"/>
      <c r="R59" s="63"/>
      <c r="S59" s="64" t="str">
        <f t="shared" si="7"/>
        <v/>
      </c>
      <c r="T59" s="65"/>
      <c r="U59" s="66"/>
      <c r="V59" s="18" t="str">
        <f>IF($C59="","",VLOOKUP($C59,#REF!,4,FALSE))</f>
        <v/>
      </c>
      <c r="W59" s="69" t="str">
        <f>IF($E59="","",VLOOKUP($E59,#REF!,4,FALSE))</f>
        <v/>
      </c>
      <c r="Y59"/>
      <c r="Z59"/>
      <c r="AA59"/>
      <c r="AB59"/>
      <c r="AC59"/>
    </row>
    <row r="60" spans="1:29" s="67" customFormat="1" ht="18" customHeight="1">
      <c r="A60" s="60"/>
      <c r="B60" s="61">
        <v>47</v>
      </c>
      <c r="C60" s="21"/>
      <c r="D60" s="275" t="s">
        <v>76</v>
      </c>
      <c r="E60" s="21"/>
      <c r="F60" s="282" t="s">
        <v>76</v>
      </c>
      <c r="G60" s="23"/>
      <c r="H60" s="22"/>
      <c r="I60" s="22"/>
      <c r="J60" s="62" t="str">
        <f t="shared" si="4"/>
        <v/>
      </c>
      <c r="K60" s="63"/>
      <c r="L60" s="63"/>
      <c r="M60" s="64" t="str">
        <f t="shared" si="5"/>
        <v/>
      </c>
      <c r="N60" s="22"/>
      <c r="O60" s="22"/>
      <c r="P60" s="62" t="str">
        <f t="shared" si="6"/>
        <v/>
      </c>
      <c r="Q60" s="63"/>
      <c r="R60" s="63"/>
      <c r="S60" s="64" t="str">
        <f t="shared" si="7"/>
        <v/>
      </c>
      <c r="T60" s="65"/>
      <c r="U60" s="66"/>
      <c r="V60" s="18" t="str">
        <f>IF($C60="","",VLOOKUP($C60,#REF!,4,FALSE))</f>
        <v/>
      </c>
      <c r="W60" s="69" t="str">
        <f>IF($E60="","",VLOOKUP($E60,#REF!,4,FALSE))</f>
        <v/>
      </c>
      <c r="Y60"/>
      <c r="Z60"/>
      <c r="AA60"/>
      <c r="AB60"/>
      <c r="AC60"/>
    </row>
    <row r="61" spans="1:29" s="67" customFormat="1" ht="18" customHeight="1">
      <c r="A61" s="60"/>
      <c r="B61" s="61">
        <v>48</v>
      </c>
      <c r="C61" s="21"/>
      <c r="D61" s="275" t="s">
        <v>76</v>
      </c>
      <c r="E61" s="21"/>
      <c r="F61" s="282" t="s">
        <v>76</v>
      </c>
      <c r="G61" s="23"/>
      <c r="H61" s="22"/>
      <c r="I61" s="22"/>
      <c r="J61" s="62" t="str">
        <f t="shared" si="4"/>
        <v/>
      </c>
      <c r="K61" s="63"/>
      <c r="L61" s="63"/>
      <c r="M61" s="64" t="str">
        <f t="shared" si="5"/>
        <v/>
      </c>
      <c r="N61" s="22"/>
      <c r="O61" s="22"/>
      <c r="P61" s="62" t="str">
        <f t="shared" si="6"/>
        <v/>
      </c>
      <c r="Q61" s="63"/>
      <c r="R61" s="63"/>
      <c r="S61" s="64" t="str">
        <f t="shared" si="7"/>
        <v/>
      </c>
      <c r="T61" s="65"/>
      <c r="U61" s="66"/>
      <c r="V61" s="18" t="str">
        <f>IF($C61="","",VLOOKUP($C61,#REF!,4,FALSE))</f>
        <v/>
      </c>
      <c r="W61" s="69" t="str">
        <f>IF($E61="","",VLOOKUP($E61,#REF!,4,FALSE))</f>
        <v/>
      </c>
      <c r="Y61"/>
      <c r="Z61"/>
      <c r="AA61"/>
      <c r="AB61"/>
      <c r="AC61"/>
    </row>
    <row r="62" spans="1:29" s="67" customFormat="1" ht="18" customHeight="1">
      <c r="A62" s="60"/>
      <c r="B62" s="61">
        <v>49</v>
      </c>
      <c r="C62" s="21"/>
      <c r="D62" s="275" t="s">
        <v>76</v>
      </c>
      <c r="E62" s="21"/>
      <c r="F62" s="282" t="s">
        <v>76</v>
      </c>
      <c r="G62" s="23"/>
      <c r="H62" s="22"/>
      <c r="I62" s="22"/>
      <c r="J62" s="62" t="str">
        <f t="shared" si="4"/>
        <v/>
      </c>
      <c r="K62" s="63"/>
      <c r="L62" s="63"/>
      <c r="M62" s="64" t="str">
        <f t="shared" si="5"/>
        <v/>
      </c>
      <c r="N62" s="22"/>
      <c r="O62" s="22"/>
      <c r="P62" s="62" t="str">
        <f t="shared" si="6"/>
        <v/>
      </c>
      <c r="Q62" s="63"/>
      <c r="R62" s="63"/>
      <c r="S62" s="64" t="str">
        <f t="shared" si="7"/>
        <v/>
      </c>
      <c r="T62" s="65"/>
      <c r="U62" s="66"/>
      <c r="V62" s="18" t="str">
        <f>IF($C62="","",VLOOKUP($C62,#REF!,4,FALSE))</f>
        <v/>
      </c>
      <c r="W62" s="69" t="str">
        <f>IF($E62="","",VLOOKUP($E62,#REF!,4,FALSE))</f>
        <v/>
      </c>
      <c r="Y62"/>
      <c r="Z62"/>
      <c r="AA62"/>
      <c r="AB62"/>
      <c r="AC62"/>
    </row>
    <row r="63" spans="1:29" s="67" customFormat="1" ht="18" customHeight="1">
      <c r="A63" s="60"/>
      <c r="B63" s="61">
        <v>50</v>
      </c>
      <c r="C63" s="21"/>
      <c r="D63" s="275" t="s">
        <v>76</v>
      </c>
      <c r="E63" s="21"/>
      <c r="F63" s="282" t="s">
        <v>76</v>
      </c>
      <c r="G63" s="23"/>
      <c r="H63" s="22"/>
      <c r="I63" s="22"/>
      <c r="J63" s="62" t="str">
        <f t="shared" si="4"/>
        <v/>
      </c>
      <c r="K63" s="63"/>
      <c r="L63" s="63"/>
      <c r="M63" s="64" t="str">
        <f t="shared" si="5"/>
        <v/>
      </c>
      <c r="N63" s="22"/>
      <c r="O63" s="22"/>
      <c r="P63" s="62" t="str">
        <f t="shared" si="6"/>
        <v/>
      </c>
      <c r="Q63" s="63"/>
      <c r="R63" s="63"/>
      <c r="S63" s="64" t="str">
        <f t="shared" si="7"/>
        <v/>
      </c>
      <c r="T63" s="65"/>
      <c r="U63" s="66"/>
      <c r="V63" s="18" t="str">
        <f>IF($C63="","",VLOOKUP($C63,#REF!,4,FALSE))</f>
        <v/>
      </c>
      <c r="W63" s="69" t="str">
        <f>IF($E63="","",VLOOKUP($E63,#REF!,4,FALSE))</f>
        <v/>
      </c>
      <c r="Y63"/>
      <c r="Z63"/>
      <c r="AA63"/>
      <c r="AB63"/>
      <c r="AC63"/>
    </row>
    <row r="64" spans="1:29" s="67" customFormat="1" ht="18" customHeight="1">
      <c r="A64" s="60"/>
      <c r="B64" s="61">
        <v>51</v>
      </c>
      <c r="C64" s="21"/>
      <c r="D64" s="275" t="s">
        <v>76</v>
      </c>
      <c r="E64" s="21"/>
      <c r="F64" s="282" t="s">
        <v>76</v>
      </c>
      <c r="G64" s="23"/>
      <c r="H64" s="22"/>
      <c r="I64" s="22"/>
      <c r="J64" s="62" t="str">
        <f t="shared" si="4"/>
        <v/>
      </c>
      <c r="K64" s="63"/>
      <c r="L64" s="63"/>
      <c r="M64" s="64" t="str">
        <f t="shared" si="5"/>
        <v/>
      </c>
      <c r="N64" s="22"/>
      <c r="O64" s="22"/>
      <c r="P64" s="62" t="str">
        <f t="shared" si="6"/>
        <v/>
      </c>
      <c r="Q64" s="63"/>
      <c r="R64" s="63"/>
      <c r="S64" s="64" t="str">
        <f t="shared" si="7"/>
        <v/>
      </c>
      <c r="T64" s="65"/>
      <c r="U64" s="66"/>
      <c r="V64" s="18" t="str">
        <f>IF($C64="","",VLOOKUP($C64,#REF!,4,FALSE))</f>
        <v/>
      </c>
      <c r="W64" s="69" t="str">
        <f>IF($E64="","",VLOOKUP($E64,#REF!,4,FALSE))</f>
        <v/>
      </c>
      <c r="Y64"/>
      <c r="Z64"/>
      <c r="AA64"/>
      <c r="AB64"/>
      <c r="AC64"/>
    </row>
    <row r="65" spans="1:29" s="67" customFormat="1" ht="18" customHeight="1">
      <c r="A65" s="60"/>
      <c r="B65" s="61">
        <v>52</v>
      </c>
      <c r="C65" s="21"/>
      <c r="D65" s="275" t="s">
        <v>76</v>
      </c>
      <c r="E65" s="21"/>
      <c r="F65" s="282" t="s">
        <v>76</v>
      </c>
      <c r="G65" s="23"/>
      <c r="H65" s="22"/>
      <c r="I65" s="22"/>
      <c r="J65" s="62" t="str">
        <f t="shared" si="4"/>
        <v/>
      </c>
      <c r="K65" s="63"/>
      <c r="L65" s="63"/>
      <c r="M65" s="64" t="str">
        <f t="shared" si="5"/>
        <v/>
      </c>
      <c r="N65" s="22"/>
      <c r="O65" s="22"/>
      <c r="P65" s="62" t="str">
        <f t="shared" si="6"/>
        <v/>
      </c>
      <c r="Q65" s="63"/>
      <c r="R65" s="63"/>
      <c r="S65" s="64" t="str">
        <f t="shared" si="7"/>
        <v/>
      </c>
      <c r="T65" s="65"/>
      <c r="U65" s="66"/>
      <c r="V65" s="18" t="str">
        <f>IF($C65="","",VLOOKUP($C65,#REF!,4,FALSE))</f>
        <v/>
      </c>
      <c r="W65" s="69" t="str">
        <f>IF($E65="","",VLOOKUP($E65,#REF!,4,FALSE))</f>
        <v/>
      </c>
      <c r="Y65"/>
      <c r="Z65"/>
      <c r="AA65"/>
      <c r="AB65"/>
      <c r="AC65"/>
    </row>
    <row r="66" spans="1:29" s="67" customFormat="1" ht="18" customHeight="1">
      <c r="A66" s="60"/>
      <c r="B66" s="61">
        <v>53</v>
      </c>
      <c r="C66" s="21"/>
      <c r="D66" s="275" t="s">
        <v>76</v>
      </c>
      <c r="E66" s="21"/>
      <c r="F66" s="282" t="s">
        <v>76</v>
      </c>
      <c r="G66" s="23"/>
      <c r="H66" s="22"/>
      <c r="I66" s="22"/>
      <c r="J66" s="62" t="str">
        <f t="shared" si="4"/>
        <v/>
      </c>
      <c r="K66" s="63"/>
      <c r="L66" s="63"/>
      <c r="M66" s="64" t="str">
        <f t="shared" si="5"/>
        <v/>
      </c>
      <c r="N66" s="22"/>
      <c r="O66" s="22"/>
      <c r="P66" s="62" t="str">
        <f t="shared" si="6"/>
        <v/>
      </c>
      <c r="Q66" s="63"/>
      <c r="R66" s="63"/>
      <c r="S66" s="64" t="str">
        <f t="shared" si="7"/>
        <v/>
      </c>
      <c r="T66" s="65"/>
      <c r="U66" s="66"/>
      <c r="V66" s="18" t="str">
        <f>IF($C66="","",VLOOKUP($C66,#REF!,4,FALSE))</f>
        <v/>
      </c>
      <c r="W66" s="69" t="str">
        <f>IF($E66="","",VLOOKUP($E66,#REF!,4,FALSE))</f>
        <v/>
      </c>
      <c r="Y66"/>
      <c r="Z66"/>
      <c r="AA66"/>
      <c r="AB66"/>
      <c r="AC66"/>
    </row>
    <row r="67" spans="1:29" s="67" customFormat="1" ht="18" customHeight="1">
      <c r="A67" s="60"/>
      <c r="B67" s="61">
        <v>54</v>
      </c>
      <c r="C67" s="21"/>
      <c r="D67" s="275" t="s">
        <v>76</v>
      </c>
      <c r="E67" s="21"/>
      <c r="F67" s="282" t="s">
        <v>76</v>
      </c>
      <c r="G67" s="23"/>
      <c r="H67" s="22"/>
      <c r="I67" s="22"/>
      <c r="J67" s="62" t="str">
        <f t="shared" si="4"/>
        <v/>
      </c>
      <c r="K67" s="63"/>
      <c r="L67" s="63"/>
      <c r="M67" s="64" t="str">
        <f t="shared" si="5"/>
        <v/>
      </c>
      <c r="N67" s="22"/>
      <c r="O67" s="22"/>
      <c r="P67" s="62" t="str">
        <f t="shared" si="6"/>
        <v/>
      </c>
      <c r="Q67" s="63"/>
      <c r="R67" s="63"/>
      <c r="S67" s="64" t="str">
        <f t="shared" si="7"/>
        <v/>
      </c>
      <c r="T67" s="65"/>
      <c r="U67" s="66"/>
      <c r="V67" s="18" t="str">
        <f>IF($C67="","",VLOOKUP($C67,#REF!,4,FALSE))</f>
        <v/>
      </c>
      <c r="W67" s="69" t="str">
        <f>IF($E67="","",VLOOKUP($E67,#REF!,4,FALSE))</f>
        <v/>
      </c>
      <c r="Y67"/>
      <c r="Z67"/>
      <c r="AA67"/>
      <c r="AB67"/>
      <c r="AC67"/>
    </row>
    <row r="68" spans="1:29" s="67" customFormat="1" ht="18" customHeight="1">
      <c r="A68" s="60"/>
      <c r="B68" s="61">
        <v>55</v>
      </c>
      <c r="C68" s="21"/>
      <c r="D68" s="275" t="s">
        <v>76</v>
      </c>
      <c r="E68" s="21"/>
      <c r="F68" s="282" t="s">
        <v>76</v>
      </c>
      <c r="G68" s="23"/>
      <c r="H68" s="22"/>
      <c r="I68" s="22"/>
      <c r="J68" s="62" t="str">
        <f t="shared" si="4"/>
        <v/>
      </c>
      <c r="K68" s="63"/>
      <c r="L68" s="63"/>
      <c r="M68" s="64" t="str">
        <f t="shared" si="5"/>
        <v/>
      </c>
      <c r="N68" s="22"/>
      <c r="O68" s="22"/>
      <c r="P68" s="62" t="str">
        <f t="shared" si="6"/>
        <v/>
      </c>
      <c r="Q68" s="63"/>
      <c r="R68" s="63"/>
      <c r="S68" s="64" t="str">
        <f t="shared" si="7"/>
        <v/>
      </c>
      <c r="T68" s="65"/>
      <c r="U68" s="66"/>
      <c r="V68" s="18" t="str">
        <f>IF($C68="","",VLOOKUP($C68,#REF!,4,FALSE))</f>
        <v/>
      </c>
      <c r="W68" s="69" t="str">
        <f>IF($E68="","",VLOOKUP($E68,#REF!,4,FALSE))</f>
        <v/>
      </c>
      <c r="Y68"/>
      <c r="Z68"/>
      <c r="AA68"/>
      <c r="AB68"/>
      <c r="AC68"/>
    </row>
    <row r="69" spans="1:29" s="67" customFormat="1" ht="18" customHeight="1">
      <c r="A69" s="60"/>
      <c r="B69" s="61">
        <v>56</v>
      </c>
      <c r="C69" s="21"/>
      <c r="D69" s="275" t="s">
        <v>76</v>
      </c>
      <c r="E69" s="21"/>
      <c r="F69" s="282" t="s">
        <v>76</v>
      </c>
      <c r="G69" s="23"/>
      <c r="H69" s="22"/>
      <c r="I69" s="22"/>
      <c r="J69" s="62" t="str">
        <f t="shared" si="4"/>
        <v/>
      </c>
      <c r="K69" s="63"/>
      <c r="L69" s="63"/>
      <c r="M69" s="64" t="str">
        <f t="shared" si="5"/>
        <v/>
      </c>
      <c r="N69" s="22"/>
      <c r="O69" s="22"/>
      <c r="P69" s="62" t="str">
        <f t="shared" si="6"/>
        <v/>
      </c>
      <c r="Q69" s="63"/>
      <c r="R69" s="63"/>
      <c r="S69" s="64" t="str">
        <f t="shared" si="7"/>
        <v/>
      </c>
      <c r="T69" s="65"/>
      <c r="U69" s="66"/>
      <c r="V69" s="18" t="str">
        <f>IF($C69="","",VLOOKUP($C69,#REF!,4,FALSE))</f>
        <v/>
      </c>
      <c r="W69" s="69" t="str">
        <f>IF($E69="","",VLOOKUP($E69,#REF!,4,FALSE))</f>
        <v/>
      </c>
      <c r="Y69"/>
      <c r="Z69"/>
      <c r="AA69"/>
      <c r="AB69"/>
      <c r="AC69"/>
    </row>
    <row r="70" spans="1:29" s="67" customFormat="1" ht="18" customHeight="1">
      <c r="A70" s="60"/>
      <c r="B70" s="61">
        <v>57</v>
      </c>
      <c r="C70" s="21"/>
      <c r="D70" s="275" t="s">
        <v>76</v>
      </c>
      <c r="E70" s="21"/>
      <c r="F70" s="282" t="s">
        <v>76</v>
      </c>
      <c r="G70" s="23"/>
      <c r="H70" s="22"/>
      <c r="I70" s="22"/>
      <c r="J70" s="62" t="str">
        <f t="shared" si="4"/>
        <v/>
      </c>
      <c r="K70" s="63"/>
      <c r="L70" s="63"/>
      <c r="M70" s="64" t="str">
        <f t="shared" si="5"/>
        <v/>
      </c>
      <c r="N70" s="22"/>
      <c r="O70" s="22"/>
      <c r="P70" s="62" t="str">
        <f t="shared" si="6"/>
        <v/>
      </c>
      <c r="Q70" s="63"/>
      <c r="R70" s="63"/>
      <c r="S70" s="64" t="str">
        <f t="shared" si="7"/>
        <v/>
      </c>
      <c r="T70" s="65"/>
      <c r="U70" s="66"/>
      <c r="V70" s="18" t="str">
        <f>IF($C70="","",VLOOKUP($C70,#REF!,4,FALSE))</f>
        <v/>
      </c>
      <c r="W70" s="69" t="str">
        <f>IF($E70="","",VLOOKUP($E70,#REF!,4,FALSE))</f>
        <v/>
      </c>
      <c r="Y70"/>
      <c r="Z70"/>
      <c r="AA70"/>
      <c r="AB70"/>
      <c r="AC70"/>
    </row>
    <row r="71" spans="1:29" s="67" customFormat="1" ht="18" customHeight="1">
      <c r="A71" s="60"/>
      <c r="B71" s="61">
        <v>58</v>
      </c>
      <c r="C71" s="21"/>
      <c r="D71" s="275" t="s">
        <v>76</v>
      </c>
      <c r="E71" s="21"/>
      <c r="F71" s="282" t="s">
        <v>76</v>
      </c>
      <c r="G71" s="23"/>
      <c r="H71" s="22"/>
      <c r="I71" s="22"/>
      <c r="J71" s="62" t="str">
        <f t="shared" si="4"/>
        <v/>
      </c>
      <c r="K71" s="63"/>
      <c r="L71" s="63"/>
      <c r="M71" s="64" t="str">
        <f t="shared" si="5"/>
        <v/>
      </c>
      <c r="N71" s="22"/>
      <c r="O71" s="22"/>
      <c r="P71" s="62" t="str">
        <f t="shared" si="6"/>
        <v/>
      </c>
      <c r="Q71" s="63"/>
      <c r="R71" s="63"/>
      <c r="S71" s="64" t="str">
        <f t="shared" si="7"/>
        <v/>
      </c>
      <c r="T71" s="65"/>
      <c r="U71" s="66"/>
      <c r="V71" s="18" t="str">
        <f>IF($C71="","",VLOOKUP($C71,#REF!,4,FALSE))</f>
        <v/>
      </c>
      <c r="W71" s="69" t="str">
        <f>IF($E71="","",VLOOKUP($E71,#REF!,4,FALSE))</f>
        <v/>
      </c>
      <c r="Y71"/>
      <c r="Z71"/>
      <c r="AA71"/>
      <c r="AB71"/>
      <c r="AC71"/>
    </row>
    <row r="72" spans="1:29" s="67" customFormat="1" ht="18" customHeight="1">
      <c r="A72" s="60"/>
      <c r="B72" s="61">
        <v>59</v>
      </c>
      <c r="C72" s="21"/>
      <c r="D72" s="275" t="s">
        <v>76</v>
      </c>
      <c r="E72" s="21"/>
      <c r="F72" s="282" t="s">
        <v>76</v>
      </c>
      <c r="G72" s="23"/>
      <c r="H72" s="22"/>
      <c r="I72" s="22"/>
      <c r="J72" s="62" t="str">
        <f t="shared" si="4"/>
        <v/>
      </c>
      <c r="K72" s="63"/>
      <c r="L72" s="63"/>
      <c r="M72" s="64" t="str">
        <f t="shared" si="5"/>
        <v/>
      </c>
      <c r="N72" s="22"/>
      <c r="O72" s="22"/>
      <c r="P72" s="62" t="str">
        <f t="shared" si="6"/>
        <v/>
      </c>
      <c r="Q72" s="63"/>
      <c r="R72" s="63"/>
      <c r="S72" s="64" t="str">
        <f t="shared" si="7"/>
        <v/>
      </c>
      <c r="T72" s="65"/>
      <c r="U72" s="66"/>
      <c r="V72" s="18" t="str">
        <f>IF($C72="","",VLOOKUP($C72,#REF!,4,FALSE))</f>
        <v/>
      </c>
      <c r="W72" s="69" t="str">
        <f>IF($E72="","",VLOOKUP($E72,#REF!,4,FALSE))</f>
        <v/>
      </c>
      <c r="Y72"/>
      <c r="Z72"/>
      <c r="AA72"/>
      <c r="AB72"/>
      <c r="AC72"/>
    </row>
    <row r="73" spans="1:29" s="67" customFormat="1" ht="18" customHeight="1">
      <c r="A73" s="60"/>
      <c r="B73" s="61">
        <v>60</v>
      </c>
      <c r="C73" s="21"/>
      <c r="D73" s="275" t="s">
        <v>76</v>
      </c>
      <c r="E73" s="21"/>
      <c r="F73" s="282" t="s">
        <v>76</v>
      </c>
      <c r="G73" s="23"/>
      <c r="H73" s="22"/>
      <c r="I73" s="22"/>
      <c r="J73" s="62" t="str">
        <f t="shared" si="4"/>
        <v/>
      </c>
      <c r="K73" s="63"/>
      <c r="L73" s="63"/>
      <c r="M73" s="64" t="str">
        <f t="shared" si="5"/>
        <v/>
      </c>
      <c r="N73" s="22"/>
      <c r="O73" s="22"/>
      <c r="P73" s="62" t="str">
        <f t="shared" si="6"/>
        <v/>
      </c>
      <c r="Q73" s="63"/>
      <c r="R73" s="63"/>
      <c r="S73" s="64" t="str">
        <f t="shared" si="7"/>
        <v/>
      </c>
      <c r="T73" s="65"/>
      <c r="U73" s="66"/>
      <c r="V73" s="18" t="str">
        <f>IF($C73="","",VLOOKUP($C73,#REF!,4,FALSE))</f>
        <v/>
      </c>
      <c r="W73" s="69" t="str">
        <f>IF($E73="","",VLOOKUP($E73,#REF!,4,FALSE))</f>
        <v/>
      </c>
      <c r="Y73"/>
      <c r="Z73"/>
      <c r="AA73"/>
      <c r="AB73"/>
      <c r="AC73"/>
    </row>
    <row r="126" spans="5:5" ht="18" customHeight="1">
      <c r="E126" s="20" ph="1"/>
    </row>
    <row r="137" spans="5:5" ht="18" customHeight="1">
      <c r="E137" s="20" ph="1"/>
    </row>
    <row r="153" spans="5:5" ht="18" customHeight="1">
      <c r="E153" s="20" ph="1"/>
    </row>
    <row r="154" spans="5:5" ht="18" customHeight="1">
      <c r="E154" s="20" ph="1"/>
    </row>
    <row r="173" spans="5:5" ht="18" customHeight="1">
      <c r="E173" s="20" ph="1"/>
    </row>
    <row r="181" spans="5:5" ht="18" customHeight="1">
      <c r="E181" s="20" ph="1"/>
    </row>
    <row r="182" spans="5:5" ht="18" customHeight="1">
      <c r="E182" s="20" ph="1"/>
    </row>
    <row r="196" spans="5:5" ht="18" customHeight="1">
      <c r="E196" s="20" ph="1"/>
    </row>
    <row r="198" spans="5:5" ht="18" customHeight="1">
      <c r="E198" s="20" ph="1"/>
    </row>
    <row r="199" spans="5:5" ht="18" customHeight="1">
      <c r="E199" s="20" ph="1"/>
    </row>
    <row r="200" spans="5:5" ht="18" customHeight="1">
      <c r="E200" s="20" ph="1"/>
    </row>
    <row r="201" spans="5:5" ht="18" customHeight="1">
      <c r="E201" s="20" ph="1"/>
    </row>
  </sheetData>
  <autoFilter ref="A13:W13" xr:uid="{00000000-0001-0000-1200-000000000000}">
    <sortState xmlns:xlrd2="http://schemas.microsoft.com/office/spreadsheetml/2017/richdata2" ref="A14:W73">
      <sortCondition ref="B13"/>
    </sortState>
  </autoFilter>
  <sortState xmlns:xlrd2="http://schemas.microsoft.com/office/spreadsheetml/2017/richdata2" ref="A14:AD24">
    <sortCondition ref="B14:B24"/>
  </sortState>
  <phoneticPr fontId="10"/>
  <conditionalFormatting sqref="V14:V73">
    <cfRule type="cellIs" dxfId="15" priority="4" stopIfTrue="1" operator="notBetween">
      <formula>"A"</formula>
      <formula>"Ｂ"</formula>
    </cfRule>
  </conditionalFormatting>
  <conditionalFormatting sqref="W14:W73">
    <cfRule type="cellIs" dxfId="14" priority="3" stopIfTrue="1" operator="between">
      <formula>"-"</formula>
      <formula>"申請中"</formula>
    </cfRule>
  </conditionalFormatting>
  <conditionalFormatting sqref="Y14:Z73">
    <cfRule type="expression" dxfId="13" priority="2">
      <formula>Y14&lt;&gt;C14</formula>
    </cfRule>
  </conditionalFormatting>
  <conditionalFormatting sqref="AB14:AC73">
    <cfRule type="expression" dxfId="12" priority="1">
      <formula>AB14&lt;&gt;E14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GetJEFInfo">
                <anchor moveWithCells="1" sizeWithCells="1">
                  <from>
                    <xdr:col>24</xdr:col>
                    <xdr:colOff>381000</xdr:colOff>
                    <xdr:row>5</xdr:row>
                    <xdr:rowOff>213360</xdr:rowOff>
                  </from>
                  <to>
                    <xdr:col>26</xdr:col>
                    <xdr:colOff>601980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6">
    <tabColor rgb="FFFFC000"/>
  </sheetPr>
  <dimension ref="A1:AC201"/>
  <sheetViews>
    <sheetView workbookViewId="0">
      <selection activeCell="A14" sqref="A14:G15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24" width="9.6640625" style="20"/>
    <col min="29" max="16384" width="9.6640625" style="20"/>
  </cols>
  <sheetData>
    <row r="1" spans="1:29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Y1"/>
      <c r="Z1"/>
      <c r="AA1"/>
      <c r="AB1"/>
    </row>
    <row r="2" spans="1:29" s="25" customFormat="1" ht="18" customHeight="1">
      <c r="B2" s="26" t="s">
        <v>1</v>
      </c>
      <c r="C2" s="27"/>
      <c r="E2" s="26" t="s">
        <v>2</v>
      </c>
      <c r="F2" s="30"/>
      <c r="G2" s="175">
        <v>46277</v>
      </c>
      <c r="L2" s="28"/>
      <c r="N2" s="26" t="s">
        <v>3</v>
      </c>
      <c r="O2" s="29"/>
      <c r="P2" s="30"/>
      <c r="Q2" s="30"/>
      <c r="R2" s="30"/>
      <c r="S2" s="30"/>
      <c r="T2" s="30"/>
      <c r="Y2"/>
      <c r="Z2"/>
      <c r="AA2"/>
      <c r="AB2"/>
    </row>
    <row r="3" spans="1:29" s="25" customFormat="1" ht="18" customHeight="1">
      <c r="A3" s="31"/>
      <c r="B3" s="26" t="s">
        <v>4</v>
      </c>
      <c r="C3" s="71" t="s">
        <v>481</v>
      </c>
      <c r="D3" s="139"/>
      <c r="E3" s="139"/>
      <c r="F3" s="139"/>
      <c r="G3" s="139"/>
      <c r="Q3" s="26" t="s">
        <v>5</v>
      </c>
      <c r="R3" s="29"/>
      <c r="S3" s="30"/>
      <c r="T3" s="30"/>
      <c r="U3" s="32"/>
      <c r="Y3"/>
      <c r="Z3"/>
      <c r="AA3"/>
      <c r="AB3"/>
    </row>
    <row r="4" spans="1:29" s="25" customFormat="1" ht="18" customHeight="1">
      <c r="B4" s="26" t="s">
        <v>6</v>
      </c>
      <c r="C4" s="33">
        <v>18</v>
      </c>
      <c r="D4" s="25" t="s">
        <v>7</v>
      </c>
      <c r="E4" s="26" t="s">
        <v>8</v>
      </c>
      <c r="F4" s="276" t="s">
        <v>80</v>
      </c>
      <c r="G4" s="30"/>
      <c r="H4" s="30"/>
      <c r="J4" s="26" t="s">
        <v>9</v>
      </c>
      <c r="K4" s="34" t="s">
        <v>59</v>
      </c>
      <c r="N4" s="26" t="s">
        <v>10</v>
      </c>
      <c r="O4" s="35">
        <v>350</v>
      </c>
      <c r="Y4"/>
      <c r="Z4"/>
      <c r="AA4"/>
      <c r="AB4"/>
    </row>
    <row r="5" spans="1:29" s="25" customFormat="1" ht="18" customHeight="1">
      <c r="C5" s="26" t="s">
        <v>11</v>
      </c>
      <c r="D5" s="27" t="s">
        <v>59</v>
      </c>
      <c r="E5" s="26" t="s">
        <v>12</v>
      </c>
      <c r="F5" s="36" t="s">
        <v>59</v>
      </c>
      <c r="G5" s="26" t="s">
        <v>13</v>
      </c>
      <c r="H5" s="70">
        <v>238</v>
      </c>
      <c r="I5" s="36">
        <v>2.1</v>
      </c>
      <c r="J5" s="37" t="s">
        <v>14</v>
      </c>
      <c r="K5" s="38" t="s">
        <v>39</v>
      </c>
      <c r="L5" s="26" t="s">
        <v>15</v>
      </c>
      <c r="M5" s="39"/>
      <c r="O5" s="26" t="s">
        <v>16</v>
      </c>
      <c r="P5" s="39"/>
      <c r="R5" s="26" t="s">
        <v>17</v>
      </c>
      <c r="S5" s="39"/>
      <c r="Y5"/>
      <c r="Z5"/>
      <c r="AA5"/>
      <c r="AB5"/>
    </row>
    <row r="6" spans="1:29" s="25" customFormat="1" ht="35.1" customHeight="1">
      <c r="C6" s="40" t="s">
        <v>18</v>
      </c>
      <c r="D6" s="269" t="s">
        <v>40</v>
      </c>
      <c r="E6" s="26" t="s">
        <v>19</v>
      </c>
      <c r="F6" s="277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  <c r="Y6"/>
      <c r="Z6"/>
      <c r="AA6"/>
      <c r="AB6"/>
    </row>
    <row r="7" spans="1:29" s="25" customFormat="1" ht="15" customHeight="1">
      <c r="A7" s="26" t="s">
        <v>69</v>
      </c>
      <c r="B7" s="74" t="s">
        <v>0</v>
      </c>
      <c r="C7" s="77"/>
      <c r="D7" s="26" t="s">
        <v>70</v>
      </c>
      <c r="E7" s="75"/>
      <c r="F7" s="32"/>
      <c r="I7" s="26"/>
      <c r="J7" s="37"/>
      <c r="K7" s="32"/>
      <c r="L7" s="26"/>
      <c r="M7" s="32"/>
      <c r="N7" s="26"/>
      <c r="O7" s="42"/>
      <c r="Q7" s="26"/>
      <c r="R7" s="43"/>
      <c r="Y7"/>
      <c r="Z7"/>
      <c r="AA7"/>
      <c r="AB7"/>
    </row>
    <row r="8" spans="1:29" s="25" customFormat="1" ht="15" customHeight="1">
      <c r="A8" s="26" t="s">
        <v>71</v>
      </c>
      <c r="B8" s="74" t="s">
        <v>0</v>
      </c>
      <c r="C8" s="73"/>
      <c r="D8" s="26" t="s">
        <v>70</v>
      </c>
      <c r="E8" s="76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  <c r="Y8"/>
      <c r="Z8"/>
      <c r="AA8"/>
      <c r="AB8"/>
    </row>
    <row r="9" spans="1:29" s="25" customFormat="1" ht="15" customHeight="1">
      <c r="A9" s="26" t="s">
        <v>72</v>
      </c>
      <c r="B9" s="74" t="s">
        <v>0</v>
      </c>
      <c r="C9" s="73"/>
      <c r="D9" s="26" t="s">
        <v>70</v>
      </c>
      <c r="E9" s="76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  <c r="Y9"/>
      <c r="Z9"/>
      <c r="AA9"/>
      <c r="AB9"/>
    </row>
    <row r="10" spans="1:29" s="25" customFormat="1" ht="15" customHeight="1">
      <c r="A10" s="26" t="s">
        <v>73</v>
      </c>
      <c r="B10" s="74" t="s">
        <v>0</v>
      </c>
      <c r="C10" s="73"/>
      <c r="D10" s="26" t="s">
        <v>70</v>
      </c>
      <c r="E10" s="76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  <c r="Y10"/>
      <c r="Z10"/>
      <c r="AA10"/>
      <c r="AB10"/>
    </row>
    <row r="11" spans="1:29" s="25" customFormat="1" ht="15" customHeight="1">
      <c r="A11" s="26" t="s">
        <v>74</v>
      </c>
      <c r="B11" s="74" t="s">
        <v>0</v>
      </c>
      <c r="C11" s="73"/>
      <c r="D11" s="26" t="s">
        <v>70</v>
      </c>
      <c r="E11" s="76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  <c r="Y11"/>
      <c r="Z11"/>
      <c r="AA11"/>
      <c r="AB11"/>
    </row>
    <row r="12" spans="1:29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51</v>
      </c>
      <c r="W12" s="15" t="s">
        <v>52</v>
      </c>
    </row>
    <row r="13" spans="1:29" ht="35.1" customHeight="1">
      <c r="A13" s="52" t="s">
        <v>24</v>
      </c>
      <c r="B13" s="52" t="s">
        <v>25</v>
      </c>
      <c r="C13" s="53" t="s">
        <v>26</v>
      </c>
      <c r="D13" s="270" t="s">
        <v>0</v>
      </c>
      <c r="E13" s="53" t="s">
        <v>27</v>
      </c>
      <c r="F13" s="270" t="s">
        <v>28</v>
      </c>
      <c r="G13" s="53" t="s">
        <v>29</v>
      </c>
      <c r="H13" s="54" t="s">
        <v>30</v>
      </c>
      <c r="I13" s="53" t="s">
        <v>31</v>
      </c>
      <c r="J13" s="54" t="s">
        <v>32</v>
      </c>
      <c r="K13" s="54" t="s">
        <v>33</v>
      </c>
      <c r="L13" s="54" t="s">
        <v>34</v>
      </c>
      <c r="M13" s="53" t="s">
        <v>35</v>
      </c>
      <c r="N13" s="55" t="s">
        <v>30</v>
      </c>
      <c r="O13" s="56" t="s">
        <v>31</v>
      </c>
      <c r="P13" s="55" t="s">
        <v>32</v>
      </c>
      <c r="Q13" s="55" t="s">
        <v>33</v>
      </c>
      <c r="R13" s="57" t="s">
        <v>36</v>
      </c>
      <c r="S13" s="58" t="s">
        <v>37</v>
      </c>
      <c r="T13" s="59" t="s">
        <v>38</v>
      </c>
      <c r="V13" s="15" t="s">
        <v>57</v>
      </c>
      <c r="W13" s="15" t="s">
        <v>58</v>
      </c>
    </row>
    <row r="14" spans="1:29" s="67" customFormat="1" ht="18" customHeight="1">
      <c r="A14" s="60"/>
      <c r="B14" s="61">
        <v>1</v>
      </c>
      <c r="C14" s="137" t="s">
        <v>727</v>
      </c>
      <c r="D14" s="271">
        <v>30301</v>
      </c>
      <c r="E14" s="80" t="s">
        <v>329</v>
      </c>
      <c r="F14" s="297">
        <v>61511</v>
      </c>
      <c r="G14" s="165" t="s">
        <v>492</v>
      </c>
      <c r="H14" s="22"/>
      <c r="I14" s="22"/>
      <c r="J14" s="62" t="str">
        <f>IF(H14="","",H14+I14)</f>
        <v/>
      </c>
      <c r="K14" s="63"/>
      <c r="L14" s="63"/>
      <c r="M14" s="64" t="str">
        <f>IF(L14="","",K14+L14)</f>
        <v/>
      </c>
      <c r="N14" s="22"/>
      <c r="O14" s="22"/>
      <c r="P14" s="62" t="str">
        <f>IF(N14="","",N14+O14)</f>
        <v/>
      </c>
      <c r="Q14" s="63"/>
      <c r="R14" s="63"/>
      <c r="S14" s="64" t="str">
        <f>IF(R14="","",Q14+R14)</f>
        <v/>
      </c>
      <c r="T14" s="65"/>
      <c r="U14" s="66"/>
      <c r="V14" s="18" t="e">
        <f>IF($C14="","",VLOOKUP($C14,#REF!,4,FALSE))</f>
        <v>#REF!</v>
      </c>
      <c r="W14" s="69" t="e">
        <f>IF($E14="","",VLOOKUP($E14,#REF!,4,FALSE))</f>
        <v>#REF!</v>
      </c>
      <c r="Y14" t="s">
        <v>244</v>
      </c>
      <c r="Z14">
        <v>27056</v>
      </c>
      <c r="AA14" t="s">
        <v>164</v>
      </c>
      <c r="AB14"/>
      <c r="AC14"/>
    </row>
    <row r="15" spans="1:29" s="67" customFormat="1" ht="18" customHeight="1">
      <c r="A15" s="60" t="s">
        <v>687</v>
      </c>
      <c r="B15" s="61">
        <v>2</v>
      </c>
      <c r="C15" s="78" t="s">
        <v>728</v>
      </c>
      <c r="D15" s="296">
        <v>15169</v>
      </c>
      <c r="E15" s="92" t="s">
        <v>560</v>
      </c>
      <c r="F15" s="298">
        <v>59391</v>
      </c>
      <c r="G15" s="78" t="s">
        <v>559</v>
      </c>
      <c r="H15" s="22"/>
      <c r="I15" s="22"/>
      <c r="J15" s="62" t="str">
        <f>IF(H15="","",H15+I15)</f>
        <v/>
      </c>
      <c r="K15" s="63"/>
      <c r="L15" s="63"/>
      <c r="M15" s="64" t="str">
        <f>IF(L15="","",K15+L15)</f>
        <v/>
      </c>
      <c r="N15" s="22"/>
      <c r="O15" s="22"/>
      <c r="P15" s="62" t="str">
        <f>IF(N15="","",N15+O15)</f>
        <v/>
      </c>
      <c r="Q15" s="63"/>
      <c r="R15" s="63"/>
      <c r="S15" s="64" t="str">
        <f>IF(R15="","",Q15+R15)</f>
        <v/>
      </c>
      <c r="T15" s="65"/>
      <c r="U15" s="66"/>
      <c r="V15" s="18" t="e">
        <f>IF($C15="","",VLOOKUP($C15,#REF!,4,FALSE))</f>
        <v>#REF!</v>
      </c>
      <c r="W15" s="69" t="e">
        <f>IF($E15="","",VLOOKUP($E15,#REF!,4,FALSE))</f>
        <v>#REF!</v>
      </c>
      <c r="Y15"/>
      <c r="Z15"/>
      <c r="AA15"/>
      <c r="AB15"/>
      <c r="AC15"/>
    </row>
    <row r="16" spans="1:29" s="67" customFormat="1" ht="18" customHeight="1">
      <c r="A16" s="60"/>
      <c r="B16" s="61">
        <v>3</v>
      </c>
      <c r="C16" s="132"/>
      <c r="D16" s="275"/>
      <c r="E16" s="21"/>
      <c r="F16" s="282"/>
      <c r="G16" s="91"/>
      <c r="H16" s="22"/>
      <c r="I16" s="22"/>
      <c r="J16" s="62" t="str">
        <f t="shared" ref="J16:J73" si="0">IF(H16="","",H16+I16)</f>
        <v/>
      </c>
      <c r="K16" s="63"/>
      <c r="L16" s="63"/>
      <c r="M16" s="64" t="str">
        <f t="shared" ref="M16:M73" si="1">IF(L16="","",K16+L16)</f>
        <v/>
      </c>
      <c r="N16" s="22"/>
      <c r="O16" s="22"/>
      <c r="P16" s="62" t="str">
        <f t="shared" ref="P16:P73" si="2">IF(N16="","",N16+O16)</f>
        <v/>
      </c>
      <c r="Q16" s="63"/>
      <c r="R16" s="63"/>
      <c r="S16" s="64" t="str">
        <f t="shared" ref="S16:S73" si="3">IF(R16="","",Q16+R16)</f>
        <v/>
      </c>
      <c r="T16" s="65"/>
      <c r="U16" s="66"/>
      <c r="V16" s="18" t="str">
        <f>IF($C16="","",VLOOKUP($C16,#REF!,4,FALSE))</f>
        <v/>
      </c>
      <c r="W16" s="69" t="str">
        <f>IF($E16="","",VLOOKUP($E16,#REF!,4,FALSE))</f>
        <v/>
      </c>
      <c r="Y16"/>
      <c r="Z16"/>
      <c r="AA16"/>
      <c r="AB16"/>
      <c r="AC16"/>
    </row>
    <row r="17" spans="1:29" s="67" customFormat="1" ht="18" customHeight="1">
      <c r="A17" s="60"/>
      <c r="B17" s="61">
        <v>4</v>
      </c>
      <c r="C17" s="21"/>
      <c r="D17" s="275"/>
      <c r="E17" s="21"/>
      <c r="F17" s="282"/>
      <c r="G17" s="23"/>
      <c r="H17" s="22"/>
      <c r="I17" s="22"/>
      <c r="J17" s="62" t="str">
        <f t="shared" si="0"/>
        <v/>
      </c>
      <c r="K17" s="63"/>
      <c r="L17" s="63"/>
      <c r="M17" s="64" t="str">
        <f t="shared" si="1"/>
        <v/>
      </c>
      <c r="N17" s="22"/>
      <c r="O17" s="22"/>
      <c r="P17" s="62" t="str">
        <f t="shared" si="2"/>
        <v/>
      </c>
      <c r="Q17" s="63"/>
      <c r="R17" s="63"/>
      <c r="S17" s="64" t="str">
        <f t="shared" si="3"/>
        <v/>
      </c>
      <c r="T17" s="65"/>
      <c r="U17" s="66"/>
      <c r="V17" s="18" t="str">
        <f>IF($C17="","",VLOOKUP($C17,#REF!,4,FALSE))</f>
        <v/>
      </c>
      <c r="W17" s="69" t="str">
        <f>IF($E17="","",VLOOKUP($E17,#REF!,4,FALSE))</f>
        <v/>
      </c>
      <c r="Y17"/>
      <c r="Z17"/>
      <c r="AA17"/>
      <c r="AB17"/>
      <c r="AC17"/>
    </row>
    <row r="18" spans="1:29" s="67" customFormat="1" ht="18" customHeight="1">
      <c r="A18" s="60"/>
      <c r="B18" s="61">
        <v>5</v>
      </c>
      <c r="C18" s="21"/>
      <c r="D18" s="275" t="s">
        <v>76</v>
      </c>
      <c r="E18" s="21"/>
      <c r="F18" s="282" t="s">
        <v>76</v>
      </c>
      <c r="G18" s="23"/>
      <c r="H18" s="22"/>
      <c r="I18" s="22"/>
      <c r="J18" s="62" t="str">
        <f t="shared" si="0"/>
        <v/>
      </c>
      <c r="K18" s="63"/>
      <c r="L18" s="63"/>
      <c r="M18" s="64" t="str">
        <f t="shared" si="1"/>
        <v/>
      </c>
      <c r="N18" s="22"/>
      <c r="O18" s="22"/>
      <c r="P18" s="62" t="str">
        <f t="shared" si="2"/>
        <v/>
      </c>
      <c r="Q18" s="63"/>
      <c r="R18" s="63"/>
      <c r="S18" s="64" t="str">
        <f t="shared" si="3"/>
        <v/>
      </c>
      <c r="T18" s="65"/>
      <c r="U18" s="66"/>
      <c r="V18" s="18" t="str">
        <f>IF($C18="","",VLOOKUP($C18,#REF!,4,FALSE))</f>
        <v/>
      </c>
      <c r="W18" s="69" t="str">
        <f>IF($E18="","",VLOOKUP($E18,#REF!,4,FALSE))</f>
        <v/>
      </c>
      <c r="Y18"/>
      <c r="Z18"/>
      <c r="AA18"/>
      <c r="AB18"/>
      <c r="AC18"/>
    </row>
    <row r="19" spans="1:29" s="67" customFormat="1" ht="18" customHeight="1">
      <c r="A19" s="60"/>
      <c r="B19" s="61">
        <v>6</v>
      </c>
      <c r="C19" s="21"/>
      <c r="D19" s="275" t="s">
        <v>76</v>
      </c>
      <c r="E19" s="21"/>
      <c r="F19" s="282" t="s">
        <v>76</v>
      </c>
      <c r="G19" s="23"/>
      <c r="H19" s="22"/>
      <c r="I19" s="22"/>
      <c r="J19" s="62" t="str">
        <f t="shared" si="0"/>
        <v/>
      </c>
      <c r="K19" s="63"/>
      <c r="L19" s="63"/>
      <c r="M19" s="64" t="str">
        <f t="shared" si="1"/>
        <v/>
      </c>
      <c r="N19" s="22"/>
      <c r="O19" s="22"/>
      <c r="P19" s="62" t="str">
        <f t="shared" si="2"/>
        <v/>
      </c>
      <c r="Q19" s="63"/>
      <c r="R19" s="63"/>
      <c r="S19" s="64" t="str">
        <f t="shared" si="3"/>
        <v/>
      </c>
      <c r="T19" s="65"/>
      <c r="U19" s="66"/>
      <c r="V19" s="18" t="str">
        <f>IF($C19="","",VLOOKUP($C19,#REF!,4,FALSE))</f>
        <v/>
      </c>
      <c r="W19" s="69" t="str">
        <f>IF($E19="","",VLOOKUP($E19,#REF!,4,FALSE))</f>
        <v/>
      </c>
      <c r="Y19"/>
      <c r="Z19"/>
      <c r="AA19"/>
      <c r="AB19"/>
      <c r="AC19"/>
    </row>
    <row r="20" spans="1:29" s="67" customFormat="1" ht="18" customHeight="1">
      <c r="A20" s="60"/>
      <c r="B20" s="61">
        <v>7</v>
      </c>
      <c r="C20" s="21"/>
      <c r="D20" s="275" t="s">
        <v>76</v>
      </c>
      <c r="E20" s="21"/>
      <c r="F20" s="282" t="s">
        <v>76</v>
      </c>
      <c r="G20" s="23"/>
      <c r="H20" s="22"/>
      <c r="I20" s="22"/>
      <c r="J20" s="62" t="str">
        <f t="shared" si="0"/>
        <v/>
      </c>
      <c r="K20" s="63"/>
      <c r="L20" s="63"/>
      <c r="M20" s="64" t="str">
        <f t="shared" si="1"/>
        <v/>
      </c>
      <c r="N20" s="22"/>
      <c r="O20" s="22"/>
      <c r="P20" s="62" t="str">
        <f t="shared" si="2"/>
        <v/>
      </c>
      <c r="Q20" s="63"/>
      <c r="R20" s="63"/>
      <c r="S20" s="64" t="str">
        <f t="shared" si="3"/>
        <v/>
      </c>
      <c r="T20" s="65"/>
      <c r="U20" s="66"/>
      <c r="V20" s="18" t="str">
        <f>IF($C20="","",VLOOKUP($C20,#REF!,4,FALSE))</f>
        <v/>
      </c>
      <c r="W20" s="69" t="str">
        <f>IF($E20="","",VLOOKUP($E20,#REF!,4,FALSE))</f>
        <v/>
      </c>
      <c r="Y20"/>
      <c r="Z20"/>
      <c r="AA20"/>
      <c r="AB20"/>
      <c r="AC20"/>
    </row>
    <row r="21" spans="1:29" s="67" customFormat="1" ht="18" customHeight="1">
      <c r="A21" s="60"/>
      <c r="B21" s="61">
        <v>8</v>
      </c>
      <c r="C21" s="21"/>
      <c r="D21" s="275" t="s">
        <v>76</v>
      </c>
      <c r="E21" s="21"/>
      <c r="F21" s="282" t="s">
        <v>76</v>
      </c>
      <c r="G21" s="23"/>
      <c r="H21" s="22"/>
      <c r="I21" s="22"/>
      <c r="J21" s="62" t="str">
        <f t="shared" si="0"/>
        <v/>
      </c>
      <c r="K21" s="63"/>
      <c r="L21" s="63"/>
      <c r="M21" s="64" t="str">
        <f t="shared" si="1"/>
        <v/>
      </c>
      <c r="N21" s="22"/>
      <c r="O21" s="22"/>
      <c r="P21" s="62" t="str">
        <f t="shared" si="2"/>
        <v/>
      </c>
      <c r="Q21" s="63"/>
      <c r="R21" s="63"/>
      <c r="S21" s="64" t="str">
        <f t="shared" si="3"/>
        <v/>
      </c>
      <c r="T21" s="65"/>
      <c r="U21" s="66"/>
      <c r="V21" s="18" t="str">
        <f>IF($C21="","",VLOOKUP($C21,#REF!,4,FALSE))</f>
        <v/>
      </c>
      <c r="W21" s="69" t="str">
        <f>IF($E21="","",VLOOKUP($E21,#REF!,4,FALSE))</f>
        <v/>
      </c>
      <c r="Y21"/>
      <c r="Z21"/>
      <c r="AA21"/>
      <c r="AB21"/>
      <c r="AC21"/>
    </row>
    <row r="22" spans="1:29" s="67" customFormat="1" ht="18" customHeight="1">
      <c r="A22" s="60"/>
      <c r="B22" s="61">
        <v>9</v>
      </c>
      <c r="C22" s="21"/>
      <c r="D22" s="275" t="s">
        <v>76</v>
      </c>
      <c r="E22" s="21"/>
      <c r="F22" s="282" t="s">
        <v>76</v>
      </c>
      <c r="G22" s="23"/>
      <c r="H22" s="22"/>
      <c r="I22" s="22"/>
      <c r="J22" s="62" t="str">
        <f t="shared" si="0"/>
        <v/>
      </c>
      <c r="K22" s="63"/>
      <c r="L22" s="63"/>
      <c r="M22" s="64" t="str">
        <f t="shared" si="1"/>
        <v/>
      </c>
      <c r="N22" s="22"/>
      <c r="O22" s="22"/>
      <c r="P22" s="62" t="str">
        <f t="shared" si="2"/>
        <v/>
      </c>
      <c r="Q22" s="63"/>
      <c r="R22" s="63"/>
      <c r="S22" s="64" t="str">
        <f t="shared" si="3"/>
        <v/>
      </c>
      <c r="T22" s="65"/>
      <c r="U22" s="66"/>
      <c r="V22" s="18" t="str">
        <f>IF($C22="","",VLOOKUP($C22,#REF!,4,FALSE))</f>
        <v/>
      </c>
      <c r="W22" s="69" t="str">
        <f>IF($E22="","",VLOOKUP($E22,#REF!,4,FALSE))</f>
        <v/>
      </c>
      <c r="Y22"/>
      <c r="Z22"/>
      <c r="AA22"/>
      <c r="AB22"/>
      <c r="AC22"/>
    </row>
    <row r="23" spans="1:29" s="67" customFormat="1" ht="18" customHeight="1">
      <c r="A23" s="60"/>
      <c r="B23" s="61">
        <v>10</v>
      </c>
      <c r="C23" s="21"/>
      <c r="D23" s="275" t="s">
        <v>76</v>
      </c>
      <c r="E23" s="21"/>
      <c r="F23" s="282" t="s">
        <v>76</v>
      </c>
      <c r="G23" s="23"/>
      <c r="H23" s="22"/>
      <c r="I23" s="22"/>
      <c r="J23" s="62" t="str">
        <f t="shared" si="0"/>
        <v/>
      </c>
      <c r="K23" s="63"/>
      <c r="L23" s="63"/>
      <c r="M23" s="64" t="str">
        <f t="shared" si="1"/>
        <v/>
      </c>
      <c r="N23" s="22"/>
      <c r="O23" s="22"/>
      <c r="P23" s="62" t="str">
        <f t="shared" si="2"/>
        <v/>
      </c>
      <c r="Q23" s="63"/>
      <c r="R23" s="63"/>
      <c r="S23" s="64" t="str">
        <f t="shared" si="3"/>
        <v/>
      </c>
      <c r="T23" s="65"/>
      <c r="U23" s="66"/>
      <c r="V23" s="18" t="str">
        <f>IF($C23="","",VLOOKUP($C23,#REF!,4,FALSE))</f>
        <v/>
      </c>
      <c r="W23" s="69" t="str">
        <f>IF($E23="","",VLOOKUP($E23,#REF!,4,FALSE))</f>
        <v/>
      </c>
      <c r="Y23"/>
      <c r="Z23"/>
      <c r="AA23"/>
      <c r="AB23"/>
      <c r="AC23"/>
    </row>
    <row r="24" spans="1:29" s="67" customFormat="1" ht="18" customHeight="1">
      <c r="A24" s="60"/>
      <c r="B24" s="61">
        <v>11</v>
      </c>
      <c r="C24" s="21"/>
      <c r="D24" s="275" t="s">
        <v>76</v>
      </c>
      <c r="E24" s="21"/>
      <c r="F24" s="282" t="s">
        <v>76</v>
      </c>
      <c r="G24" s="23"/>
      <c r="H24" s="22"/>
      <c r="I24" s="22"/>
      <c r="J24" s="62" t="str">
        <f t="shared" si="0"/>
        <v/>
      </c>
      <c r="K24" s="63"/>
      <c r="L24" s="63"/>
      <c r="M24" s="64" t="str">
        <f t="shared" si="1"/>
        <v/>
      </c>
      <c r="N24" s="22"/>
      <c r="O24" s="22"/>
      <c r="P24" s="62" t="str">
        <f t="shared" si="2"/>
        <v/>
      </c>
      <c r="Q24" s="63"/>
      <c r="R24" s="63"/>
      <c r="S24" s="64" t="str">
        <f t="shared" si="3"/>
        <v/>
      </c>
      <c r="T24" s="65"/>
      <c r="U24" s="66"/>
      <c r="V24" s="18" t="str">
        <f>IF($C24="","",VLOOKUP($C24,#REF!,4,FALSE))</f>
        <v/>
      </c>
      <c r="W24" s="69" t="str">
        <f>IF($E24="","",VLOOKUP($E24,#REF!,4,FALSE))</f>
        <v/>
      </c>
      <c r="Y24"/>
      <c r="Z24"/>
      <c r="AA24"/>
      <c r="AB24"/>
      <c r="AC24"/>
    </row>
    <row r="25" spans="1:29" s="67" customFormat="1" ht="18" customHeight="1">
      <c r="A25" s="60"/>
      <c r="B25" s="61">
        <v>12</v>
      </c>
      <c r="C25" s="21"/>
      <c r="D25" s="275" t="s">
        <v>76</v>
      </c>
      <c r="E25" s="21"/>
      <c r="F25" s="282" t="s">
        <v>76</v>
      </c>
      <c r="G25" s="23"/>
      <c r="H25" s="22"/>
      <c r="I25" s="22"/>
      <c r="J25" s="62" t="str">
        <f t="shared" si="0"/>
        <v/>
      </c>
      <c r="K25" s="63"/>
      <c r="L25" s="63"/>
      <c r="M25" s="64" t="str">
        <f t="shared" si="1"/>
        <v/>
      </c>
      <c r="N25" s="22"/>
      <c r="O25" s="22"/>
      <c r="P25" s="62" t="str">
        <f t="shared" si="2"/>
        <v/>
      </c>
      <c r="Q25" s="63"/>
      <c r="R25" s="63"/>
      <c r="S25" s="64" t="str">
        <f t="shared" si="3"/>
        <v/>
      </c>
      <c r="T25" s="65"/>
      <c r="U25" s="66"/>
      <c r="V25" s="18" t="str">
        <f>IF($C25="","",VLOOKUP($C25,#REF!,4,FALSE))</f>
        <v/>
      </c>
      <c r="W25" s="69" t="str">
        <f>IF($E25="","",VLOOKUP($E25,#REF!,4,FALSE))</f>
        <v/>
      </c>
      <c r="Y25"/>
      <c r="Z25"/>
      <c r="AA25"/>
      <c r="AB25"/>
      <c r="AC25"/>
    </row>
    <row r="26" spans="1:29" s="67" customFormat="1" ht="18" customHeight="1">
      <c r="A26" s="60"/>
      <c r="B26" s="61">
        <v>13</v>
      </c>
      <c r="C26" s="21"/>
      <c r="D26" s="275" t="s">
        <v>76</v>
      </c>
      <c r="E26" s="21"/>
      <c r="F26" s="282" t="s">
        <v>76</v>
      </c>
      <c r="G26" s="23"/>
      <c r="H26" s="22"/>
      <c r="I26" s="22"/>
      <c r="J26" s="62" t="str">
        <f t="shared" si="0"/>
        <v/>
      </c>
      <c r="K26" s="63"/>
      <c r="L26" s="63"/>
      <c r="M26" s="64" t="str">
        <f t="shared" si="1"/>
        <v/>
      </c>
      <c r="N26" s="22"/>
      <c r="O26" s="22"/>
      <c r="P26" s="62" t="str">
        <f t="shared" si="2"/>
        <v/>
      </c>
      <c r="Q26" s="63"/>
      <c r="R26" s="63"/>
      <c r="S26" s="64" t="str">
        <f t="shared" si="3"/>
        <v/>
      </c>
      <c r="T26" s="65"/>
      <c r="U26" s="66"/>
      <c r="V26" s="18" t="str">
        <f>IF($C26="","",VLOOKUP($C26,#REF!,4,FALSE))</f>
        <v/>
      </c>
      <c r="W26" s="69" t="str">
        <f>IF($E26="","",VLOOKUP($E26,#REF!,4,FALSE))</f>
        <v/>
      </c>
      <c r="Y26"/>
      <c r="Z26"/>
      <c r="AA26"/>
      <c r="AB26"/>
      <c r="AC26"/>
    </row>
    <row r="27" spans="1:29" s="67" customFormat="1" ht="18" customHeight="1">
      <c r="A27" s="60"/>
      <c r="B27" s="61">
        <v>14</v>
      </c>
      <c r="C27" s="21"/>
      <c r="D27" s="275" t="s">
        <v>76</v>
      </c>
      <c r="E27" s="21"/>
      <c r="F27" s="282" t="s">
        <v>76</v>
      </c>
      <c r="G27" s="23"/>
      <c r="H27" s="22"/>
      <c r="I27" s="22"/>
      <c r="J27" s="62" t="str">
        <f t="shared" si="0"/>
        <v/>
      </c>
      <c r="K27" s="63"/>
      <c r="L27" s="63"/>
      <c r="M27" s="64" t="str">
        <f t="shared" si="1"/>
        <v/>
      </c>
      <c r="N27" s="22"/>
      <c r="O27" s="22"/>
      <c r="P27" s="62" t="str">
        <f t="shared" si="2"/>
        <v/>
      </c>
      <c r="Q27" s="63"/>
      <c r="R27" s="63"/>
      <c r="S27" s="64" t="str">
        <f t="shared" si="3"/>
        <v/>
      </c>
      <c r="T27" s="65"/>
      <c r="U27" s="66"/>
      <c r="V27" s="18" t="str">
        <f>IF($C27="","",VLOOKUP($C27,#REF!,4,FALSE))</f>
        <v/>
      </c>
      <c r="W27" s="69" t="str">
        <f>IF($E27="","",VLOOKUP($E27,#REF!,4,FALSE))</f>
        <v/>
      </c>
      <c r="Y27"/>
      <c r="Z27"/>
      <c r="AA27"/>
      <c r="AB27"/>
      <c r="AC27"/>
    </row>
    <row r="28" spans="1:29" s="67" customFormat="1" ht="18" customHeight="1">
      <c r="A28" s="60"/>
      <c r="B28" s="61">
        <v>15</v>
      </c>
      <c r="C28" s="21"/>
      <c r="D28" s="275" t="s">
        <v>76</v>
      </c>
      <c r="E28" s="21"/>
      <c r="F28" s="282" t="s">
        <v>76</v>
      </c>
      <c r="G28" s="23"/>
      <c r="H28" s="22"/>
      <c r="I28" s="22"/>
      <c r="J28" s="62" t="str">
        <f t="shared" si="0"/>
        <v/>
      </c>
      <c r="K28" s="63"/>
      <c r="L28" s="63"/>
      <c r="M28" s="64" t="str">
        <f t="shared" si="1"/>
        <v/>
      </c>
      <c r="N28" s="22"/>
      <c r="O28" s="22"/>
      <c r="P28" s="62" t="str">
        <f t="shared" si="2"/>
        <v/>
      </c>
      <c r="Q28" s="63"/>
      <c r="R28" s="63"/>
      <c r="S28" s="64" t="str">
        <f t="shared" si="3"/>
        <v/>
      </c>
      <c r="T28" s="65"/>
      <c r="U28" s="66"/>
      <c r="V28" s="18" t="str">
        <f>IF($C28="","",VLOOKUP($C28,#REF!,4,FALSE))</f>
        <v/>
      </c>
      <c r="W28" s="69" t="str">
        <f>IF($E28="","",VLOOKUP($E28,#REF!,4,FALSE))</f>
        <v/>
      </c>
      <c r="Y28"/>
      <c r="Z28"/>
      <c r="AA28"/>
      <c r="AB28"/>
      <c r="AC28"/>
    </row>
    <row r="29" spans="1:29" s="67" customFormat="1" ht="18" customHeight="1">
      <c r="A29" s="60"/>
      <c r="B29" s="61">
        <v>16</v>
      </c>
      <c r="C29" s="21"/>
      <c r="D29" s="275" t="s">
        <v>76</v>
      </c>
      <c r="E29" s="21"/>
      <c r="F29" s="282" t="s">
        <v>76</v>
      </c>
      <c r="G29" s="23"/>
      <c r="H29" s="22"/>
      <c r="I29" s="22"/>
      <c r="J29" s="62" t="str">
        <f t="shared" si="0"/>
        <v/>
      </c>
      <c r="K29" s="63"/>
      <c r="L29" s="63"/>
      <c r="M29" s="64" t="str">
        <f t="shared" si="1"/>
        <v/>
      </c>
      <c r="N29" s="22"/>
      <c r="O29" s="22"/>
      <c r="P29" s="62" t="str">
        <f t="shared" si="2"/>
        <v/>
      </c>
      <c r="Q29" s="63"/>
      <c r="R29" s="63"/>
      <c r="S29" s="64" t="str">
        <f t="shared" si="3"/>
        <v/>
      </c>
      <c r="T29" s="65"/>
      <c r="U29" s="66"/>
      <c r="V29" s="18" t="str">
        <f>IF($C29="","",VLOOKUP($C29,#REF!,4,FALSE))</f>
        <v/>
      </c>
      <c r="W29" s="69" t="str">
        <f>IF($E29="","",VLOOKUP($E29,#REF!,4,FALSE))</f>
        <v/>
      </c>
      <c r="Y29"/>
      <c r="Z29"/>
      <c r="AA29"/>
      <c r="AB29"/>
      <c r="AC29"/>
    </row>
    <row r="30" spans="1:29" s="67" customFormat="1" ht="18" customHeight="1">
      <c r="A30" s="60"/>
      <c r="B30" s="61">
        <v>17</v>
      </c>
      <c r="C30" s="21"/>
      <c r="D30" s="275" t="s">
        <v>76</v>
      </c>
      <c r="E30" s="21"/>
      <c r="F30" s="282" t="s">
        <v>76</v>
      </c>
      <c r="G30" s="23"/>
      <c r="H30" s="22"/>
      <c r="I30" s="22"/>
      <c r="J30" s="62" t="str">
        <f t="shared" si="0"/>
        <v/>
      </c>
      <c r="K30" s="63"/>
      <c r="L30" s="63"/>
      <c r="M30" s="64" t="str">
        <f t="shared" si="1"/>
        <v/>
      </c>
      <c r="N30" s="22"/>
      <c r="O30" s="22"/>
      <c r="P30" s="62" t="str">
        <f t="shared" si="2"/>
        <v/>
      </c>
      <c r="Q30" s="63"/>
      <c r="R30" s="63"/>
      <c r="S30" s="64" t="str">
        <f t="shared" si="3"/>
        <v/>
      </c>
      <c r="T30" s="65"/>
      <c r="U30" s="66"/>
      <c r="V30" s="18" t="str">
        <f>IF($C30="","",VLOOKUP($C30,#REF!,4,FALSE))</f>
        <v/>
      </c>
      <c r="W30" s="69" t="str">
        <f>IF($E30="","",VLOOKUP($E30,#REF!,4,FALSE))</f>
        <v/>
      </c>
      <c r="Y30"/>
      <c r="Z30"/>
      <c r="AA30"/>
      <c r="AB30"/>
      <c r="AC30"/>
    </row>
    <row r="31" spans="1:29" s="67" customFormat="1" ht="18" customHeight="1">
      <c r="A31" s="60"/>
      <c r="B31" s="61">
        <v>18</v>
      </c>
      <c r="C31" s="21"/>
      <c r="D31" s="275" t="s">
        <v>76</v>
      </c>
      <c r="E31" s="21"/>
      <c r="F31" s="282" t="s">
        <v>76</v>
      </c>
      <c r="G31" s="23"/>
      <c r="H31" s="22"/>
      <c r="I31" s="22"/>
      <c r="J31" s="62" t="str">
        <f t="shared" si="0"/>
        <v/>
      </c>
      <c r="K31" s="63"/>
      <c r="L31" s="63"/>
      <c r="M31" s="64" t="str">
        <f t="shared" si="1"/>
        <v/>
      </c>
      <c r="N31" s="22"/>
      <c r="O31" s="22"/>
      <c r="P31" s="62" t="str">
        <f t="shared" si="2"/>
        <v/>
      </c>
      <c r="Q31" s="63"/>
      <c r="R31" s="63"/>
      <c r="S31" s="64" t="str">
        <f t="shared" si="3"/>
        <v/>
      </c>
      <c r="T31" s="65"/>
      <c r="U31" s="66"/>
      <c r="V31" s="18" t="str">
        <f>IF($C31="","",VLOOKUP($C31,#REF!,4,FALSE))</f>
        <v/>
      </c>
      <c r="W31" s="69" t="str">
        <f>IF($E31="","",VLOOKUP($E31,#REF!,4,FALSE))</f>
        <v/>
      </c>
      <c r="Y31"/>
      <c r="Z31"/>
      <c r="AA31"/>
      <c r="AB31"/>
      <c r="AC31"/>
    </row>
    <row r="32" spans="1:29" s="67" customFormat="1" ht="18" customHeight="1">
      <c r="A32" s="60"/>
      <c r="B32" s="61">
        <v>19</v>
      </c>
      <c r="C32" s="21"/>
      <c r="D32" s="275" t="s">
        <v>76</v>
      </c>
      <c r="E32" s="21"/>
      <c r="F32" s="282" t="s">
        <v>76</v>
      </c>
      <c r="G32" s="23"/>
      <c r="H32" s="22"/>
      <c r="I32" s="22"/>
      <c r="J32" s="62" t="str">
        <f t="shared" si="0"/>
        <v/>
      </c>
      <c r="K32" s="63"/>
      <c r="L32" s="63"/>
      <c r="M32" s="64" t="str">
        <f t="shared" si="1"/>
        <v/>
      </c>
      <c r="N32" s="22"/>
      <c r="O32" s="22"/>
      <c r="P32" s="62" t="str">
        <f t="shared" si="2"/>
        <v/>
      </c>
      <c r="Q32" s="63"/>
      <c r="R32" s="63"/>
      <c r="S32" s="64" t="str">
        <f t="shared" si="3"/>
        <v/>
      </c>
      <c r="T32" s="65"/>
      <c r="U32" s="66"/>
      <c r="V32" s="18" t="str">
        <f>IF($C32="","",VLOOKUP($C32,#REF!,4,FALSE))</f>
        <v/>
      </c>
      <c r="W32" s="69" t="str">
        <f>IF($E32="","",VLOOKUP($E32,#REF!,4,FALSE))</f>
        <v/>
      </c>
      <c r="Y32"/>
      <c r="Z32"/>
      <c r="AA32"/>
      <c r="AB32"/>
      <c r="AC32"/>
    </row>
    <row r="33" spans="1:29" s="67" customFormat="1" ht="18" customHeight="1">
      <c r="A33" s="60"/>
      <c r="B33" s="61">
        <v>20</v>
      </c>
      <c r="C33" s="21"/>
      <c r="D33" s="275" t="s">
        <v>76</v>
      </c>
      <c r="E33" s="21"/>
      <c r="F33" s="282" t="s">
        <v>76</v>
      </c>
      <c r="G33" s="23"/>
      <c r="H33" s="22"/>
      <c r="I33" s="22"/>
      <c r="J33" s="62" t="str">
        <f t="shared" si="0"/>
        <v/>
      </c>
      <c r="K33" s="63"/>
      <c r="L33" s="63"/>
      <c r="M33" s="64" t="str">
        <f t="shared" si="1"/>
        <v/>
      </c>
      <c r="N33" s="22"/>
      <c r="O33" s="22"/>
      <c r="P33" s="62" t="str">
        <f t="shared" si="2"/>
        <v/>
      </c>
      <c r="Q33" s="63"/>
      <c r="R33" s="63"/>
      <c r="S33" s="64" t="str">
        <f t="shared" si="3"/>
        <v/>
      </c>
      <c r="T33" s="65"/>
      <c r="U33" s="66"/>
      <c r="V33" s="18" t="str">
        <f>IF($C33="","",VLOOKUP($C33,#REF!,4,FALSE))</f>
        <v/>
      </c>
      <c r="W33" s="69" t="str">
        <f>IF($E33="","",VLOOKUP($E33,#REF!,4,FALSE))</f>
        <v/>
      </c>
      <c r="Y33"/>
      <c r="Z33"/>
      <c r="AA33"/>
      <c r="AB33"/>
      <c r="AC33"/>
    </row>
    <row r="34" spans="1:29" s="67" customFormat="1" ht="18" customHeight="1">
      <c r="A34" s="60"/>
      <c r="B34" s="61">
        <v>21</v>
      </c>
      <c r="C34" s="21"/>
      <c r="D34" s="275" t="s">
        <v>76</v>
      </c>
      <c r="E34" s="21"/>
      <c r="F34" s="282" t="s">
        <v>76</v>
      </c>
      <c r="G34" s="23"/>
      <c r="H34" s="22"/>
      <c r="I34" s="22"/>
      <c r="J34" s="62" t="str">
        <f t="shared" si="0"/>
        <v/>
      </c>
      <c r="K34" s="63"/>
      <c r="L34" s="63"/>
      <c r="M34" s="64" t="str">
        <f t="shared" si="1"/>
        <v/>
      </c>
      <c r="N34" s="22"/>
      <c r="O34" s="22"/>
      <c r="P34" s="62" t="str">
        <f t="shared" si="2"/>
        <v/>
      </c>
      <c r="Q34" s="63"/>
      <c r="R34" s="63"/>
      <c r="S34" s="64" t="str">
        <f t="shared" si="3"/>
        <v/>
      </c>
      <c r="T34" s="65"/>
      <c r="U34" s="66"/>
      <c r="V34" s="18" t="str">
        <f>IF($C34="","",VLOOKUP($C34,#REF!,4,FALSE))</f>
        <v/>
      </c>
      <c r="W34" s="69" t="str">
        <f>IF($E34="","",VLOOKUP($E34,#REF!,4,FALSE))</f>
        <v/>
      </c>
      <c r="Y34"/>
      <c r="Z34"/>
      <c r="AA34"/>
      <c r="AB34"/>
      <c r="AC34"/>
    </row>
    <row r="35" spans="1:29" s="67" customFormat="1" ht="18" customHeight="1">
      <c r="A35" s="60"/>
      <c r="B35" s="61">
        <v>22</v>
      </c>
      <c r="C35" s="21"/>
      <c r="D35" s="275" t="s">
        <v>76</v>
      </c>
      <c r="E35" s="21"/>
      <c r="F35" s="282" t="s">
        <v>76</v>
      </c>
      <c r="G35" s="23"/>
      <c r="H35" s="22"/>
      <c r="I35" s="22"/>
      <c r="J35" s="62" t="str">
        <f t="shared" si="0"/>
        <v/>
      </c>
      <c r="K35" s="63"/>
      <c r="L35" s="63"/>
      <c r="M35" s="64" t="str">
        <f t="shared" si="1"/>
        <v/>
      </c>
      <c r="N35" s="22"/>
      <c r="O35" s="22"/>
      <c r="P35" s="62" t="str">
        <f t="shared" si="2"/>
        <v/>
      </c>
      <c r="Q35" s="63"/>
      <c r="R35" s="63"/>
      <c r="S35" s="64" t="str">
        <f t="shared" si="3"/>
        <v/>
      </c>
      <c r="T35" s="65"/>
      <c r="U35" s="66"/>
      <c r="V35" s="18" t="str">
        <f>IF($C35="","",VLOOKUP($C35,#REF!,4,FALSE))</f>
        <v/>
      </c>
      <c r="W35" s="69" t="str">
        <f>IF($E35="","",VLOOKUP($E35,#REF!,4,FALSE))</f>
        <v/>
      </c>
      <c r="Y35"/>
      <c r="Z35"/>
      <c r="AA35"/>
      <c r="AB35"/>
      <c r="AC35"/>
    </row>
    <row r="36" spans="1:29" s="67" customFormat="1" ht="18" customHeight="1">
      <c r="A36" s="60"/>
      <c r="B36" s="61">
        <v>23</v>
      </c>
      <c r="C36" s="21"/>
      <c r="D36" s="275" t="s">
        <v>76</v>
      </c>
      <c r="E36" s="21"/>
      <c r="F36" s="282" t="s">
        <v>76</v>
      </c>
      <c r="G36" s="23"/>
      <c r="H36" s="22"/>
      <c r="I36" s="22"/>
      <c r="J36" s="62" t="str">
        <f t="shared" si="0"/>
        <v/>
      </c>
      <c r="K36" s="63"/>
      <c r="L36" s="63"/>
      <c r="M36" s="64" t="str">
        <f t="shared" si="1"/>
        <v/>
      </c>
      <c r="N36" s="22"/>
      <c r="O36" s="22"/>
      <c r="P36" s="62" t="str">
        <f t="shared" si="2"/>
        <v/>
      </c>
      <c r="Q36" s="63"/>
      <c r="R36" s="63"/>
      <c r="S36" s="64" t="str">
        <f t="shared" si="3"/>
        <v/>
      </c>
      <c r="T36" s="65"/>
      <c r="U36" s="66"/>
      <c r="V36" s="18" t="str">
        <f>IF($C36="","",VLOOKUP($C36,#REF!,4,FALSE))</f>
        <v/>
      </c>
      <c r="W36" s="69" t="str">
        <f>IF($E36="","",VLOOKUP($E36,#REF!,4,FALSE))</f>
        <v/>
      </c>
      <c r="Y36"/>
      <c r="Z36"/>
      <c r="AA36"/>
      <c r="AB36"/>
      <c r="AC36"/>
    </row>
    <row r="37" spans="1:29" s="67" customFormat="1" ht="18" customHeight="1">
      <c r="A37" s="60"/>
      <c r="B37" s="61">
        <v>24</v>
      </c>
      <c r="C37" s="21"/>
      <c r="D37" s="275" t="s">
        <v>76</v>
      </c>
      <c r="E37" s="21"/>
      <c r="F37" s="282" t="s">
        <v>76</v>
      </c>
      <c r="G37" s="23"/>
      <c r="H37" s="22"/>
      <c r="I37" s="22"/>
      <c r="J37" s="62" t="str">
        <f t="shared" si="0"/>
        <v/>
      </c>
      <c r="K37" s="63"/>
      <c r="L37" s="63"/>
      <c r="M37" s="64" t="str">
        <f t="shared" si="1"/>
        <v/>
      </c>
      <c r="N37" s="22"/>
      <c r="O37" s="22"/>
      <c r="P37" s="62" t="str">
        <f t="shared" si="2"/>
        <v/>
      </c>
      <c r="Q37" s="63"/>
      <c r="R37" s="63"/>
      <c r="S37" s="64" t="str">
        <f t="shared" si="3"/>
        <v/>
      </c>
      <c r="T37" s="65"/>
      <c r="U37" s="66"/>
      <c r="V37" s="18" t="str">
        <f>IF($C37="","",VLOOKUP($C37,#REF!,4,FALSE))</f>
        <v/>
      </c>
      <c r="W37" s="69" t="str">
        <f>IF($E37="","",VLOOKUP($E37,#REF!,4,FALSE))</f>
        <v/>
      </c>
      <c r="Y37"/>
      <c r="Z37"/>
      <c r="AA37"/>
      <c r="AB37"/>
      <c r="AC37"/>
    </row>
    <row r="38" spans="1:29" s="67" customFormat="1" ht="18" customHeight="1">
      <c r="A38" s="60"/>
      <c r="B38" s="61">
        <v>25</v>
      </c>
      <c r="C38" s="21"/>
      <c r="D38" s="275" t="s">
        <v>76</v>
      </c>
      <c r="E38" s="21"/>
      <c r="F38" s="282" t="s">
        <v>76</v>
      </c>
      <c r="G38" s="23"/>
      <c r="H38" s="22"/>
      <c r="I38" s="22"/>
      <c r="J38" s="62" t="str">
        <f t="shared" si="0"/>
        <v/>
      </c>
      <c r="K38" s="63"/>
      <c r="L38" s="63"/>
      <c r="M38" s="64" t="str">
        <f t="shared" si="1"/>
        <v/>
      </c>
      <c r="N38" s="22"/>
      <c r="O38" s="22"/>
      <c r="P38" s="62" t="str">
        <f t="shared" si="2"/>
        <v/>
      </c>
      <c r="Q38" s="63"/>
      <c r="R38" s="63"/>
      <c r="S38" s="64" t="str">
        <f t="shared" si="3"/>
        <v/>
      </c>
      <c r="T38" s="65"/>
      <c r="U38" s="66"/>
      <c r="V38" s="18" t="str">
        <f>IF($C38="","",VLOOKUP($C38,#REF!,4,FALSE))</f>
        <v/>
      </c>
      <c r="W38" s="69" t="str">
        <f>IF($E38="","",VLOOKUP($E38,#REF!,4,FALSE))</f>
        <v/>
      </c>
      <c r="Y38"/>
      <c r="Z38"/>
      <c r="AA38"/>
      <c r="AB38"/>
      <c r="AC38"/>
    </row>
    <row r="39" spans="1:29" s="67" customFormat="1" ht="18" customHeight="1">
      <c r="A39" s="60"/>
      <c r="B39" s="61">
        <v>26</v>
      </c>
      <c r="C39" s="21"/>
      <c r="D39" s="275" t="s">
        <v>76</v>
      </c>
      <c r="E39" s="21"/>
      <c r="F39" s="282" t="s">
        <v>76</v>
      </c>
      <c r="G39" s="23"/>
      <c r="H39" s="22"/>
      <c r="I39" s="22"/>
      <c r="J39" s="62" t="str">
        <f t="shared" si="0"/>
        <v/>
      </c>
      <c r="K39" s="63"/>
      <c r="L39" s="63"/>
      <c r="M39" s="64" t="str">
        <f t="shared" si="1"/>
        <v/>
      </c>
      <c r="N39" s="22"/>
      <c r="O39" s="22"/>
      <c r="P39" s="62" t="str">
        <f t="shared" si="2"/>
        <v/>
      </c>
      <c r="Q39" s="63"/>
      <c r="R39" s="63"/>
      <c r="S39" s="64" t="str">
        <f t="shared" si="3"/>
        <v/>
      </c>
      <c r="T39" s="65"/>
      <c r="U39" s="66"/>
      <c r="V39" s="18" t="str">
        <f>IF($C39="","",VLOOKUP($C39,#REF!,4,FALSE))</f>
        <v/>
      </c>
      <c r="W39" s="69" t="str">
        <f>IF($E39="","",VLOOKUP($E39,#REF!,4,FALSE))</f>
        <v/>
      </c>
      <c r="Y39"/>
      <c r="Z39"/>
      <c r="AA39"/>
      <c r="AB39"/>
      <c r="AC39"/>
    </row>
    <row r="40" spans="1:29" s="67" customFormat="1" ht="18" customHeight="1">
      <c r="A40" s="60"/>
      <c r="B40" s="61">
        <v>27</v>
      </c>
      <c r="C40" s="21"/>
      <c r="D40" s="275" t="s">
        <v>76</v>
      </c>
      <c r="E40" s="21"/>
      <c r="F40" s="282" t="s">
        <v>76</v>
      </c>
      <c r="G40" s="23"/>
      <c r="H40" s="22"/>
      <c r="I40" s="22"/>
      <c r="J40" s="62" t="str">
        <f t="shared" si="0"/>
        <v/>
      </c>
      <c r="K40" s="63"/>
      <c r="L40" s="63"/>
      <c r="M40" s="64" t="str">
        <f t="shared" si="1"/>
        <v/>
      </c>
      <c r="N40" s="22"/>
      <c r="O40" s="22"/>
      <c r="P40" s="62" t="str">
        <f t="shared" si="2"/>
        <v/>
      </c>
      <c r="Q40" s="63"/>
      <c r="R40" s="63"/>
      <c r="S40" s="64" t="str">
        <f t="shared" si="3"/>
        <v/>
      </c>
      <c r="T40" s="65"/>
      <c r="U40" s="66"/>
      <c r="V40" s="18" t="str">
        <f>IF($C40="","",VLOOKUP($C40,#REF!,4,FALSE))</f>
        <v/>
      </c>
      <c r="W40" s="69" t="str">
        <f>IF($E40="","",VLOOKUP($E40,#REF!,4,FALSE))</f>
        <v/>
      </c>
      <c r="Y40"/>
      <c r="Z40"/>
      <c r="AA40"/>
      <c r="AB40"/>
      <c r="AC40"/>
    </row>
    <row r="41" spans="1:29" s="67" customFormat="1" ht="18" customHeight="1">
      <c r="A41" s="60"/>
      <c r="B41" s="61">
        <v>28</v>
      </c>
      <c r="C41" s="21"/>
      <c r="D41" s="275" t="s">
        <v>76</v>
      </c>
      <c r="E41" s="21"/>
      <c r="F41" s="282" t="s">
        <v>76</v>
      </c>
      <c r="G41" s="23"/>
      <c r="H41" s="22"/>
      <c r="I41" s="22"/>
      <c r="J41" s="62" t="str">
        <f t="shared" si="0"/>
        <v/>
      </c>
      <c r="K41" s="63"/>
      <c r="L41" s="63"/>
      <c r="M41" s="64" t="str">
        <f t="shared" si="1"/>
        <v/>
      </c>
      <c r="N41" s="22"/>
      <c r="O41" s="22"/>
      <c r="P41" s="62" t="str">
        <f t="shared" si="2"/>
        <v/>
      </c>
      <c r="Q41" s="63"/>
      <c r="R41" s="63"/>
      <c r="S41" s="64" t="str">
        <f t="shared" si="3"/>
        <v/>
      </c>
      <c r="T41" s="65"/>
      <c r="U41" s="66"/>
      <c r="V41" s="18" t="str">
        <f>IF($C41="","",VLOOKUP($C41,#REF!,4,FALSE))</f>
        <v/>
      </c>
      <c r="W41" s="69" t="str">
        <f>IF($E41="","",VLOOKUP($E41,#REF!,4,FALSE))</f>
        <v/>
      </c>
      <c r="Y41"/>
      <c r="Z41"/>
      <c r="AA41"/>
      <c r="AB41"/>
      <c r="AC41"/>
    </row>
    <row r="42" spans="1:29" s="67" customFormat="1" ht="18" customHeight="1">
      <c r="A42" s="60"/>
      <c r="B42" s="61">
        <v>29</v>
      </c>
      <c r="C42" s="21"/>
      <c r="D42" s="275" t="s">
        <v>76</v>
      </c>
      <c r="E42" s="21"/>
      <c r="F42" s="282" t="s">
        <v>76</v>
      </c>
      <c r="G42" s="23"/>
      <c r="H42" s="22"/>
      <c r="I42" s="22"/>
      <c r="J42" s="62" t="str">
        <f t="shared" si="0"/>
        <v/>
      </c>
      <c r="K42" s="63"/>
      <c r="L42" s="63"/>
      <c r="M42" s="64" t="str">
        <f t="shared" si="1"/>
        <v/>
      </c>
      <c r="N42" s="22"/>
      <c r="O42" s="22"/>
      <c r="P42" s="62" t="str">
        <f t="shared" si="2"/>
        <v/>
      </c>
      <c r="Q42" s="63"/>
      <c r="R42" s="63"/>
      <c r="S42" s="64" t="str">
        <f t="shared" si="3"/>
        <v/>
      </c>
      <c r="T42" s="65"/>
      <c r="U42" s="66"/>
      <c r="V42" s="18" t="str">
        <f>IF($C42="","",VLOOKUP($C42,#REF!,4,FALSE))</f>
        <v/>
      </c>
      <c r="W42" s="69" t="str">
        <f>IF($E42="","",VLOOKUP($E42,#REF!,4,FALSE))</f>
        <v/>
      </c>
      <c r="Y42"/>
      <c r="Z42"/>
      <c r="AA42"/>
      <c r="AB42"/>
      <c r="AC42"/>
    </row>
    <row r="43" spans="1:29" s="67" customFormat="1" ht="18" customHeight="1">
      <c r="A43" s="60"/>
      <c r="B43" s="61">
        <v>30</v>
      </c>
      <c r="C43" s="21"/>
      <c r="D43" s="275" t="s">
        <v>76</v>
      </c>
      <c r="E43" s="21"/>
      <c r="F43" s="282" t="s">
        <v>76</v>
      </c>
      <c r="G43" s="23"/>
      <c r="H43" s="22"/>
      <c r="I43" s="22"/>
      <c r="J43" s="62" t="str">
        <f t="shared" si="0"/>
        <v/>
      </c>
      <c r="K43" s="63"/>
      <c r="L43" s="63"/>
      <c r="M43" s="64" t="str">
        <f t="shared" si="1"/>
        <v/>
      </c>
      <c r="N43" s="22"/>
      <c r="O43" s="22"/>
      <c r="P43" s="62" t="str">
        <f t="shared" si="2"/>
        <v/>
      </c>
      <c r="Q43" s="63"/>
      <c r="R43" s="63"/>
      <c r="S43" s="64" t="str">
        <f t="shared" si="3"/>
        <v/>
      </c>
      <c r="T43" s="65"/>
      <c r="U43" s="66"/>
      <c r="V43" s="18" t="str">
        <f>IF($C43="","",VLOOKUP($C43,#REF!,4,FALSE))</f>
        <v/>
      </c>
      <c r="W43" s="69" t="str">
        <f>IF($E43="","",VLOOKUP($E43,#REF!,4,FALSE))</f>
        <v/>
      </c>
      <c r="Y43"/>
      <c r="Z43"/>
      <c r="AA43"/>
      <c r="AB43"/>
      <c r="AC43"/>
    </row>
    <row r="44" spans="1:29" s="67" customFormat="1" ht="18" customHeight="1">
      <c r="A44" s="60"/>
      <c r="B44" s="61"/>
      <c r="C44" s="21"/>
      <c r="D44" s="275" t="s">
        <v>76</v>
      </c>
      <c r="E44" s="21"/>
      <c r="F44" s="282" t="s">
        <v>76</v>
      </c>
      <c r="G44" s="23"/>
      <c r="H44" s="22"/>
      <c r="I44" s="22"/>
      <c r="J44" s="62" t="str">
        <f t="shared" si="0"/>
        <v/>
      </c>
      <c r="K44" s="63"/>
      <c r="L44" s="63"/>
      <c r="M44" s="64" t="str">
        <f t="shared" si="1"/>
        <v/>
      </c>
      <c r="N44" s="22"/>
      <c r="O44" s="22"/>
      <c r="P44" s="62" t="str">
        <f t="shared" si="2"/>
        <v/>
      </c>
      <c r="Q44" s="63"/>
      <c r="R44" s="63"/>
      <c r="S44" s="64" t="str">
        <f t="shared" si="3"/>
        <v/>
      </c>
      <c r="T44" s="65"/>
      <c r="U44" s="66"/>
      <c r="V44" s="18" t="str">
        <f>IF($C44="","",VLOOKUP($C44,#REF!,4,FALSE))</f>
        <v/>
      </c>
      <c r="W44" s="69" t="str">
        <f>IF($E44="","",VLOOKUP($E44,#REF!,4,FALSE))</f>
        <v/>
      </c>
      <c r="Y44"/>
      <c r="Z44"/>
      <c r="AA44"/>
      <c r="AB44"/>
      <c r="AC44"/>
    </row>
    <row r="45" spans="1:29" s="67" customFormat="1" ht="18" customHeight="1">
      <c r="A45" s="60"/>
      <c r="B45" s="61"/>
      <c r="C45" s="21"/>
      <c r="D45" s="275" t="s">
        <v>76</v>
      </c>
      <c r="E45" s="21"/>
      <c r="F45" s="282" t="s">
        <v>76</v>
      </c>
      <c r="G45" s="23"/>
      <c r="H45" s="22"/>
      <c r="I45" s="22"/>
      <c r="J45" s="62" t="str">
        <f t="shared" si="0"/>
        <v/>
      </c>
      <c r="K45" s="63"/>
      <c r="L45" s="63"/>
      <c r="M45" s="64" t="str">
        <f t="shared" si="1"/>
        <v/>
      </c>
      <c r="N45" s="22"/>
      <c r="O45" s="22"/>
      <c r="P45" s="62" t="str">
        <f t="shared" si="2"/>
        <v/>
      </c>
      <c r="Q45" s="63"/>
      <c r="R45" s="63"/>
      <c r="S45" s="64" t="str">
        <f t="shared" si="3"/>
        <v/>
      </c>
      <c r="T45" s="65"/>
      <c r="U45" s="66"/>
      <c r="V45" s="18" t="str">
        <f>IF($C45="","",VLOOKUP($C45,#REF!,4,FALSE))</f>
        <v/>
      </c>
      <c r="W45" s="69" t="str">
        <f>IF($E45="","",VLOOKUP($E45,#REF!,4,FALSE))</f>
        <v/>
      </c>
      <c r="Y45"/>
      <c r="Z45"/>
      <c r="AA45"/>
      <c r="AB45"/>
      <c r="AC45"/>
    </row>
    <row r="46" spans="1:29" s="67" customFormat="1" ht="18" customHeight="1">
      <c r="A46" s="60"/>
      <c r="B46" s="61"/>
      <c r="C46" s="21"/>
      <c r="D46" s="275" t="s">
        <v>76</v>
      </c>
      <c r="E46" s="21"/>
      <c r="F46" s="282" t="s">
        <v>76</v>
      </c>
      <c r="G46" s="23"/>
      <c r="H46" s="22"/>
      <c r="I46" s="22"/>
      <c r="J46" s="62" t="str">
        <f t="shared" si="0"/>
        <v/>
      </c>
      <c r="K46" s="63"/>
      <c r="L46" s="63"/>
      <c r="M46" s="64" t="str">
        <f t="shared" si="1"/>
        <v/>
      </c>
      <c r="N46" s="22"/>
      <c r="O46" s="22"/>
      <c r="P46" s="62" t="str">
        <f t="shared" si="2"/>
        <v/>
      </c>
      <c r="Q46" s="63"/>
      <c r="R46" s="63"/>
      <c r="S46" s="64" t="str">
        <f t="shared" si="3"/>
        <v/>
      </c>
      <c r="T46" s="65"/>
      <c r="U46" s="66"/>
      <c r="V46" s="18" t="str">
        <f>IF($C46="","",VLOOKUP($C46,#REF!,4,FALSE))</f>
        <v/>
      </c>
      <c r="W46" s="69" t="str">
        <f>IF($E46="","",VLOOKUP($E46,#REF!,4,FALSE))</f>
        <v/>
      </c>
      <c r="Y46"/>
      <c r="Z46"/>
      <c r="AA46"/>
      <c r="AB46"/>
      <c r="AC46"/>
    </row>
    <row r="47" spans="1:29" s="67" customFormat="1" ht="18" customHeight="1">
      <c r="A47" s="60"/>
      <c r="B47" s="61"/>
      <c r="C47" s="21"/>
      <c r="D47" s="275" t="s">
        <v>76</v>
      </c>
      <c r="E47" s="21"/>
      <c r="F47" s="282" t="s">
        <v>76</v>
      </c>
      <c r="G47" s="23"/>
      <c r="H47" s="22"/>
      <c r="I47" s="22"/>
      <c r="J47" s="62" t="str">
        <f t="shared" si="0"/>
        <v/>
      </c>
      <c r="K47" s="63"/>
      <c r="L47" s="63"/>
      <c r="M47" s="64" t="str">
        <f t="shared" si="1"/>
        <v/>
      </c>
      <c r="N47" s="22"/>
      <c r="O47" s="22"/>
      <c r="P47" s="62" t="str">
        <f t="shared" si="2"/>
        <v/>
      </c>
      <c r="Q47" s="63"/>
      <c r="R47" s="63"/>
      <c r="S47" s="64" t="str">
        <f t="shared" si="3"/>
        <v/>
      </c>
      <c r="T47" s="65"/>
      <c r="U47" s="66"/>
      <c r="V47" s="18" t="str">
        <f>IF($C47="","",VLOOKUP($C47,#REF!,4,FALSE))</f>
        <v/>
      </c>
      <c r="W47" s="69" t="str">
        <f>IF($E47="","",VLOOKUP($E47,#REF!,4,FALSE))</f>
        <v/>
      </c>
      <c r="Y47"/>
      <c r="Z47"/>
      <c r="AA47"/>
      <c r="AB47"/>
      <c r="AC47"/>
    </row>
    <row r="48" spans="1:29" s="67" customFormat="1" ht="18" customHeight="1">
      <c r="A48" s="60"/>
      <c r="B48" s="61"/>
      <c r="C48" s="21"/>
      <c r="D48" s="275" t="s">
        <v>76</v>
      </c>
      <c r="E48" s="21"/>
      <c r="F48" s="282" t="s">
        <v>76</v>
      </c>
      <c r="G48" s="23"/>
      <c r="H48" s="22"/>
      <c r="I48" s="22"/>
      <c r="J48" s="62" t="str">
        <f t="shared" si="0"/>
        <v/>
      </c>
      <c r="K48" s="63"/>
      <c r="L48" s="63"/>
      <c r="M48" s="64" t="str">
        <f t="shared" si="1"/>
        <v/>
      </c>
      <c r="N48" s="22"/>
      <c r="O48" s="22"/>
      <c r="P48" s="62" t="str">
        <f t="shared" si="2"/>
        <v/>
      </c>
      <c r="Q48" s="63"/>
      <c r="R48" s="63"/>
      <c r="S48" s="64" t="str">
        <f t="shared" si="3"/>
        <v/>
      </c>
      <c r="T48" s="65"/>
      <c r="U48" s="66"/>
      <c r="V48" s="18" t="str">
        <f>IF($C48="","",VLOOKUP($C48,#REF!,4,FALSE))</f>
        <v/>
      </c>
      <c r="W48" s="69" t="str">
        <f>IF($E48="","",VLOOKUP($E48,#REF!,4,FALSE))</f>
        <v/>
      </c>
      <c r="Y48"/>
      <c r="Z48"/>
      <c r="AA48"/>
      <c r="AB48"/>
      <c r="AC48"/>
    </row>
    <row r="49" spans="1:29" s="67" customFormat="1" ht="18" customHeight="1">
      <c r="A49" s="60"/>
      <c r="B49" s="61"/>
      <c r="C49" s="21"/>
      <c r="D49" s="275" t="s">
        <v>76</v>
      </c>
      <c r="E49" s="21"/>
      <c r="F49" s="282" t="s">
        <v>76</v>
      </c>
      <c r="G49" s="23"/>
      <c r="H49" s="22"/>
      <c r="I49" s="22"/>
      <c r="J49" s="62" t="str">
        <f t="shared" si="0"/>
        <v/>
      </c>
      <c r="K49" s="63"/>
      <c r="L49" s="63"/>
      <c r="M49" s="64" t="str">
        <f t="shared" si="1"/>
        <v/>
      </c>
      <c r="N49" s="22"/>
      <c r="O49" s="22"/>
      <c r="P49" s="62" t="str">
        <f t="shared" si="2"/>
        <v/>
      </c>
      <c r="Q49" s="63"/>
      <c r="R49" s="63"/>
      <c r="S49" s="64" t="str">
        <f t="shared" si="3"/>
        <v/>
      </c>
      <c r="T49" s="65"/>
      <c r="U49" s="66"/>
      <c r="V49" s="18" t="str">
        <f>IF($C49="","",VLOOKUP($C49,#REF!,4,FALSE))</f>
        <v/>
      </c>
      <c r="W49" s="69" t="str">
        <f>IF($E49="","",VLOOKUP($E49,#REF!,4,FALSE))</f>
        <v/>
      </c>
      <c r="Y49"/>
      <c r="Z49"/>
      <c r="AA49"/>
      <c r="AB49"/>
      <c r="AC49"/>
    </row>
    <row r="50" spans="1:29" s="67" customFormat="1" ht="18" customHeight="1">
      <c r="A50" s="60"/>
      <c r="B50" s="61"/>
      <c r="C50" s="21"/>
      <c r="D50" s="275" t="s">
        <v>76</v>
      </c>
      <c r="E50" s="21"/>
      <c r="F50" s="282" t="s">
        <v>76</v>
      </c>
      <c r="G50" s="23"/>
      <c r="H50" s="22"/>
      <c r="I50" s="22"/>
      <c r="J50" s="62" t="str">
        <f t="shared" si="0"/>
        <v/>
      </c>
      <c r="K50" s="63"/>
      <c r="L50" s="63"/>
      <c r="M50" s="64" t="str">
        <f t="shared" si="1"/>
        <v/>
      </c>
      <c r="N50" s="22"/>
      <c r="O50" s="22"/>
      <c r="P50" s="62" t="str">
        <f t="shared" si="2"/>
        <v/>
      </c>
      <c r="Q50" s="63"/>
      <c r="R50" s="63"/>
      <c r="S50" s="64" t="str">
        <f t="shared" si="3"/>
        <v/>
      </c>
      <c r="T50" s="65"/>
      <c r="U50" s="66"/>
      <c r="V50" s="18" t="str">
        <f>IF($C50="","",VLOOKUP($C50,#REF!,4,FALSE))</f>
        <v/>
      </c>
      <c r="W50" s="69" t="str">
        <f>IF($E50="","",VLOOKUP($E50,#REF!,4,FALSE))</f>
        <v/>
      </c>
      <c r="Y50"/>
      <c r="Z50"/>
      <c r="AA50"/>
      <c r="AB50"/>
      <c r="AC50"/>
    </row>
    <row r="51" spans="1:29" s="67" customFormat="1" ht="18" customHeight="1">
      <c r="A51" s="60"/>
      <c r="B51" s="61"/>
      <c r="C51" s="21"/>
      <c r="D51" s="275" t="s">
        <v>76</v>
      </c>
      <c r="E51" s="21"/>
      <c r="F51" s="282" t="s">
        <v>76</v>
      </c>
      <c r="G51" s="23"/>
      <c r="H51" s="22"/>
      <c r="I51" s="22"/>
      <c r="J51" s="62" t="str">
        <f t="shared" si="0"/>
        <v/>
      </c>
      <c r="K51" s="63"/>
      <c r="L51" s="63"/>
      <c r="M51" s="64" t="str">
        <f t="shared" si="1"/>
        <v/>
      </c>
      <c r="N51" s="22"/>
      <c r="O51" s="22"/>
      <c r="P51" s="62" t="str">
        <f t="shared" si="2"/>
        <v/>
      </c>
      <c r="Q51" s="63"/>
      <c r="R51" s="63"/>
      <c r="S51" s="64" t="str">
        <f t="shared" si="3"/>
        <v/>
      </c>
      <c r="T51" s="65"/>
      <c r="U51" s="66"/>
      <c r="V51" s="18" t="str">
        <f>IF($C51="","",VLOOKUP($C51,#REF!,4,FALSE))</f>
        <v/>
      </c>
      <c r="W51" s="69" t="str">
        <f>IF($E51="","",VLOOKUP($E51,#REF!,4,FALSE))</f>
        <v/>
      </c>
      <c r="Y51"/>
      <c r="Z51"/>
      <c r="AA51"/>
      <c r="AB51"/>
      <c r="AC51"/>
    </row>
    <row r="52" spans="1:29" s="67" customFormat="1" ht="18" customHeight="1">
      <c r="A52" s="60"/>
      <c r="B52" s="61"/>
      <c r="C52" s="21"/>
      <c r="D52" s="275" t="s">
        <v>76</v>
      </c>
      <c r="E52" s="21"/>
      <c r="F52" s="282" t="s">
        <v>76</v>
      </c>
      <c r="G52" s="23"/>
      <c r="H52" s="22"/>
      <c r="I52" s="22"/>
      <c r="J52" s="62" t="str">
        <f t="shared" si="0"/>
        <v/>
      </c>
      <c r="K52" s="63"/>
      <c r="L52" s="63"/>
      <c r="M52" s="64" t="str">
        <f t="shared" si="1"/>
        <v/>
      </c>
      <c r="N52" s="22"/>
      <c r="O52" s="22"/>
      <c r="P52" s="62" t="str">
        <f t="shared" si="2"/>
        <v/>
      </c>
      <c r="Q52" s="63"/>
      <c r="R52" s="63"/>
      <c r="S52" s="64" t="str">
        <f t="shared" si="3"/>
        <v/>
      </c>
      <c r="T52" s="65"/>
      <c r="U52" s="66"/>
      <c r="V52" s="18" t="str">
        <f>IF($C52="","",VLOOKUP($C52,#REF!,4,FALSE))</f>
        <v/>
      </c>
      <c r="W52" s="69" t="str">
        <f>IF($E52="","",VLOOKUP($E52,#REF!,4,FALSE))</f>
        <v/>
      </c>
      <c r="Y52"/>
      <c r="Z52"/>
      <c r="AA52"/>
      <c r="AB52"/>
      <c r="AC52"/>
    </row>
    <row r="53" spans="1:29" s="67" customFormat="1" ht="18" customHeight="1">
      <c r="A53" s="60"/>
      <c r="B53" s="61"/>
      <c r="C53" s="21"/>
      <c r="D53" s="275" t="s">
        <v>76</v>
      </c>
      <c r="E53" s="21"/>
      <c r="F53" s="282" t="s">
        <v>76</v>
      </c>
      <c r="G53" s="23"/>
      <c r="H53" s="22"/>
      <c r="I53" s="22"/>
      <c r="J53" s="62" t="str">
        <f t="shared" si="0"/>
        <v/>
      </c>
      <c r="K53" s="63"/>
      <c r="L53" s="63"/>
      <c r="M53" s="64" t="str">
        <f t="shared" si="1"/>
        <v/>
      </c>
      <c r="N53" s="22"/>
      <c r="O53" s="22"/>
      <c r="P53" s="62" t="str">
        <f t="shared" si="2"/>
        <v/>
      </c>
      <c r="Q53" s="63"/>
      <c r="R53" s="63"/>
      <c r="S53" s="64" t="str">
        <f t="shared" si="3"/>
        <v/>
      </c>
      <c r="T53" s="65"/>
      <c r="U53" s="66"/>
      <c r="V53" s="18" t="str">
        <f>IF($C53="","",VLOOKUP($C53,#REF!,4,FALSE))</f>
        <v/>
      </c>
      <c r="W53" s="69" t="str">
        <f>IF($E53="","",VLOOKUP($E53,#REF!,4,FALSE))</f>
        <v/>
      </c>
      <c r="Y53"/>
      <c r="Z53"/>
      <c r="AA53"/>
      <c r="AB53"/>
      <c r="AC53"/>
    </row>
    <row r="54" spans="1:29" s="67" customFormat="1" ht="18" customHeight="1">
      <c r="A54" s="60"/>
      <c r="B54" s="61"/>
      <c r="C54" s="21"/>
      <c r="D54" s="275" t="s">
        <v>76</v>
      </c>
      <c r="E54" s="21"/>
      <c r="F54" s="282" t="s">
        <v>76</v>
      </c>
      <c r="G54" s="23"/>
      <c r="H54" s="22"/>
      <c r="I54" s="22"/>
      <c r="J54" s="62" t="str">
        <f t="shared" si="0"/>
        <v/>
      </c>
      <c r="K54" s="63"/>
      <c r="L54" s="63"/>
      <c r="M54" s="64" t="str">
        <f t="shared" si="1"/>
        <v/>
      </c>
      <c r="N54" s="22"/>
      <c r="O54" s="22"/>
      <c r="P54" s="62" t="str">
        <f t="shared" si="2"/>
        <v/>
      </c>
      <c r="Q54" s="63"/>
      <c r="R54" s="63"/>
      <c r="S54" s="64" t="str">
        <f t="shared" si="3"/>
        <v/>
      </c>
      <c r="T54" s="65"/>
      <c r="U54" s="66"/>
      <c r="V54" s="18" t="str">
        <f>IF($C54="","",VLOOKUP($C54,#REF!,4,FALSE))</f>
        <v/>
      </c>
      <c r="W54" s="69" t="str">
        <f>IF($E54="","",VLOOKUP($E54,#REF!,4,FALSE))</f>
        <v/>
      </c>
      <c r="Y54"/>
      <c r="Z54"/>
      <c r="AA54"/>
      <c r="AB54"/>
      <c r="AC54"/>
    </row>
    <row r="55" spans="1:29" s="67" customFormat="1" ht="18" customHeight="1">
      <c r="A55" s="60"/>
      <c r="B55" s="61"/>
      <c r="C55" s="21"/>
      <c r="D55" s="275" t="s">
        <v>76</v>
      </c>
      <c r="E55" s="21"/>
      <c r="F55" s="282" t="s">
        <v>76</v>
      </c>
      <c r="G55" s="23"/>
      <c r="H55" s="22"/>
      <c r="I55" s="22"/>
      <c r="J55" s="62" t="str">
        <f t="shared" si="0"/>
        <v/>
      </c>
      <c r="K55" s="63"/>
      <c r="L55" s="63"/>
      <c r="M55" s="64" t="str">
        <f t="shared" si="1"/>
        <v/>
      </c>
      <c r="N55" s="22"/>
      <c r="O55" s="22"/>
      <c r="P55" s="62" t="str">
        <f t="shared" si="2"/>
        <v/>
      </c>
      <c r="Q55" s="63"/>
      <c r="R55" s="63"/>
      <c r="S55" s="64" t="str">
        <f t="shared" si="3"/>
        <v/>
      </c>
      <c r="T55" s="65"/>
      <c r="U55" s="66"/>
      <c r="V55" s="18" t="str">
        <f>IF($C55="","",VLOOKUP($C55,#REF!,4,FALSE))</f>
        <v/>
      </c>
      <c r="W55" s="69" t="str">
        <f>IF($E55="","",VLOOKUP($E55,#REF!,4,FALSE))</f>
        <v/>
      </c>
      <c r="Y55"/>
      <c r="Z55"/>
      <c r="AA55"/>
      <c r="AB55"/>
      <c r="AC55"/>
    </row>
    <row r="56" spans="1:29" s="67" customFormat="1" ht="18" customHeight="1">
      <c r="A56" s="60"/>
      <c r="B56" s="61"/>
      <c r="C56" s="21"/>
      <c r="D56" s="275" t="s">
        <v>76</v>
      </c>
      <c r="E56" s="21"/>
      <c r="F56" s="282" t="s">
        <v>76</v>
      </c>
      <c r="G56" s="23"/>
      <c r="H56" s="22"/>
      <c r="I56" s="22"/>
      <c r="J56" s="62" t="str">
        <f t="shared" si="0"/>
        <v/>
      </c>
      <c r="K56" s="63"/>
      <c r="L56" s="63"/>
      <c r="M56" s="64" t="str">
        <f t="shared" si="1"/>
        <v/>
      </c>
      <c r="N56" s="22"/>
      <c r="O56" s="22"/>
      <c r="P56" s="62" t="str">
        <f t="shared" si="2"/>
        <v/>
      </c>
      <c r="Q56" s="63"/>
      <c r="R56" s="63"/>
      <c r="S56" s="64" t="str">
        <f t="shared" si="3"/>
        <v/>
      </c>
      <c r="T56" s="65"/>
      <c r="U56" s="66"/>
      <c r="V56" s="18" t="str">
        <f>IF($C56="","",VLOOKUP($C56,#REF!,4,FALSE))</f>
        <v/>
      </c>
      <c r="W56" s="69" t="str">
        <f>IF($E56="","",VLOOKUP($E56,#REF!,4,FALSE))</f>
        <v/>
      </c>
      <c r="Y56"/>
      <c r="Z56"/>
      <c r="AA56"/>
      <c r="AB56"/>
      <c r="AC56"/>
    </row>
    <row r="57" spans="1:29" s="67" customFormat="1" ht="18" customHeight="1">
      <c r="A57" s="60"/>
      <c r="B57" s="61"/>
      <c r="C57" s="21"/>
      <c r="D57" s="275" t="s">
        <v>76</v>
      </c>
      <c r="E57" s="21"/>
      <c r="F57" s="282" t="s">
        <v>76</v>
      </c>
      <c r="G57" s="23"/>
      <c r="H57" s="22"/>
      <c r="I57" s="22"/>
      <c r="J57" s="62" t="str">
        <f t="shared" si="0"/>
        <v/>
      </c>
      <c r="K57" s="63"/>
      <c r="L57" s="63"/>
      <c r="M57" s="64" t="str">
        <f t="shared" si="1"/>
        <v/>
      </c>
      <c r="N57" s="22"/>
      <c r="O57" s="22"/>
      <c r="P57" s="62" t="str">
        <f t="shared" si="2"/>
        <v/>
      </c>
      <c r="Q57" s="63"/>
      <c r="R57" s="63"/>
      <c r="S57" s="64" t="str">
        <f t="shared" si="3"/>
        <v/>
      </c>
      <c r="T57" s="65"/>
      <c r="U57" s="66"/>
      <c r="V57" s="18" t="str">
        <f>IF($C57="","",VLOOKUP($C57,#REF!,4,FALSE))</f>
        <v/>
      </c>
      <c r="W57" s="69" t="str">
        <f>IF($E57="","",VLOOKUP($E57,#REF!,4,FALSE))</f>
        <v/>
      </c>
      <c r="Y57"/>
      <c r="Z57"/>
      <c r="AA57"/>
      <c r="AB57"/>
      <c r="AC57"/>
    </row>
    <row r="58" spans="1:29" s="67" customFormat="1" ht="18" customHeight="1">
      <c r="A58" s="60"/>
      <c r="B58" s="61"/>
      <c r="C58" s="21"/>
      <c r="D58" s="275" t="s">
        <v>76</v>
      </c>
      <c r="E58" s="21"/>
      <c r="F58" s="282" t="s">
        <v>76</v>
      </c>
      <c r="G58" s="23"/>
      <c r="H58" s="22"/>
      <c r="I58" s="22"/>
      <c r="J58" s="62" t="str">
        <f t="shared" si="0"/>
        <v/>
      </c>
      <c r="K58" s="63"/>
      <c r="L58" s="63"/>
      <c r="M58" s="64" t="str">
        <f t="shared" si="1"/>
        <v/>
      </c>
      <c r="N58" s="22"/>
      <c r="O58" s="22"/>
      <c r="P58" s="62" t="str">
        <f t="shared" si="2"/>
        <v/>
      </c>
      <c r="Q58" s="63"/>
      <c r="R58" s="63"/>
      <c r="S58" s="64" t="str">
        <f t="shared" si="3"/>
        <v/>
      </c>
      <c r="T58" s="65"/>
      <c r="U58" s="66"/>
      <c r="V58" s="18" t="str">
        <f>IF($C58="","",VLOOKUP($C58,#REF!,4,FALSE))</f>
        <v/>
      </c>
      <c r="W58" s="69" t="str">
        <f>IF($E58="","",VLOOKUP($E58,#REF!,4,FALSE))</f>
        <v/>
      </c>
      <c r="Y58"/>
      <c r="Z58"/>
      <c r="AA58"/>
      <c r="AB58"/>
      <c r="AC58"/>
    </row>
    <row r="59" spans="1:29" s="67" customFormat="1" ht="18" customHeight="1">
      <c r="A59" s="60"/>
      <c r="B59" s="61"/>
      <c r="C59" s="21"/>
      <c r="D59" s="275" t="s">
        <v>76</v>
      </c>
      <c r="E59" s="21"/>
      <c r="F59" s="282" t="s">
        <v>76</v>
      </c>
      <c r="G59" s="23"/>
      <c r="H59" s="22"/>
      <c r="I59" s="22"/>
      <c r="J59" s="62" t="str">
        <f t="shared" si="0"/>
        <v/>
      </c>
      <c r="K59" s="63"/>
      <c r="L59" s="63"/>
      <c r="M59" s="64" t="str">
        <f t="shared" si="1"/>
        <v/>
      </c>
      <c r="N59" s="22"/>
      <c r="O59" s="22"/>
      <c r="P59" s="62" t="str">
        <f t="shared" si="2"/>
        <v/>
      </c>
      <c r="Q59" s="63"/>
      <c r="R59" s="63"/>
      <c r="S59" s="64" t="str">
        <f t="shared" si="3"/>
        <v/>
      </c>
      <c r="T59" s="65"/>
      <c r="U59" s="66"/>
      <c r="V59" s="18" t="str">
        <f>IF($C59="","",VLOOKUP($C59,#REF!,4,FALSE))</f>
        <v/>
      </c>
      <c r="W59" s="69" t="str">
        <f>IF($E59="","",VLOOKUP($E59,#REF!,4,FALSE))</f>
        <v/>
      </c>
      <c r="Y59"/>
      <c r="Z59"/>
      <c r="AA59"/>
      <c r="AB59"/>
      <c r="AC59"/>
    </row>
    <row r="60" spans="1:29" s="67" customFormat="1" ht="18" customHeight="1">
      <c r="A60" s="60"/>
      <c r="B60" s="61"/>
      <c r="C60" s="21"/>
      <c r="D60" s="275" t="s">
        <v>76</v>
      </c>
      <c r="E60" s="21"/>
      <c r="F60" s="282" t="s">
        <v>76</v>
      </c>
      <c r="G60" s="23"/>
      <c r="H60" s="22"/>
      <c r="I60" s="22"/>
      <c r="J60" s="62" t="str">
        <f t="shared" si="0"/>
        <v/>
      </c>
      <c r="K60" s="63"/>
      <c r="L60" s="63"/>
      <c r="M60" s="64" t="str">
        <f t="shared" si="1"/>
        <v/>
      </c>
      <c r="N60" s="22"/>
      <c r="O60" s="22"/>
      <c r="P60" s="62" t="str">
        <f t="shared" si="2"/>
        <v/>
      </c>
      <c r="Q60" s="63"/>
      <c r="R60" s="63"/>
      <c r="S60" s="64" t="str">
        <f t="shared" si="3"/>
        <v/>
      </c>
      <c r="T60" s="65"/>
      <c r="U60" s="66"/>
      <c r="V60" s="18" t="str">
        <f>IF($C60="","",VLOOKUP($C60,#REF!,4,FALSE))</f>
        <v/>
      </c>
      <c r="W60" s="69" t="str">
        <f>IF($E60="","",VLOOKUP($E60,#REF!,4,FALSE))</f>
        <v/>
      </c>
      <c r="Y60"/>
      <c r="Z60"/>
      <c r="AA60"/>
      <c r="AB60"/>
      <c r="AC60"/>
    </row>
    <row r="61" spans="1:29" s="67" customFormat="1" ht="18" customHeight="1">
      <c r="A61" s="60"/>
      <c r="B61" s="61"/>
      <c r="C61" s="21"/>
      <c r="D61" s="275" t="s">
        <v>76</v>
      </c>
      <c r="E61" s="21"/>
      <c r="F61" s="282" t="s">
        <v>76</v>
      </c>
      <c r="G61" s="23"/>
      <c r="H61" s="22"/>
      <c r="I61" s="22"/>
      <c r="J61" s="62" t="str">
        <f t="shared" si="0"/>
        <v/>
      </c>
      <c r="K61" s="63"/>
      <c r="L61" s="63"/>
      <c r="M61" s="64" t="str">
        <f t="shared" si="1"/>
        <v/>
      </c>
      <c r="N61" s="22"/>
      <c r="O61" s="22"/>
      <c r="P61" s="62" t="str">
        <f t="shared" si="2"/>
        <v/>
      </c>
      <c r="Q61" s="63"/>
      <c r="R61" s="63"/>
      <c r="S61" s="64" t="str">
        <f t="shared" si="3"/>
        <v/>
      </c>
      <c r="T61" s="65"/>
      <c r="U61" s="66"/>
      <c r="V61" s="18" t="str">
        <f>IF($C61="","",VLOOKUP($C61,#REF!,4,FALSE))</f>
        <v/>
      </c>
      <c r="W61" s="69" t="str">
        <f>IF($E61="","",VLOOKUP($E61,#REF!,4,FALSE))</f>
        <v/>
      </c>
      <c r="Y61"/>
      <c r="Z61"/>
      <c r="AA61"/>
      <c r="AB61"/>
      <c r="AC61"/>
    </row>
    <row r="62" spans="1:29" s="67" customFormat="1" ht="18" customHeight="1">
      <c r="A62" s="60"/>
      <c r="B62" s="61"/>
      <c r="C62" s="21"/>
      <c r="D62" s="275" t="s">
        <v>76</v>
      </c>
      <c r="E62" s="21"/>
      <c r="F62" s="282" t="s">
        <v>76</v>
      </c>
      <c r="G62" s="23"/>
      <c r="H62" s="22"/>
      <c r="I62" s="22"/>
      <c r="J62" s="62" t="str">
        <f t="shared" si="0"/>
        <v/>
      </c>
      <c r="K62" s="63"/>
      <c r="L62" s="63"/>
      <c r="M62" s="64" t="str">
        <f t="shared" si="1"/>
        <v/>
      </c>
      <c r="N62" s="22"/>
      <c r="O62" s="22"/>
      <c r="P62" s="62" t="str">
        <f t="shared" si="2"/>
        <v/>
      </c>
      <c r="Q62" s="63"/>
      <c r="R62" s="63"/>
      <c r="S62" s="64" t="str">
        <f t="shared" si="3"/>
        <v/>
      </c>
      <c r="T62" s="65"/>
      <c r="U62" s="66"/>
      <c r="V62" s="18" t="str">
        <f>IF($C62="","",VLOOKUP($C62,#REF!,4,FALSE))</f>
        <v/>
      </c>
      <c r="W62" s="69" t="str">
        <f>IF($E62="","",VLOOKUP($E62,#REF!,4,FALSE))</f>
        <v/>
      </c>
      <c r="Y62"/>
      <c r="Z62"/>
      <c r="AA62"/>
      <c r="AB62"/>
      <c r="AC62"/>
    </row>
    <row r="63" spans="1:29" s="67" customFormat="1" ht="18" customHeight="1">
      <c r="A63" s="60"/>
      <c r="B63" s="61"/>
      <c r="C63" s="21"/>
      <c r="D63" s="275" t="s">
        <v>76</v>
      </c>
      <c r="E63" s="21"/>
      <c r="F63" s="282" t="s">
        <v>76</v>
      </c>
      <c r="G63" s="23"/>
      <c r="H63" s="22"/>
      <c r="I63" s="22"/>
      <c r="J63" s="62" t="str">
        <f t="shared" si="0"/>
        <v/>
      </c>
      <c r="K63" s="63"/>
      <c r="L63" s="63"/>
      <c r="M63" s="64" t="str">
        <f t="shared" si="1"/>
        <v/>
      </c>
      <c r="N63" s="22"/>
      <c r="O63" s="22"/>
      <c r="P63" s="62" t="str">
        <f t="shared" si="2"/>
        <v/>
      </c>
      <c r="Q63" s="63"/>
      <c r="R63" s="63"/>
      <c r="S63" s="64" t="str">
        <f t="shared" si="3"/>
        <v/>
      </c>
      <c r="T63" s="65"/>
      <c r="U63" s="66"/>
      <c r="V63" s="18" t="str">
        <f>IF($C63="","",VLOOKUP($C63,#REF!,4,FALSE))</f>
        <v/>
      </c>
      <c r="W63" s="69" t="str">
        <f>IF($E63="","",VLOOKUP($E63,#REF!,4,FALSE))</f>
        <v/>
      </c>
      <c r="Y63"/>
      <c r="Z63"/>
      <c r="AA63"/>
      <c r="AB63"/>
      <c r="AC63"/>
    </row>
    <row r="64" spans="1:29" s="67" customFormat="1" ht="18" customHeight="1">
      <c r="A64" s="60"/>
      <c r="B64" s="61"/>
      <c r="C64" s="21"/>
      <c r="D64" s="275" t="s">
        <v>76</v>
      </c>
      <c r="E64" s="21"/>
      <c r="F64" s="282" t="s">
        <v>76</v>
      </c>
      <c r="G64" s="23"/>
      <c r="H64" s="22"/>
      <c r="I64" s="22"/>
      <c r="J64" s="62" t="str">
        <f t="shared" si="0"/>
        <v/>
      </c>
      <c r="K64" s="63"/>
      <c r="L64" s="63"/>
      <c r="M64" s="64" t="str">
        <f t="shared" si="1"/>
        <v/>
      </c>
      <c r="N64" s="22"/>
      <c r="O64" s="22"/>
      <c r="P64" s="62" t="str">
        <f t="shared" si="2"/>
        <v/>
      </c>
      <c r="Q64" s="63"/>
      <c r="R64" s="63"/>
      <c r="S64" s="64" t="str">
        <f t="shared" si="3"/>
        <v/>
      </c>
      <c r="T64" s="65"/>
      <c r="U64" s="66"/>
      <c r="V64" s="18" t="str">
        <f>IF($C64="","",VLOOKUP($C64,#REF!,4,FALSE))</f>
        <v/>
      </c>
      <c r="W64" s="69" t="str">
        <f>IF($E64="","",VLOOKUP($E64,#REF!,4,FALSE))</f>
        <v/>
      </c>
      <c r="Y64"/>
      <c r="Z64"/>
      <c r="AA64"/>
      <c r="AB64"/>
      <c r="AC64"/>
    </row>
    <row r="65" spans="1:29" s="67" customFormat="1" ht="18" customHeight="1">
      <c r="A65" s="60"/>
      <c r="B65" s="61"/>
      <c r="C65" s="21"/>
      <c r="D65" s="275" t="s">
        <v>76</v>
      </c>
      <c r="E65" s="21"/>
      <c r="F65" s="282" t="s">
        <v>76</v>
      </c>
      <c r="G65" s="23"/>
      <c r="H65" s="22"/>
      <c r="I65" s="22"/>
      <c r="J65" s="62" t="str">
        <f t="shared" si="0"/>
        <v/>
      </c>
      <c r="K65" s="63"/>
      <c r="L65" s="63"/>
      <c r="M65" s="64" t="str">
        <f t="shared" si="1"/>
        <v/>
      </c>
      <c r="N65" s="22"/>
      <c r="O65" s="22"/>
      <c r="P65" s="62" t="str">
        <f t="shared" si="2"/>
        <v/>
      </c>
      <c r="Q65" s="63"/>
      <c r="R65" s="63"/>
      <c r="S65" s="64" t="str">
        <f t="shared" si="3"/>
        <v/>
      </c>
      <c r="T65" s="65"/>
      <c r="U65" s="66"/>
      <c r="V65" s="18" t="str">
        <f>IF($C65="","",VLOOKUP($C65,#REF!,4,FALSE))</f>
        <v/>
      </c>
      <c r="W65" s="69" t="str">
        <f>IF($E65="","",VLOOKUP($E65,#REF!,4,FALSE))</f>
        <v/>
      </c>
      <c r="Y65"/>
      <c r="Z65"/>
      <c r="AA65"/>
      <c r="AB65"/>
      <c r="AC65"/>
    </row>
    <row r="66" spans="1:29" s="67" customFormat="1" ht="18" customHeight="1">
      <c r="A66" s="60"/>
      <c r="B66" s="61"/>
      <c r="C66" s="21"/>
      <c r="D66" s="275" t="s">
        <v>76</v>
      </c>
      <c r="E66" s="21"/>
      <c r="F66" s="282" t="s">
        <v>76</v>
      </c>
      <c r="G66" s="23"/>
      <c r="H66" s="22"/>
      <c r="I66" s="22"/>
      <c r="J66" s="62" t="str">
        <f t="shared" si="0"/>
        <v/>
      </c>
      <c r="K66" s="63"/>
      <c r="L66" s="63"/>
      <c r="M66" s="64" t="str">
        <f t="shared" si="1"/>
        <v/>
      </c>
      <c r="N66" s="22"/>
      <c r="O66" s="22"/>
      <c r="P66" s="62" t="str">
        <f t="shared" si="2"/>
        <v/>
      </c>
      <c r="Q66" s="63"/>
      <c r="R66" s="63"/>
      <c r="S66" s="64" t="str">
        <f t="shared" si="3"/>
        <v/>
      </c>
      <c r="T66" s="65"/>
      <c r="U66" s="66"/>
      <c r="V66" s="18" t="str">
        <f>IF($C66="","",VLOOKUP($C66,#REF!,4,FALSE))</f>
        <v/>
      </c>
      <c r="W66" s="69" t="str">
        <f>IF($E66="","",VLOOKUP($E66,#REF!,4,FALSE))</f>
        <v/>
      </c>
      <c r="Y66"/>
      <c r="Z66"/>
      <c r="AA66"/>
      <c r="AB66"/>
      <c r="AC66"/>
    </row>
    <row r="67" spans="1:29" s="67" customFormat="1" ht="18" customHeight="1">
      <c r="A67" s="60"/>
      <c r="B67" s="61"/>
      <c r="C67" s="21"/>
      <c r="D67" s="275" t="s">
        <v>76</v>
      </c>
      <c r="E67" s="21"/>
      <c r="F67" s="282" t="s">
        <v>76</v>
      </c>
      <c r="G67" s="23"/>
      <c r="H67" s="22"/>
      <c r="I67" s="22"/>
      <c r="J67" s="62" t="str">
        <f t="shared" si="0"/>
        <v/>
      </c>
      <c r="K67" s="63"/>
      <c r="L67" s="63"/>
      <c r="M67" s="64" t="str">
        <f t="shared" si="1"/>
        <v/>
      </c>
      <c r="N67" s="22"/>
      <c r="O67" s="22"/>
      <c r="P67" s="62" t="str">
        <f t="shared" si="2"/>
        <v/>
      </c>
      <c r="Q67" s="63"/>
      <c r="R67" s="63"/>
      <c r="S67" s="64" t="str">
        <f t="shared" si="3"/>
        <v/>
      </c>
      <c r="T67" s="65"/>
      <c r="U67" s="66"/>
      <c r="V67" s="18" t="str">
        <f>IF($C67="","",VLOOKUP($C67,#REF!,4,FALSE))</f>
        <v/>
      </c>
      <c r="W67" s="69" t="str">
        <f>IF($E67="","",VLOOKUP($E67,#REF!,4,FALSE))</f>
        <v/>
      </c>
      <c r="Y67"/>
      <c r="Z67"/>
      <c r="AA67"/>
      <c r="AB67"/>
      <c r="AC67"/>
    </row>
    <row r="68" spans="1:29" s="67" customFormat="1" ht="18" customHeight="1">
      <c r="A68" s="60"/>
      <c r="B68" s="61"/>
      <c r="C68" s="21"/>
      <c r="D68" s="275" t="s">
        <v>76</v>
      </c>
      <c r="E68" s="21"/>
      <c r="F68" s="282" t="s">
        <v>76</v>
      </c>
      <c r="G68" s="23"/>
      <c r="H68" s="22"/>
      <c r="I68" s="22"/>
      <c r="J68" s="62" t="str">
        <f t="shared" si="0"/>
        <v/>
      </c>
      <c r="K68" s="63"/>
      <c r="L68" s="63"/>
      <c r="M68" s="64" t="str">
        <f t="shared" si="1"/>
        <v/>
      </c>
      <c r="N68" s="22"/>
      <c r="O68" s="22"/>
      <c r="P68" s="62" t="str">
        <f t="shared" si="2"/>
        <v/>
      </c>
      <c r="Q68" s="63"/>
      <c r="R68" s="63"/>
      <c r="S68" s="64" t="str">
        <f t="shared" si="3"/>
        <v/>
      </c>
      <c r="T68" s="65"/>
      <c r="U68" s="66"/>
      <c r="V68" s="18" t="str">
        <f>IF($C68="","",VLOOKUP($C68,#REF!,4,FALSE))</f>
        <v/>
      </c>
      <c r="W68" s="69" t="str">
        <f>IF($E68="","",VLOOKUP($E68,#REF!,4,FALSE))</f>
        <v/>
      </c>
      <c r="Y68"/>
      <c r="Z68"/>
      <c r="AA68"/>
      <c r="AB68"/>
      <c r="AC68"/>
    </row>
    <row r="69" spans="1:29" s="67" customFormat="1" ht="18" customHeight="1">
      <c r="A69" s="60"/>
      <c r="B69" s="61"/>
      <c r="C69" s="21"/>
      <c r="D69" s="275" t="s">
        <v>76</v>
      </c>
      <c r="E69" s="21"/>
      <c r="F69" s="282" t="s">
        <v>76</v>
      </c>
      <c r="G69" s="23"/>
      <c r="H69" s="22"/>
      <c r="I69" s="22"/>
      <c r="J69" s="62" t="str">
        <f t="shared" si="0"/>
        <v/>
      </c>
      <c r="K69" s="63"/>
      <c r="L69" s="63"/>
      <c r="M69" s="64" t="str">
        <f t="shared" si="1"/>
        <v/>
      </c>
      <c r="N69" s="22"/>
      <c r="O69" s="22"/>
      <c r="P69" s="62" t="str">
        <f t="shared" si="2"/>
        <v/>
      </c>
      <c r="Q69" s="63"/>
      <c r="R69" s="63"/>
      <c r="S69" s="64" t="str">
        <f t="shared" si="3"/>
        <v/>
      </c>
      <c r="T69" s="65"/>
      <c r="U69" s="66"/>
      <c r="V69" s="18" t="str">
        <f>IF($C69="","",VLOOKUP($C69,#REF!,4,FALSE))</f>
        <v/>
      </c>
      <c r="W69" s="69" t="str">
        <f>IF($E69="","",VLOOKUP($E69,#REF!,4,FALSE))</f>
        <v/>
      </c>
      <c r="Y69"/>
      <c r="Z69"/>
      <c r="AA69"/>
      <c r="AB69"/>
      <c r="AC69"/>
    </row>
    <row r="70" spans="1:29" s="67" customFormat="1" ht="18" customHeight="1">
      <c r="A70" s="60"/>
      <c r="B70" s="61"/>
      <c r="C70" s="21"/>
      <c r="D70" s="275" t="s">
        <v>76</v>
      </c>
      <c r="E70" s="21"/>
      <c r="F70" s="282" t="s">
        <v>76</v>
      </c>
      <c r="G70" s="23"/>
      <c r="H70" s="22"/>
      <c r="I70" s="22"/>
      <c r="J70" s="62" t="str">
        <f t="shared" si="0"/>
        <v/>
      </c>
      <c r="K70" s="63"/>
      <c r="L70" s="63"/>
      <c r="M70" s="64" t="str">
        <f t="shared" si="1"/>
        <v/>
      </c>
      <c r="N70" s="22"/>
      <c r="O70" s="22"/>
      <c r="P70" s="62" t="str">
        <f t="shared" si="2"/>
        <v/>
      </c>
      <c r="Q70" s="63"/>
      <c r="R70" s="63"/>
      <c r="S70" s="64" t="str">
        <f t="shared" si="3"/>
        <v/>
      </c>
      <c r="T70" s="65"/>
      <c r="U70" s="66"/>
      <c r="V70" s="18" t="str">
        <f>IF($C70="","",VLOOKUP($C70,#REF!,4,FALSE))</f>
        <v/>
      </c>
      <c r="W70" s="69" t="str">
        <f>IF($E70="","",VLOOKUP($E70,#REF!,4,FALSE))</f>
        <v/>
      </c>
      <c r="Y70"/>
      <c r="Z70"/>
      <c r="AA70"/>
      <c r="AB70"/>
      <c r="AC70"/>
    </row>
    <row r="71" spans="1:29" s="67" customFormat="1" ht="18" customHeight="1">
      <c r="A71" s="60"/>
      <c r="B71" s="61"/>
      <c r="C71" s="21"/>
      <c r="D71" s="275" t="s">
        <v>76</v>
      </c>
      <c r="E71" s="21"/>
      <c r="F71" s="282" t="s">
        <v>76</v>
      </c>
      <c r="G71" s="23"/>
      <c r="H71" s="22"/>
      <c r="I71" s="22"/>
      <c r="J71" s="62" t="str">
        <f t="shared" si="0"/>
        <v/>
      </c>
      <c r="K71" s="63"/>
      <c r="L71" s="63"/>
      <c r="M71" s="64" t="str">
        <f t="shared" si="1"/>
        <v/>
      </c>
      <c r="N71" s="22"/>
      <c r="O71" s="22"/>
      <c r="P71" s="62" t="str">
        <f t="shared" si="2"/>
        <v/>
      </c>
      <c r="Q71" s="63"/>
      <c r="R71" s="63"/>
      <c r="S71" s="64" t="str">
        <f t="shared" si="3"/>
        <v/>
      </c>
      <c r="T71" s="65"/>
      <c r="U71" s="66"/>
      <c r="V71" s="18" t="str">
        <f>IF($C71="","",VLOOKUP($C71,#REF!,4,FALSE))</f>
        <v/>
      </c>
      <c r="W71" s="69" t="str">
        <f>IF($E71="","",VLOOKUP($E71,#REF!,4,FALSE))</f>
        <v/>
      </c>
      <c r="Y71"/>
      <c r="Z71"/>
      <c r="AA71"/>
      <c r="AB71"/>
      <c r="AC71"/>
    </row>
    <row r="72" spans="1:29" s="67" customFormat="1" ht="18" customHeight="1">
      <c r="A72" s="60"/>
      <c r="B72" s="61"/>
      <c r="C72" s="21"/>
      <c r="D72" s="275" t="s">
        <v>76</v>
      </c>
      <c r="E72" s="21"/>
      <c r="F72" s="282" t="s">
        <v>76</v>
      </c>
      <c r="G72" s="23"/>
      <c r="H72" s="22"/>
      <c r="I72" s="22"/>
      <c r="J72" s="62" t="str">
        <f t="shared" si="0"/>
        <v/>
      </c>
      <c r="K72" s="63"/>
      <c r="L72" s="63"/>
      <c r="M72" s="64" t="str">
        <f t="shared" si="1"/>
        <v/>
      </c>
      <c r="N72" s="22"/>
      <c r="O72" s="22"/>
      <c r="P72" s="62" t="str">
        <f t="shared" si="2"/>
        <v/>
      </c>
      <c r="Q72" s="63"/>
      <c r="R72" s="63"/>
      <c r="S72" s="64" t="str">
        <f t="shared" si="3"/>
        <v/>
      </c>
      <c r="T72" s="65"/>
      <c r="U72" s="66"/>
      <c r="V72" s="18" t="str">
        <f>IF($C72="","",VLOOKUP($C72,#REF!,4,FALSE))</f>
        <v/>
      </c>
      <c r="W72" s="69" t="str">
        <f>IF($E72="","",VLOOKUP($E72,#REF!,4,FALSE))</f>
        <v/>
      </c>
      <c r="Y72"/>
      <c r="Z72"/>
      <c r="AA72"/>
      <c r="AB72"/>
      <c r="AC72"/>
    </row>
    <row r="73" spans="1:29" s="67" customFormat="1" ht="18" customHeight="1">
      <c r="A73" s="60"/>
      <c r="B73" s="61"/>
      <c r="C73" s="21"/>
      <c r="D73" s="275" t="s">
        <v>76</v>
      </c>
      <c r="E73" s="21"/>
      <c r="F73" s="282" t="s">
        <v>76</v>
      </c>
      <c r="G73" s="23"/>
      <c r="H73" s="22"/>
      <c r="I73" s="22"/>
      <c r="J73" s="62" t="str">
        <f t="shared" si="0"/>
        <v/>
      </c>
      <c r="K73" s="63"/>
      <c r="L73" s="63"/>
      <c r="M73" s="64" t="str">
        <f t="shared" si="1"/>
        <v/>
      </c>
      <c r="N73" s="22"/>
      <c r="O73" s="22"/>
      <c r="P73" s="62" t="str">
        <f t="shared" si="2"/>
        <v/>
      </c>
      <c r="Q73" s="63"/>
      <c r="R73" s="63"/>
      <c r="S73" s="64" t="str">
        <f t="shared" si="3"/>
        <v/>
      </c>
      <c r="T73" s="65"/>
      <c r="U73" s="66"/>
      <c r="V73" s="18" t="str">
        <f>IF($C73="","",VLOOKUP($C73,#REF!,4,FALSE))</f>
        <v/>
      </c>
      <c r="W73" s="69" t="str">
        <f>IF($E73="","",VLOOKUP($E73,#REF!,4,FALSE))</f>
        <v/>
      </c>
      <c r="Y73"/>
      <c r="Z73"/>
      <c r="AA73"/>
      <c r="AB73"/>
      <c r="AC73"/>
    </row>
    <row r="126" spans="5:5" ht="18" customHeight="1">
      <c r="E126" s="20" ph="1"/>
    </row>
    <row r="137" spans="5:5" ht="18" customHeight="1">
      <c r="E137" s="20" ph="1"/>
    </row>
    <row r="153" spans="5:5" ht="18" customHeight="1">
      <c r="E153" s="20" ph="1"/>
    </row>
    <row r="154" spans="5:5" ht="18" customHeight="1">
      <c r="E154" s="20" ph="1"/>
    </row>
    <row r="173" spans="5:5" ht="18" customHeight="1">
      <c r="E173" s="20" ph="1"/>
    </row>
    <row r="181" spans="5:5" ht="18" customHeight="1">
      <c r="E181" s="20" ph="1"/>
    </row>
    <row r="182" spans="5:5" ht="18" customHeight="1">
      <c r="E182" s="20" ph="1"/>
    </row>
    <row r="196" spans="5:5" ht="18" customHeight="1">
      <c r="E196" s="20" ph="1"/>
    </row>
    <row r="198" spans="5:5" ht="18" customHeight="1">
      <c r="E198" s="20" ph="1"/>
    </row>
    <row r="199" spans="5:5" ht="18" customHeight="1">
      <c r="E199" s="20" ph="1"/>
    </row>
    <row r="200" spans="5:5" ht="18" customHeight="1">
      <c r="E200" s="20" ph="1"/>
    </row>
    <row r="201" spans="5:5" ht="18" customHeight="1">
      <c r="E201" s="20" ph="1"/>
    </row>
  </sheetData>
  <sortState xmlns:xlrd2="http://schemas.microsoft.com/office/spreadsheetml/2017/richdata2" ref="A14:W15">
    <sortCondition ref="B14:B15"/>
  </sortState>
  <phoneticPr fontId="10"/>
  <conditionalFormatting sqref="V14:V73">
    <cfRule type="cellIs" dxfId="11" priority="4" stopIfTrue="1" operator="notBetween">
      <formula>"A"</formula>
      <formula>"Ｂ"</formula>
    </cfRule>
  </conditionalFormatting>
  <conditionalFormatting sqref="W14:W73">
    <cfRule type="cellIs" dxfId="10" priority="3" stopIfTrue="1" operator="between">
      <formula>"-"</formula>
      <formula>"申請中"</formula>
    </cfRule>
  </conditionalFormatting>
  <conditionalFormatting sqref="Y14:Z73">
    <cfRule type="expression" dxfId="9" priority="2">
      <formula>Y14&lt;&gt;C14</formula>
    </cfRule>
  </conditionalFormatting>
  <conditionalFormatting sqref="AB14:AC73">
    <cfRule type="expression" dxfId="8" priority="1">
      <formula>AB14&lt;&gt;E14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GetJEFInfo">
                <anchor moveWithCells="1" sizeWithCells="1">
                  <from>
                    <xdr:col>24</xdr:col>
                    <xdr:colOff>381000</xdr:colOff>
                    <xdr:row>3</xdr:row>
                    <xdr:rowOff>213360</xdr:rowOff>
                  </from>
                  <to>
                    <xdr:col>26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9">
    <tabColor rgb="FFFFC000"/>
  </sheetPr>
  <dimension ref="A1:AE201"/>
  <sheetViews>
    <sheetView topLeftCell="A7" zoomScale="96" zoomScaleNormal="96" workbookViewId="0">
      <selection activeCell="G30" sqref="G30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24" width="9.6640625" style="20"/>
    <col min="29" max="16384" width="9.6640625" style="20"/>
  </cols>
  <sheetData>
    <row r="1" spans="1:31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Y1"/>
      <c r="Z1"/>
      <c r="AA1"/>
      <c r="AB1"/>
    </row>
    <row r="2" spans="1:31" s="25" customFormat="1" ht="18" customHeight="1">
      <c r="B2" s="26" t="s">
        <v>1</v>
      </c>
      <c r="C2" s="27"/>
      <c r="E2" s="26" t="s">
        <v>2</v>
      </c>
      <c r="F2" s="30"/>
      <c r="G2" s="175">
        <v>46277</v>
      </c>
      <c r="L2" s="28"/>
      <c r="N2" s="26" t="s">
        <v>3</v>
      </c>
      <c r="O2" s="29"/>
      <c r="P2" s="30"/>
      <c r="Q2" s="30"/>
      <c r="R2" s="30"/>
      <c r="S2" s="30"/>
      <c r="T2" s="30"/>
      <c r="Y2"/>
      <c r="Z2"/>
      <c r="AA2"/>
      <c r="AB2"/>
    </row>
    <row r="3" spans="1:31" s="25" customFormat="1" ht="18" customHeight="1">
      <c r="A3" s="31"/>
      <c r="B3" s="26" t="s">
        <v>4</v>
      </c>
      <c r="C3" s="71" t="s">
        <v>481</v>
      </c>
      <c r="D3" s="139"/>
      <c r="E3" s="139"/>
      <c r="F3" s="139"/>
      <c r="G3" s="139"/>
      <c r="Q3" s="26" t="s">
        <v>5</v>
      </c>
      <c r="R3" s="29"/>
      <c r="S3" s="30"/>
      <c r="T3" s="30"/>
      <c r="U3" s="32"/>
      <c r="Y3"/>
      <c r="Z3"/>
      <c r="AA3"/>
      <c r="AB3"/>
    </row>
    <row r="4" spans="1:31" s="25" customFormat="1" ht="18" customHeight="1">
      <c r="B4" s="26" t="s">
        <v>6</v>
      </c>
      <c r="C4" s="33">
        <v>19</v>
      </c>
      <c r="D4" s="25" t="s">
        <v>7</v>
      </c>
      <c r="E4" s="26" t="s">
        <v>8</v>
      </c>
      <c r="F4" s="276" t="s">
        <v>487</v>
      </c>
      <c r="G4" s="30"/>
      <c r="H4" s="30"/>
      <c r="J4" s="26" t="s">
        <v>9</v>
      </c>
      <c r="K4" s="34" t="s">
        <v>488</v>
      </c>
      <c r="N4" s="26" t="s">
        <v>10</v>
      </c>
      <c r="O4" s="35"/>
      <c r="Y4"/>
      <c r="Z4"/>
      <c r="AA4"/>
      <c r="AB4"/>
    </row>
    <row r="5" spans="1:31" s="25" customFormat="1" ht="18" customHeight="1">
      <c r="C5" s="26" t="s">
        <v>11</v>
      </c>
      <c r="D5" s="27">
        <v>7</v>
      </c>
      <c r="E5" s="26" t="s">
        <v>12</v>
      </c>
      <c r="F5" s="29" t="s">
        <v>482</v>
      </c>
      <c r="G5" s="26" t="s">
        <v>13</v>
      </c>
      <c r="H5" s="70"/>
      <c r="I5" s="36"/>
      <c r="J5" s="37" t="s">
        <v>14</v>
      </c>
      <c r="K5" s="38"/>
      <c r="L5" s="26" t="s">
        <v>15</v>
      </c>
      <c r="M5" s="39"/>
      <c r="O5" s="26" t="s">
        <v>16</v>
      </c>
      <c r="P5" s="39"/>
      <c r="R5" s="26" t="s">
        <v>17</v>
      </c>
      <c r="S5" s="39"/>
      <c r="Y5"/>
      <c r="Z5"/>
      <c r="AA5"/>
      <c r="AB5"/>
    </row>
    <row r="6" spans="1:31" s="25" customFormat="1" ht="35.1" customHeight="1">
      <c r="C6" s="40" t="s">
        <v>18</v>
      </c>
      <c r="D6" s="269" t="s">
        <v>40</v>
      </c>
      <c r="E6" s="26" t="s">
        <v>19</v>
      </c>
      <c r="F6" s="277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  <c r="Y6"/>
      <c r="Z6"/>
      <c r="AA6"/>
      <c r="AB6"/>
    </row>
    <row r="7" spans="1:31" s="25" customFormat="1" ht="15" customHeight="1">
      <c r="A7" s="26" t="s">
        <v>69</v>
      </c>
      <c r="B7" s="74" t="s">
        <v>0</v>
      </c>
      <c r="C7" s="77"/>
      <c r="D7" s="26" t="s">
        <v>70</v>
      </c>
      <c r="E7" s="75"/>
      <c r="F7" s="32"/>
      <c r="I7" s="26"/>
      <c r="J7" s="37"/>
      <c r="K7" s="32"/>
      <c r="L7" s="26"/>
      <c r="M7" s="32"/>
      <c r="N7" s="26"/>
      <c r="O7" s="42"/>
      <c r="Q7" s="26"/>
      <c r="R7" s="43"/>
      <c r="Y7"/>
      <c r="Z7"/>
      <c r="AA7"/>
      <c r="AB7"/>
    </row>
    <row r="8" spans="1:31" s="25" customFormat="1" ht="15" customHeight="1">
      <c r="A8" s="26" t="s">
        <v>71</v>
      </c>
      <c r="B8" s="74" t="s">
        <v>0</v>
      </c>
      <c r="C8" s="73"/>
      <c r="D8" s="26" t="s">
        <v>70</v>
      </c>
      <c r="E8" s="76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  <c r="Y8"/>
      <c r="Z8"/>
      <c r="AA8"/>
      <c r="AB8"/>
    </row>
    <row r="9" spans="1:31" s="25" customFormat="1" ht="15" customHeight="1">
      <c r="A9" s="26" t="s">
        <v>72</v>
      </c>
      <c r="B9" s="74" t="s">
        <v>0</v>
      </c>
      <c r="C9" s="73"/>
      <c r="D9" s="26" t="s">
        <v>70</v>
      </c>
      <c r="E9" s="76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  <c r="Y9"/>
      <c r="Z9"/>
      <c r="AA9"/>
      <c r="AB9"/>
    </row>
    <row r="10" spans="1:31" s="25" customFormat="1" ht="15" customHeight="1">
      <c r="A10" s="26" t="s">
        <v>73</v>
      </c>
      <c r="B10" s="74" t="s">
        <v>0</v>
      </c>
      <c r="C10" s="73"/>
      <c r="D10" s="26" t="s">
        <v>70</v>
      </c>
      <c r="E10" s="76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  <c r="Y10"/>
      <c r="Z10"/>
      <c r="AA10"/>
      <c r="AB10"/>
    </row>
    <row r="11" spans="1:31" s="25" customFormat="1" ht="15" customHeight="1">
      <c r="A11" s="26" t="s">
        <v>74</v>
      </c>
      <c r="B11" s="74" t="s">
        <v>0</v>
      </c>
      <c r="C11" s="73"/>
      <c r="D11" s="26" t="s">
        <v>70</v>
      </c>
      <c r="E11" s="76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  <c r="V11" s="25">
        <f>COUNTA(C14:C73)</f>
        <v>14</v>
      </c>
      <c r="W11" s="25">
        <f>COUNTA(E14:E73)</f>
        <v>14</v>
      </c>
      <c r="Y11"/>
      <c r="Z11"/>
      <c r="AA11"/>
      <c r="AB11"/>
    </row>
    <row r="12" spans="1:31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51</v>
      </c>
      <c r="W12" s="15" t="s">
        <v>52</v>
      </c>
    </row>
    <row r="13" spans="1:31" ht="35.1" customHeight="1">
      <c r="A13" s="113" t="s">
        <v>24</v>
      </c>
      <c r="B13" s="113" t="s">
        <v>25</v>
      </c>
      <c r="C13" s="114" t="s">
        <v>26</v>
      </c>
      <c r="D13" s="289" t="s">
        <v>0</v>
      </c>
      <c r="E13" s="114" t="s">
        <v>27</v>
      </c>
      <c r="F13" s="289" t="s">
        <v>28</v>
      </c>
      <c r="G13" s="114" t="s">
        <v>29</v>
      </c>
      <c r="H13" s="115" t="s">
        <v>30</v>
      </c>
      <c r="I13" s="114" t="s">
        <v>31</v>
      </c>
      <c r="J13" s="115" t="s">
        <v>32</v>
      </c>
      <c r="K13" s="115" t="s">
        <v>33</v>
      </c>
      <c r="L13" s="115" t="s">
        <v>34</v>
      </c>
      <c r="M13" s="114" t="s">
        <v>35</v>
      </c>
      <c r="N13" s="116" t="s">
        <v>30</v>
      </c>
      <c r="O13" s="117" t="s">
        <v>31</v>
      </c>
      <c r="P13" s="116" t="s">
        <v>32</v>
      </c>
      <c r="Q13" s="116" t="s">
        <v>33</v>
      </c>
      <c r="R13" s="116" t="s">
        <v>36</v>
      </c>
      <c r="S13" s="116" t="s">
        <v>37</v>
      </c>
      <c r="T13" s="118" t="s">
        <v>38</v>
      </c>
      <c r="V13" s="15" t="s">
        <v>57</v>
      </c>
      <c r="W13" s="15" t="s">
        <v>58</v>
      </c>
    </row>
    <row r="14" spans="1:31" s="67" customFormat="1" ht="18" customHeight="1">
      <c r="A14" s="108"/>
      <c r="B14" s="61">
        <v>1</v>
      </c>
      <c r="C14" s="106" t="s">
        <v>260</v>
      </c>
      <c r="D14" s="290">
        <v>1384</v>
      </c>
      <c r="E14" s="88" t="s">
        <v>528</v>
      </c>
      <c r="F14" s="280">
        <v>61343</v>
      </c>
      <c r="G14" s="102" t="s">
        <v>527</v>
      </c>
      <c r="H14" s="120"/>
      <c r="I14" s="120"/>
      <c r="J14" s="121" t="str">
        <f t="shared" ref="J14:J45" si="0">IF(H14="","",H14+I14)</f>
        <v/>
      </c>
      <c r="K14" s="109"/>
      <c r="L14" s="109"/>
      <c r="M14" s="122" t="str">
        <f t="shared" ref="M14:M45" si="1">IF(L14="","",K14+L14)</f>
        <v/>
      </c>
      <c r="N14" s="120"/>
      <c r="O14" s="120"/>
      <c r="P14" s="121" t="str">
        <f t="shared" ref="P14:P45" si="2">IF(N14="","",N14+O14)</f>
        <v/>
      </c>
      <c r="Q14" s="109"/>
      <c r="R14" s="109"/>
      <c r="S14" s="122" t="str">
        <f t="shared" ref="S14:S45" si="3">IF(R14="","",Q14+R14)</f>
        <v/>
      </c>
      <c r="T14" s="123"/>
      <c r="U14" s="66"/>
      <c r="V14" s="18" t="e">
        <f>IF($C14="","",VLOOKUP($C14,#REF!,4,FALSE))</f>
        <v>#REF!</v>
      </c>
      <c r="W14" s="69" t="e">
        <f>IF($E14="","",VLOOKUP($E14,#REF!,4,FALSE))</f>
        <v>#REF!</v>
      </c>
      <c r="Y14" t="s">
        <v>266</v>
      </c>
      <c r="Z14">
        <v>21946</v>
      </c>
      <c r="AA14" t="s">
        <v>209</v>
      </c>
      <c r="AB14" t="s">
        <v>111</v>
      </c>
      <c r="AC14">
        <v>60322</v>
      </c>
      <c r="AD14" t="s">
        <v>212</v>
      </c>
      <c r="AE14"/>
    </row>
    <row r="15" spans="1:31" s="67" customFormat="1" ht="18" customHeight="1">
      <c r="A15" s="108"/>
      <c r="B15" s="61">
        <v>2</v>
      </c>
      <c r="C15" s="125" t="s">
        <v>102</v>
      </c>
      <c r="D15" s="271">
        <v>18834</v>
      </c>
      <c r="E15" s="125" t="s">
        <v>103</v>
      </c>
      <c r="F15" s="271">
        <v>56066</v>
      </c>
      <c r="G15" s="124" t="s">
        <v>564</v>
      </c>
      <c r="H15" s="120"/>
      <c r="I15" s="120"/>
      <c r="J15" s="121" t="str">
        <f t="shared" si="0"/>
        <v/>
      </c>
      <c r="K15" s="109"/>
      <c r="L15" s="109"/>
      <c r="M15" s="122" t="str">
        <f t="shared" si="1"/>
        <v/>
      </c>
      <c r="N15" s="120"/>
      <c r="O15" s="120"/>
      <c r="P15" s="121" t="str">
        <f t="shared" si="2"/>
        <v/>
      </c>
      <c r="Q15" s="109"/>
      <c r="R15" s="109"/>
      <c r="S15" s="122" t="str">
        <f t="shared" si="3"/>
        <v/>
      </c>
      <c r="T15" s="123"/>
      <c r="U15" s="66"/>
      <c r="V15" s="18" t="e">
        <f>IF($C15="","",VLOOKUP($C15,#REF!,4,FALSE))</f>
        <v>#REF!</v>
      </c>
      <c r="W15" s="69" t="e">
        <f>IF($E15="","",VLOOKUP($E15,#REF!,4,FALSE))</f>
        <v>#REF!</v>
      </c>
      <c r="Y15" t="s">
        <v>260</v>
      </c>
      <c r="Z15">
        <v>1384</v>
      </c>
      <c r="AA15" t="s">
        <v>190</v>
      </c>
      <c r="AB15" t="s">
        <v>118</v>
      </c>
      <c r="AC15">
        <v>60414</v>
      </c>
      <c r="AD15" t="s">
        <v>224</v>
      </c>
      <c r="AE15"/>
    </row>
    <row r="16" spans="1:31" s="67" customFormat="1" ht="18" customHeight="1">
      <c r="A16" s="108"/>
      <c r="B16" s="61">
        <v>3</v>
      </c>
      <c r="C16" s="137" t="s">
        <v>254</v>
      </c>
      <c r="D16" s="271">
        <v>8082</v>
      </c>
      <c r="E16" s="137" t="s">
        <v>593</v>
      </c>
      <c r="F16" s="279">
        <v>59855</v>
      </c>
      <c r="G16" s="138" t="s">
        <v>590</v>
      </c>
      <c r="H16" s="120"/>
      <c r="I16" s="120"/>
      <c r="J16" s="121" t="str">
        <f t="shared" si="0"/>
        <v/>
      </c>
      <c r="K16" s="109"/>
      <c r="L16" s="109"/>
      <c r="M16" s="122" t="str">
        <f t="shared" si="1"/>
        <v/>
      </c>
      <c r="N16" s="120"/>
      <c r="O16" s="120"/>
      <c r="P16" s="121" t="str">
        <f t="shared" si="2"/>
        <v/>
      </c>
      <c r="Q16" s="109"/>
      <c r="R16" s="109"/>
      <c r="S16" s="122" t="str">
        <f t="shared" si="3"/>
        <v/>
      </c>
      <c r="T16" s="123"/>
      <c r="U16" s="66"/>
      <c r="V16" s="18" t="e">
        <f>IF($C16="","",VLOOKUP($C16,#REF!,4,FALSE))</f>
        <v>#REF!</v>
      </c>
      <c r="W16" s="69" t="e">
        <f>IF($E16="","",VLOOKUP($E16,#REF!,4,FALSE))</f>
        <v>#REF!</v>
      </c>
      <c r="Y16" t="s">
        <v>115</v>
      </c>
      <c r="Z16">
        <v>12159</v>
      </c>
      <c r="AA16" t="s">
        <v>167</v>
      </c>
      <c r="AB16"/>
      <c r="AC16"/>
      <c r="AD16"/>
      <c r="AE16"/>
    </row>
    <row r="17" spans="1:31" s="67" customFormat="1" ht="18" customHeight="1">
      <c r="A17" s="60"/>
      <c r="B17" s="61">
        <v>4</v>
      </c>
      <c r="C17" s="137" t="s">
        <v>362</v>
      </c>
      <c r="D17" s="271">
        <v>12188</v>
      </c>
      <c r="E17" s="137" t="s">
        <v>601</v>
      </c>
      <c r="F17" s="279">
        <v>60248</v>
      </c>
      <c r="G17" s="138" t="s">
        <v>602</v>
      </c>
      <c r="H17" s="22"/>
      <c r="I17" s="22"/>
      <c r="J17" s="62" t="str">
        <f t="shared" si="0"/>
        <v/>
      </c>
      <c r="K17" s="63"/>
      <c r="L17" s="63"/>
      <c r="M17" s="64" t="str">
        <f t="shared" si="1"/>
        <v/>
      </c>
      <c r="N17" s="22"/>
      <c r="O17" s="22"/>
      <c r="P17" s="62" t="str">
        <f t="shared" si="2"/>
        <v/>
      </c>
      <c r="Q17" s="63"/>
      <c r="R17" s="63"/>
      <c r="S17" s="64" t="str">
        <f t="shared" si="3"/>
        <v/>
      </c>
      <c r="T17" s="65"/>
      <c r="U17" s="66"/>
      <c r="V17" s="18" t="e">
        <f>IF($C17="","",VLOOKUP($C17,#REF!,4,FALSE))</f>
        <v>#REF!</v>
      </c>
      <c r="W17" s="69" t="e">
        <f>IF($E17="","",VLOOKUP($E17,#REF!,4,FALSE))</f>
        <v>#REF!</v>
      </c>
      <c r="Y17" t="s">
        <v>437</v>
      </c>
      <c r="Z17">
        <v>31349</v>
      </c>
      <c r="AA17" t="s">
        <v>436</v>
      </c>
      <c r="AB17" t="s">
        <v>296</v>
      </c>
      <c r="AC17">
        <v>59147</v>
      </c>
      <c r="AD17" t="s">
        <v>464</v>
      </c>
      <c r="AE17"/>
    </row>
    <row r="18" spans="1:31" s="67" customFormat="1" ht="18" customHeight="1">
      <c r="A18" s="108"/>
      <c r="B18" s="61">
        <v>5</v>
      </c>
      <c r="C18" s="87" t="s">
        <v>565</v>
      </c>
      <c r="D18" s="273">
        <v>14718</v>
      </c>
      <c r="E18" s="88" t="s">
        <v>566</v>
      </c>
      <c r="F18" s="280">
        <v>60418</v>
      </c>
      <c r="G18" s="87" t="s">
        <v>567</v>
      </c>
      <c r="H18" s="120"/>
      <c r="I18" s="120"/>
      <c r="J18" s="121" t="str">
        <f t="shared" si="0"/>
        <v/>
      </c>
      <c r="K18" s="109"/>
      <c r="L18" s="109"/>
      <c r="M18" s="122" t="str">
        <f t="shared" si="1"/>
        <v/>
      </c>
      <c r="N18" s="120"/>
      <c r="O18" s="120"/>
      <c r="P18" s="121" t="str">
        <f t="shared" si="2"/>
        <v/>
      </c>
      <c r="Q18" s="109"/>
      <c r="R18" s="109"/>
      <c r="S18" s="122" t="str">
        <f t="shared" si="3"/>
        <v/>
      </c>
      <c r="T18" s="123"/>
      <c r="U18" s="66"/>
      <c r="V18" s="18" t="e">
        <f>IF($C18="","",VLOOKUP($C18,#REF!,4,FALSE))</f>
        <v>#REF!</v>
      </c>
      <c r="W18" s="69" t="e">
        <f>IF($E18="","",VLOOKUP($E18,#REF!,4,FALSE))</f>
        <v>#REF!</v>
      </c>
      <c r="Y18" t="s">
        <v>255</v>
      </c>
      <c r="Z18">
        <v>25761</v>
      </c>
      <c r="AA18" t="s">
        <v>183</v>
      </c>
      <c r="AB18" t="s">
        <v>336</v>
      </c>
      <c r="AC18">
        <v>57765</v>
      </c>
      <c r="AD18" t="s">
        <v>459</v>
      </c>
      <c r="AE18"/>
    </row>
    <row r="19" spans="1:31" s="67" customFormat="1" ht="18" customHeight="1">
      <c r="A19" s="60"/>
      <c r="B19" s="61">
        <v>6</v>
      </c>
      <c r="C19" s="137" t="s">
        <v>728</v>
      </c>
      <c r="D19" s="271">
        <v>15169</v>
      </c>
      <c r="E19" s="137" t="s">
        <v>558</v>
      </c>
      <c r="F19" s="279">
        <v>61438</v>
      </c>
      <c r="G19" s="154" t="s">
        <v>559</v>
      </c>
      <c r="H19" s="22"/>
      <c r="I19" s="22"/>
      <c r="J19" s="62" t="str">
        <f t="shared" si="0"/>
        <v/>
      </c>
      <c r="K19" s="63"/>
      <c r="L19" s="63"/>
      <c r="M19" s="64" t="str">
        <f t="shared" si="1"/>
        <v/>
      </c>
      <c r="N19" s="22"/>
      <c r="O19" s="22"/>
      <c r="P19" s="62" t="str">
        <f t="shared" si="2"/>
        <v/>
      </c>
      <c r="Q19" s="63"/>
      <c r="R19" s="63"/>
      <c r="S19" s="64" t="str">
        <f t="shared" si="3"/>
        <v/>
      </c>
      <c r="T19" s="65"/>
      <c r="U19" s="66"/>
      <c r="V19" s="18" t="e">
        <f>IF($C19="","",VLOOKUP($C19,#REF!,4,FALSE))</f>
        <v>#REF!</v>
      </c>
      <c r="W19" s="69" t="e">
        <f>IF($E19="","",VLOOKUP($E19,#REF!,4,FALSE))</f>
        <v>#REF!</v>
      </c>
      <c r="Y19" t="s">
        <v>435</v>
      </c>
      <c r="Z19">
        <v>329</v>
      </c>
      <c r="AA19" t="s">
        <v>434</v>
      </c>
      <c r="AB19" t="s">
        <v>277</v>
      </c>
      <c r="AC19">
        <v>61214</v>
      </c>
      <c r="AD19" t="s">
        <v>463</v>
      </c>
      <c r="AE19"/>
    </row>
    <row r="20" spans="1:31" s="67" customFormat="1" ht="18" customHeight="1">
      <c r="A20" s="108"/>
      <c r="B20" s="61">
        <v>7</v>
      </c>
      <c r="C20" s="106" t="s">
        <v>256</v>
      </c>
      <c r="D20" s="290">
        <v>10571</v>
      </c>
      <c r="E20" s="88" t="s">
        <v>304</v>
      </c>
      <c r="F20" s="280">
        <v>61278</v>
      </c>
      <c r="G20" s="106" t="s">
        <v>590</v>
      </c>
      <c r="H20" s="120"/>
      <c r="I20" s="120"/>
      <c r="J20" s="121" t="str">
        <f t="shared" si="0"/>
        <v/>
      </c>
      <c r="K20" s="109"/>
      <c r="L20" s="109"/>
      <c r="M20" s="122" t="str">
        <f t="shared" si="1"/>
        <v/>
      </c>
      <c r="N20" s="120"/>
      <c r="O20" s="120"/>
      <c r="P20" s="121" t="str">
        <f t="shared" si="2"/>
        <v/>
      </c>
      <c r="Q20" s="109"/>
      <c r="R20" s="109"/>
      <c r="S20" s="122" t="str">
        <f t="shared" si="3"/>
        <v/>
      </c>
      <c r="T20" s="123"/>
      <c r="U20" s="66"/>
      <c r="V20" s="18" t="e">
        <f>IF($C20="","",VLOOKUP($C20,#REF!,4,FALSE))</f>
        <v>#REF!</v>
      </c>
      <c r="W20" s="69" t="e">
        <f>IF($E20="","",VLOOKUP($E20,#REF!,4,FALSE))</f>
        <v>#REF!</v>
      </c>
      <c r="Y20" t="s">
        <v>246</v>
      </c>
      <c r="Z20">
        <v>5227</v>
      </c>
      <c r="AA20" t="s">
        <v>169</v>
      </c>
      <c r="AB20" t="s">
        <v>132</v>
      </c>
      <c r="AC20">
        <v>57458</v>
      </c>
      <c r="AD20" t="s">
        <v>179</v>
      </c>
      <c r="AE20"/>
    </row>
    <row r="21" spans="1:31" s="67" customFormat="1" ht="18" customHeight="1">
      <c r="A21" s="108"/>
      <c r="B21" s="61">
        <v>8</v>
      </c>
      <c r="C21" s="103" t="s">
        <v>696</v>
      </c>
      <c r="D21" s="300">
        <v>28066</v>
      </c>
      <c r="E21" s="88" t="s">
        <v>532</v>
      </c>
      <c r="F21" s="280">
        <v>59979</v>
      </c>
      <c r="G21" s="130" t="s">
        <v>527</v>
      </c>
      <c r="H21" s="120"/>
      <c r="I21" s="120"/>
      <c r="J21" s="121" t="str">
        <f t="shared" si="0"/>
        <v/>
      </c>
      <c r="K21" s="109"/>
      <c r="L21" s="109"/>
      <c r="M21" s="122" t="str">
        <f t="shared" si="1"/>
        <v/>
      </c>
      <c r="N21" s="120"/>
      <c r="O21" s="120"/>
      <c r="P21" s="121" t="str">
        <f t="shared" si="2"/>
        <v/>
      </c>
      <c r="Q21" s="109"/>
      <c r="R21" s="109"/>
      <c r="S21" s="122" t="str">
        <f t="shared" si="3"/>
        <v/>
      </c>
      <c r="T21" s="123"/>
      <c r="U21" s="66"/>
      <c r="V21" s="18" t="e">
        <f>IF($C21="","",VLOOKUP($C21,#REF!,4,FALSE))</f>
        <v>#REF!</v>
      </c>
      <c r="W21" s="69" t="e">
        <f>IF($E21="","",VLOOKUP($E21,#REF!,4,FALSE))</f>
        <v>#REF!</v>
      </c>
      <c r="Y21"/>
      <c r="Z21"/>
      <c r="AA21"/>
      <c r="AB21" t="s">
        <v>127</v>
      </c>
      <c r="AC21">
        <v>57573</v>
      </c>
      <c r="AD21" t="s">
        <v>223</v>
      </c>
      <c r="AE21"/>
    </row>
    <row r="22" spans="1:31" s="67" customFormat="1" ht="18" customHeight="1">
      <c r="A22" s="108"/>
      <c r="B22" s="61">
        <v>9</v>
      </c>
      <c r="C22" s="125" t="s">
        <v>720</v>
      </c>
      <c r="D22" s="271">
        <v>32095</v>
      </c>
      <c r="E22" s="125" t="s">
        <v>610</v>
      </c>
      <c r="F22" s="271">
        <v>62036</v>
      </c>
      <c r="G22" s="124" t="s">
        <v>721</v>
      </c>
      <c r="H22" s="120"/>
      <c r="I22" s="120"/>
      <c r="J22" s="121" t="str">
        <f t="shared" si="0"/>
        <v/>
      </c>
      <c r="K22" s="109"/>
      <c r="L22" s="109"/>
      <c r="M22" s="122" t="str">
        <f t="shared" si="1"/>
        <v/>
      </c>
      <c r="N22" s="120"/>
      <c r="O22" s="120"/>
      <c r="P22" s="121" t="str">
        <f t="shared" si="2"/>
        <v/>
      </c>
      <c r="Q22" s="109"/>
      <c r="R22" s="109"/>
      <c r="S22" s="122" t="str">
        <f t="shared" si="3"/>
        <v/>
      </c>
      <c r="T22" s="123"/>
      <c r="U22" s="66"/>
      <c r="V22" s="18" t="e">
        <f>IF($C22="","",VLOOKUP($C22,#REF!,4,FALSE))</f>
        <v>#REF!</v>
      </c>
      <c r="W22" s="69" t="e">
        <f>IF($E22="","",VLOOKUP($E22,#REF!,4,FALSE))</f>
        <v>#REF!</v>
      </c>
      <c r="Y22" t="s">
        <v>264</v>
      </c>
      <c r="Z22">
        <v>18817</v>
      </c>
      <c r="AA22" t="s">
        <v>399</v>
      </c>
      <c r="AB22"/>
      <c r="AC22"/>
      <c r="AD22"/>
      <c r="AE22"/>
    </row>
    <row r="23" spans="1:31" s="67" customFormat="1" ht="18" customHeight="1">
      <c r="A23" s="60"/>
      <c r="B23" s="61">
        <v>10</v>
      </c>
      <c r="C23" s="133" t="s">
        <v>113</v>
      </c>
      <c r="D23" s="283">
        <v>19572</v>
      </c>
      <c r="E23" s="137" t="s">
        <v>114</v>
      </c>
      <c r="F23" s="279">
        <v>59650</v>
      </c>
      <c r="G23" s="144" t="s">
        <v>553</v>
      </c>
      <c r="H23" s="22"/>
      <c r="I23" s="22"/>
      <c r="J23" s="62" t="str">
        <f t="shared" si="0"/>
        <v/>
      </c>
      <c r="K23" s="63"/>
      <c r="L23" s="63"/>
      <c r="M23" s="64" t="str">
        <f t="shared" si="1"/>
        <v/>
      </c>
      <c r="N23" s="22"/>
      <c r="O23" s="22"/>
      <c r="P23" s="62" t="str">
        <f t="shared" si="2"/>
        <v/>
      </c>
      <c r="Q23" s="63"/>
      <c r="R23" s="63"/>
      <c r="S23" s="64" t="str">
        <f t="shared" si="3"/>
        <v/>
      </c>
      <c r="T23" s="65"/>
      <c r="U23" s="66"/>
      <c r="V23" s="18" t="e">
        <f>IF($C23="","",VLOOKUP($C23,#REF!,4,FALSE))</f>
        <v>#REF!</v>
      </c>
      <c r="W23" s="69" t="e">
        <f>IF($E23="","",VLOOKUP($E23,#REF!,4,FALSE))</f>
        <v>#REF!</v>
      </c>
      <c r="Y23" t="s">
        <v>433</v>
      </c>
      <c r="Z23">
        <v>26988</v>
      </c>
      <c r="AA23" t="s">
        <v>432</v>
      </c>
      <c r="AB23" t="s">
        <v>462</v>
      </c>
      <c r="AC23">
        <v>58681</v>
      </c>
      <c r="AD23" t="s">
        <v>461</v>
      </c>
      <c r="AE23"/>
    </row>
    <row r="24" spans="1:31" s="67" customFormat="1" ht="18" customHeight="1">
      <c r="A24" s="60"/>
      <c r="B24" s="61">
        <v>11</v>
      </c>
      <c r="C24" s="137" t="s">
        <v>259</v>
      </c>
      <c r="D24" s="271">
        <v>18386</v>
      </c>
      <c r="E24" s="137" t="s">
        <v>584</v>
      </c>
      <c r="F24" s="279">
        <v>60264</v>
      </c>
      <c r="G24" s="138" t="s">
        <v>585</v>
      </c>
      <c r="H24" s="22"/>
      <c r="I24" s="22"/>
      <c r="J24" s="62" t="str">
        <f t="shared" si="0"/>
        <v/>
      </c>
      <c r="K24" s="63"/>
      <c r="L24" s="63"/>
      <c r="M24" s="64" t="str">
        <f t="shared" si="1"/>
        <v/>
      </c>
      <c r="N24" s="22"/>
      <c r="O24" s="22"/>
      <c r="P24" s="62" t="str">
        <f t="shared" si="2"/>
        <v/>
      </c>
      <c r="Q24" s="63"/>
      <c r="R24" s="63"/>
      <c r="S24" s="64" t="str">
        <f t="shared" si="3"/>
        <v/>
      </c>
      <c r="T24" s="65"/>
      <c r="U24" s="66"/>
      <c r="V24" s="18" t="e">
        <f>IF($C24="","",VLOOKUP($C24,#REF!,4,FALSE))</f>
        <v>#REF!</v>
      </c>
      <c r="W24" s="69" t="e">
        <f>IF($E24="","",VLOOKUP($E24,#REF!,4,FALSE))</f>
        <v>#REF!</v>
      </c>
      <c r="Y24" t="s">
        <v>439</v>
      </c>
      <c r="Z24">
        <v>33752</v>
      </c>
      <c r="AA24" t="s">
        <v>438</v>
      </c>
      <c r="AB24" t="s">
        <v>112</v>
      </c>
      <c r="AC24">
        <v>60987</v>
      </c>
      <c r="AD24" t="s">
        <v>165</v>
      </c>
      <c r="AE24"/>
    </row>
    <row r="25" spans="1:31" s="67" customFormat="1" ht="18" customHeight="1">
      <c r="A25" s="108"/>
      <c r="B25" s="61">
        <v>12</v>
      </c>
      <c r="C25" s="263" t="s">
        <v>729</v>
      </c>
      <c r="D25" s="273">
        <v>29957</v>
      </c>
      <c r="E25" s="88" t="s">
        <v>526</v>
      </c>
      <c r="F25" s="280">
        <v>61353</v>
      </c>
      <c r="G25" s="102" t="s">
        <v>527</v>
      </c>
      <c r="H25" s="120"/>
      <c r="I25" s="120"/>
      <c r="J25" s="121" t="str">
        <f t="shared" si="0"/>
        <v/>
      </c>
      <c r="K25" s="109"/>
      <c r="L25" s="109"/>
      <c r="M25" s="122" t="str">
        <f t="shared" si="1"/>
        <v/>
      </c>
      <c r="N25" s="120"/>
      <c r="O25" s="120"/>
      <c r="P25" s="121" t="str">
        <f t="shared" si="2"/>
        <v/>
      </c>
      <c r="Q25" s="109"/>
      <c r="R25" s="109"/>
      <c r="S25" s="122" t="str">
        <f t="shared" si="3"/>
        <v/>
      </c>
      <c r="T25" s="123"/>
      <c r="U25" s="66"/>
      <c r="V25" s="18" t="e">
        <f>IF($C25="","",VLOOKUP($C25,#REF!,4,FALSE))</f>
        <v>#REF!</v>
      </c>
      <c r="W25" s="69" t="e">
        <f>IF($E25="","",VLOOKUP($E25,#REF!,4,FALSE))</f>
        <v>#REF!</v>
      </c>
      <c r="Y25" t="s">
        <v>245</v>
      </c>
      <c r="Z25">
        <v>11802</v>
      </c>
      <c r="AA25" t="s">
        <v>168</v>
      </c>
      <c r="AB25" t="s">
        <v>310</v>
      </c>
      <c r="AC25">
        <v>59162</v>
      </c>
      <c r="AD25" t="s">
        <v>458</v>
      </c>
      <c r="AE25"/>
    </row>
    <row r="26" spans="1:31" s="67" customFormat="1" ht="18" customHeight="1">
      <c r="A26" s="108" t="s">
        <v>687</v>
      </c>
      <c r="B26" s="61">
        <v>13</v>
      </c>
      <c r="C26" s="256" t="s">
        <v>730</v>
      </c>
      <c r="D26" s="271">
        <v>5943</v>
      </c>
      <c r="E26" s="125" t="s">
        <v>552</v>
      </c>
      <c r="F26" s="271">
        <v>60218</v>
      </c>
      <c r="G26" s="124" t="s">
        <v>549</v>
      </c>
      <c r="H26" s="120"/>
      <c r="I26" s="120"/>
      <c r="J26" s="121" t="str">
        <f t="shared" si="0"/>
        <v/>
      </c>
      <c r="K26" s="109"/>
      <c r="L26" s="109"/>
      <c r="M26" s="122" t="str">
        <f t="shared" si="1"/>
        <v/>
      </c>
      <c r="N26" s="120"/>
      <c r="O26" s="120"/>
      <c r="P26" s="121" t="str">
        <f t="shared" si="2"/>
        <v/>
      </c>
      <c r="Q26" s="109"/>
      <c r="R26" s="109"/>
      <c r="S26" s="122" t="str">
        <f t="shared" si="3"/>
        <v/>
      </c>
      <c r="T26" s="123"/>
      <c r="U26" s="66"/>
      <c r="V26" s="18" t="e">
        <f>IF($C26="","",VLOOKUP($C26,#REF!,4,FALSE))</f>
        <v>#REF!</v>
      </c>
      <c r="W26" s="69" t="e">
        <f>IF($E26="","",VLOOKUP($E26,#REF!,4,FALSE))</f>
        <v>#REF!</v>
      </c>
      <c r="Y26" t="s">
        <v>258</v>
      </c>
      <c r="Z26">
        <v>20507</v>
      </c>
      <c r="AA26" t="s">
        <v>188</v>
      </c>
      <c r="AB26" t="s">
        <v>295</v>
      </c>
      <c r="AC26">
        <v>61583</v>
      </c>
      <c r="AD26" t="s">
        <v>460</v>
      </c>
      <c r="AE26"/>
    </row>
    <row r="27" spans="1:31" s="67" customFormat="1" ht="18" customHeight="1">
      <c r="A27" s="60" t="s">
        <v>687</v>
      </c>
      <c r="B27" s="61">
        <v>14</v>
      </c>
      <c r="C27" s="137" t="s">
        <v>730</v>
      </c>
      <c r="D27" s="271">
        <v>5943</v>
      </c>
      <c r="E27" s="137" t="s">
        <v>731</v>
      </c>
      <c r="F27" s="279">
        <v>61733</v>
      </c>
      <c r="G27" s="138" t="s">
        <v>549</v>
      </c>
      <c r="H27" s="22"/>
      <c r="I27" s="22"/>
      <c r="J27" s="62" t="str">
        <f t="shared" si="0"/>
        <v/>
      </c>
      <c r="K27" s="63"/>
      <c r="L27" s="63"/>
      <c r="M27" s="64" t="str">
        <f t="shared" si="1"/>
        <v/>
      </c>
      <c r="N27" s="22"/>
      <c r="O27" s="22"/>
      <c r="P27" s="62" t="str">
        <f t="shared" si="2"/>
        <v/>
      </c>
      <c r="Q27" s="63"/>
      <c r="R27" s="63"/>
      <c r="S27" s="64" t="str">
        <f t="shared" si="3"/>
        <v/>
      </c>
      <c r="T27" s="65"/>
      <c r="U27" s="66"/>
      <c r="V27" s="18" t="e">
        <f>IF($C27="","",VLOOKUP($C27,#REF!,4,FALSE))</f>
        <v>#REF!</v>
      </c>
      <c r="W27" s="69" t="e">
        <f>IF($E27="","",VLOOKUP($E27,#REF!,4,FALSE))</f>
        <v>#REF!</v>
      </c>
      <c r="Y27" t="s">
        <v>267</v>
      </c>
      <c r="Z27">
        <v>27497</v>
      </c>
      <c r="AA27" t="s">
        <v>210</v>
      </c>
      <c r="AB27"/>
      <c r="AC27"/>
      <c r="AD27"/>
      <c r="AE27"/>
    </row>
    <row r="28" spans="1:31" s="67" customFormat="1" ht="18" customHeight="1">
      <c r="A28" s="60"/>
      <c r="B28" s="61">
        <v>15</v>
      </c>
      <c r="C28" s="133"/>
      <c r="D28" s="283"/>
      <c r="E28" s="135"/>
      <c r="F28" s="293"/>
      <c r="G28" s="143"/>
      <c r="H28" s="22"/>
      <c r="I28" s="22"/>
      <c r="J28" s="62" t="str">
        <f t="shared" si="0"/>
        <v/>
      </c>
      <c r="K28" s="63"/>
      <c r="L28" s="63"/>
      <c r="M28" s="64" t="str">
        <f t="shared" si="1"/>
        <v/>
      </c>
      <c r="N28" s="22"/>
      <c r="O28" s="22"/>
      <c r="P28" s="62" t="str">
        <f t="shared" si="2"/>
        <v/>
      </c>
      <c r="Q28" s="63"/>
      <c r="R28" s="63"/>
      <c r="S28" s="64" t="str">
        <f t="shared" si="3"/>
        <v/>
      </c>
      <c r="T28" s="65"/>
      <c r="U28" s="66"/>
      <c r="V28" s="18" t="str">
        <f>IF($C28="","",VLOOKUP($C28,#REF!,4,FALSE))</f>
        <v/>
      </c>
      <c r="W28" s="69" t="str">
        <f>IF($E28="","",VLOOKUP($E28,#REF!,4,FALSE))</f>
        <v/>
      </c>
      <c r="Y28" t="s">
        <v>403</v>
      </c>
      <c r="Z28">
        <v>28809</v>
      </c>
      <c r="AA28" t="s">
        <v>402</v>
      </c>
      <c r="AB28" t="s">
        <v>279</v>
      </c>
      <c r="AC28">
        <v>61600</v>
      </c>
      <c r="AD28" t="s">
        <v>465</v>
      </c>
      <c r="AE28"/>
    </row>
    <row r="29" spans="1:31" s="67" customFormat="1" ht="18" customHeight="1">
      <c r="A29" s="60"/>
      <c r="B29" s="61">
        <v>16</v>
      </c>
      <c r="C29" s="137"/>
      <c r="D29" s="271"/>
      <c r="E29" s="137"/>
      <c r="F29" s="279"/>
      <c r="G29" s="138"/>
      <c r="H29" s="22"/>
      <c r="I29" s="22"/>
      <c r="J29" s="62" t="str">
        <f t="shared" si="0"/>
        <v/>
      </c>
      <c r="K29" s="63"/>
      <c r="L29" s="63"/>
      <c r="M29" s="64" t="str">
        <f t="shared" si="1"/>
        <v/>
      </c>
      <c r="N29" s="22"/>
      <c r="O29" s="22"/>
      <c r="P29" s="62" t="str">
        <f t="shared" si="2"/>
        <v/>
      </c>
      <c r="Q29" s="63"/>
      <c r="R29" s="63"/>
      <c r="S29" s="64" t="str">
        <f t="shared" si="3"/>
        <v/>
      </c>
      <c r="T29" s="65"/>
      <c r="U29" s="66"/>
      <c r="V29" s="18" t="str">
        <f>IF($C29="","",VLOOKUP($C29,#REF!,4,FALSE))</f>
        <v/>
      </c>
      <c r="W29" s="69" t="str">
        <f>IF($E29="","",VLOOKUP($E29,#REF!,4,FALSE))</f>
        <v/>
      </c>
      <c r="Y29" t="s">
        <v>441</v>
      </c>
      <c r="Z29">
        <v>32594</v>
      </c>
      <c r="AA29" t="s">
        <v>440</v>
      </c>
      <c r="AB29" t="s">
        <v>302</v>
      </c>
      <c r="AC29">
        <v>60986</v>
      </c>
      <c r="AD29" t="s">
        <v>466</v>
      </c>
      <c r="AE29"/>
    </row>
    <row r="30" spans="1:31" s="67" customFormat="1" ht="18" customHeight="1">
      <c r="A30" s="108"/>
      <c r="B30" s="61">
        <v>17</v>
      </c>
      <c r="C30" s="87"/>
      <c r="D30" s="273"/>
      <c r="E30" s="125"/>
      <c r="F30" s="271"/>
      <c r="G30" s="102"/>
      <c r="H30" s="120"/>
      <c r="I30" s="120"/>
      <c r="J30" s="121" t="str">
        <f t="shared" si="0"/>
        <v/>
      </c>
      <c r="K30" s="109"/>
      <c r="L30" s="109"/>
      <c r="M30" s="122" t="str">
        <f t="shared" si="1"/>
        <v/>
      </c>
      <c r="N30" s="120"/>
      <c r="O30" s="120"/>
      <c r="P30" s="121" t="str">
        <f t="shared" si="2"/>
        <v/>
      </c>
      <c r="Q30" s="109"/>
      <c r="R30" s="109"/>
      <c r="S30" s="122" t="str">
        <f t="shared" si="3"/>
        <v/>
      </c>
      <c r="T30" s="123"/>
      <c r="U30" s="66"/>
      <c r="V30" s="18" t="str">
        <f>IF($C30="","",VLOOKUP($C30,#REF!,4,FALSE))</f>
        <v/>
      </c>
      <c r="W30" s="69" t="str">
        <f>IF($E30="","",VLOOKUP($E30,#REF!,4,FALSE))</f>
        <v/>
      </c>
      <c r="Y30" t="s">
        <v>443</v>
      </c>
      <c r="Z30">
        <v>31647</v>
      </c>
      <c r="AA30" t="s">
        <v>442</v>
      </c>
      <c r="AB30" t="s">
        <v>301</v>
      </c>
      <c r="AC30">
        <v>60745</v>
      </c>
      <c r="AD30" t="s">
        <v>467</v>
      </c>
      <c r="AE30"/>
    </row>
    <row r="31" spans="1:31" s="67" customFormat="1" ht="18" customHeight="1">
      <c r="A31" s="108"/>
      <c r="B31" s="61">
        <v>18</v>
      </c>
      <c r="C31" s="125"/>
      <c r="D31" s="271"/>
      <c r="E31" s="125"/>
      <c r="F31" s="271"/>
      <c r="G31" s="124"/>
      <c r="H31" s="120"/>
      <c r="I31" s="120"/>
      <c r="J31" s="121" t="str">
        <f t="shared" si="0"/>
        <v/>
      </c>
      <c r="K31" s="109"/>
      <c r="L31" s="109"/>
      <c r="M31" s="122" t="str">
        <f t="shared" si="1"/>
        <v/>
      </c>
      <c r="N31" s="120"/>
      <c r="O31" s="120"/>
      <c r="P31" s="121" t="str">
        <f t="shared" si="2"/>
        <v/>
      </c>
      <c r="Q31" s="109"/>
      <c r="R31" s="109"/>
      <c r="S31" s="122" t="str">
        <f t="shared" si="3"/>
        <v/>
      </c>
      <c r="T31" s="123"/>
      <c r="U31" s="66"/>
      <c r="V31" s="18" t="str">
        <f>IF($C31="","",VLOOKUP($C31,#REF!,4,FALSE))</f>
        <v/>
      </c>
      <c r="W31" s="69" t="str">
        <f>IF($E31="","",VLOOKUP($E31,#REF!,4,FALSE))</f>
        <v/>
      </c>
      <c r="Y31" t="s">
        <v>269</v>
      </c>
      <c r="Z31">
        <v>33200</v>
      </c>
      <c r="AA31" t="s">
        <v>215</v>
      </c>
      <c r="AB31" t="s">
        <v>221</v>
      </c>
      <c r="AC31">
        <v>58512</v>
      </c>
      <c r="AD31" t="s">
        <v>220</v>
      </c>
      <c r="AE31"/>
    </row>
    <row r="32" spans="1:31" s="67" customFormat="1" ht="18" customHeight="1">
      <c r="A32" s="108"/>
      <c r="B32" s="61">
        <v>19</v>
      </c>
      <c r="C32" s="125"/>
      <c r="D32" s="271"/>
      <c r="E32" s="125"/>
      <c r="F32" s="271"/>
      <c r="G32" s="124"/>
      <c r="H32" s="120"/>
      <c r="I32" s="120"/>
      <c r="J32" s="121" t="str">
        <f t="shared" si="0"/>
        <v/>
      </c>
      <c r="K32" s="109"/>
      <c r="L32" s="109"/>
      <c r="M32" s="122" t="str">
        <f t="shared" si="1"/>
        <v/>
      </c>
      <c r="N32" s="120"/>
      <c r="O32" s="120"/>
      <c r="P32" s="121" t="str">
        <f t="shared" si="2"/>
        <v/>
      </c>
      <c r="Q32" s="109"/>
      <c r="R32" s="109"/>
      <c r="S32" s="122" t="str">
        <f t="shared" si="3"/>
        <v/>
      </c>
      <c r="T32" s="123"/>
      <c r="U32" s="66"/>
      <c r="V32" s="18" t="str">
        <f>IF($C32="","",VLOOKUP($C32,#REF!,4,FALSE))</f>
        <v/>
      </c>
      <c r="W32" s="69" t="str">
        <f>IF($E32="","",VLOOKUP($E32,#REF!,4,FALSE))</f>
        <v/>
      </c>
      <c r="Y32" t="s">
        <v>243</v>
      </c>
      <c r="Z32">
        <v>20200</v>
      </c>
      <c r="AA32" t="s">
        <v>162</v>
      </c>
      <c r="AB32" t="s">
        <v>105</v>
      </c>
      <c r="AC32">
        <v>57672</v>
      </c>
      <c r="AD32" t="s">
        <v>229</v>
      </c>
      <c r="AE32"/>
    </row>
    <row r="33" spans="1:31" s="67" customFormat="1" ht="18" customHeight="1">
      <c r="A33" s="108"/>
      <c r="B33" s="61">
        <v>20</v>
      </c>
      <c r="C33" s="87"/>
      <c r="D33" s="273"/>
      <c r="E33" s="88"/>
      <c r="F33" s="280"/>
      <c r="G33" s="102"/>
      <c r="H33" s="120"/>
      <c r="I33" s="120"/>
      <c r="J33" s="121" t="str">
        <f t="shared" si="0"/>
        <v/>
      </c>
      <c r="K33" s="109"/>
      <c r="L33" s="109"/>
      <c r="M33" s="122" t="str">
        <f t="shared" si="1"/>
        <v/>
      </c>
      <c r="N33" s="120"/>
      <c r="O33" s="120"/>
      <c r="P33" s="121" t="str">
        <f t="shared" si="2"/>
        <v/>
      </c>
      <c r="Q33" s="109"/>
      <c r="R33" s="109"/>
      <c r="S33" s="122" t="str">
        <f t="shared" si="3"/>
        <v/>
      </c>
      <c r="T33" s="123"/>
      <c r="U33" s="66"/>
      <c r="V33" s="18" t="str">
        <f>IF($C33="","",VLOOKUP($C33,#REF!,4,FALSE))</f>
        <v/>
      </c>
      <c r="W33" s="69" t="str">
        <f>IF($E33="","",VLOOKUP($E33,#REF!,4,FALSE))</f>
        <v/>
      </c>
      <c r="Y33" t="s">
        <v>252</v>
      </c>
      <c r="Z33">
        <v>2655</v>
      </c>
      <c r="AA33" t="s">
        <v>174</v>
      </c>
      <c r="AB33" t="s">
        <v>108</v>
      </c>
      <c r="AC33">
        <v>56829</v>
      </c>
      <c r="AD33" t="s">
        <v>178</v>
      </c>
      <c r="AE33"/>
    </row>
    <row r="34" spans="1:31" s="67" customFormat="1" ht="18" customHeight="1">
      <c r="A34" s="60"/>
      <c r="B34" s="61">
        <v>21</v>
      </c>
      <c r="C34" s="89"/>
      <c r="D34" s="290"/>
      <c r="E34" s="140"/>
      <c r="F34" s="294"/>
      <c r="G34" s="141"/>
      <c r="H34" s="22"/>
      <c r="I34" s="22"/>
      <c r="J34" s="62" t="str">
        <f t="shared" si="0"/>
        <v/>
      </c>
      <c r="K34" s="63"/>
      <c r="L34" s="63"/>
      <c r="M34" s="64" t="str">
        <f t="shared" si="1"/>
        <v/>
      </c>
      <c r="N34" s="22"/>
      <c r="O34" s="22"/>
      <c r="P34" s="62" t="str">
        <f t="shared" si="2"/>
        <v/>
      </c>
      <c r="Q34" s="63"/>
      <c r="R34" s="63"/>
      <c r="S34" s="64" t="str">
        <f t="shared" si="3"/>
        <v/>
      </c>
      <c r="T34" s="65"/>
      <c r="U34" s="66"/>
      <c r="V34" s="18" t="str">
        <f>IF($C34="","",VLOOKUP($C34,#REF!,4,FALSE))</f>
        <v/>
      </c>
      <c r="W34" s="69" t="str">
        <f>IF($E34="","",VLOOKUP($E34,#REF!,4,FALSE))</f>
        <v/>
      </c>
      <c r="Y34" t="s">
        <v>368</v>
      </c>
      <c r="Z34">
        <v>22733</v>
      </c>
      <c r="AA34" t="s">
        <v>367</v>
      </c>
      <c r="AB34"/>
      <c r="AC34"/>
      <c r="AD34"/>
      <c r="AE34"/>
    </row>
    <row r="35" spans="1:31" s="67" customFormat="1" ht="18" customHeight="1">
      <c r="A35" s="60"/>
      <c r="B35" s="61">
        <v>22</v>
      </c>
      <c r="C35" s="137"/>
      <c r="D35" s="290"/>
      <c r="E35" s="147"/>
      <c r="F35" s="279"/>
      <c r="G35" s="138"/>
      <c r="H35" s="22"/>
      <c r="I35" s="22"/>
      <c r="J35" s="62" t="str">
        <f t="shared" si="0"/>
        <v/>
      </c>
      <c r="K35" s="63"/>
      <c r="L35" s="63"/>
      <c r="M35" s="64" t="str">
        <f t="shared" si="1"/>
        <v/>
      </c>
      <c r="N35" s="22"/>
      <c r="O35" s="22"/>
      <c r="P35" s="62" t="str">
        <f t="shared" si="2"/>
        <v/>
      </c>
      <c r="Q35" s="63"/>
      <c r="R35" s="63"/>
      <c r="S35" s="64" t="str">
        <f t="shared" si="3"/>
        <v/>
      </c>
      <c r="T35" s="65"/>
      <c r="U35" s="66"/>
      <c r="V35" s="18" t="str">
        <f>IF($C35="","",VLOOKUP($C35,#REF!,4,FALSE))</f>
        <v/>
      </c>
      <c r="W35" s="69" t="str">
        <f>IF($E35="","",VLOOKUP($E35,#REF!,4,FALSE))</f>
        <v/>
      </c>
      <c r="Y35" t="s">
        <v>445</v>
      </c>
      <c r="Z35">
        <v>32719</v>
      </c>
      <c r="AA35" t="s">
        <v>444</v>
      </c>
      <c r="AB35" t="s">
        <v>291</v>
      </c>
      <c r="AC35">
        <v>57021</v>
      </c>
      <c r="AD35" t="s">
        <v>468</v>
      </c>
      <c r="AE35"/>
    </row>
    <row r="36" spans="1:31" s="67" customFormat="1" ht="18" customHeight="1">
      <c r="A36" s="108"/>
      <c r="B36" s="61">
        <v>23</v>
      </c>
      <c r="C36" s="125"/>
      <c r="D36" s="271"/>
      <c r="E36" s="125"/>
      <c r="F36" s="271"/>
      <c r="G36" s="124"/>
      <c r="H36" s="120"/>
      <c r="I36" s="120"/>
      <c r="J36" s="121" t="str">
        <f t="shared" si="0"/>
        <v/>
      </c>
      <c r="K36" s="109"/>
      <c r="L36" s="109"/>
      <c r="M36" s="122" t="str">
        <f t="shared" si="1"/>
        <v/>
      </c>
      <c r="N36" s="120"/>
      <c r="O36" s="120"/>
      <c r="P36" s="121" t="str">
        <f t="shared" si="2"/>
        <v/>
      </c>
      <c r="Q36" s="109"/>
      <c r="R36" s="109"/>
      <c r="S36" s="122" t="str">
        <f t="shared" si="3"/>
        <v/>
      </c>
      <c r="T36" s="123"/>
      <c r="U36" s="66"/>
      <c r="V36" s="18" t="str">
        <f>IF($C36="","",VLOOKUP($C36,#REF!,4,FALSE))</f>
        <v/>
      </c>
      <c r="W36" s="69" t="str">
        <f>IF($E36="","",VLOOKUP($E36,#REF!,4,FALSE))</f>
        <v/>
      </c>
      <c r="Y36" t="s">
        <v>238</v>
      </c>
      <c r="Z36">
        <v>30169</v>
      </c>
      <c r="AA36" t="s">
        <v>151</v>
      </c>
      <c r="AB36" t="s">
        <v>146</v>
      </c>
      <c r="AC36">
        <v>61196</v>
      </c>
      <c r="AD36" t="s">
        <v>234</v>
      </c>
      <c r="AE36"/>
    </row>
    <row r="37" spans="1:31" s="67" customFormat="1" ht="18" customHeight="1">
      <c r="A37" s="60"/>
      <c r="B37" s="61">
        <v>24</v>
      </c>
      <c r="C37" s="137"/>
      <c r="D37" s="271"/>
      <c r="E37" s="137"/>
      <c r="F37" s="279"/>
      <c r="G37" s="138"/>
      <c r="H37" s="22"/>
      <c r="I37" s="22"/>
      <c r="J37" s="62" t="str">
        <f t="shared" si="0"/>
        <v/>
      </c>
      <c r="K37" s="63"/>
      <c r="L37" s="63"/>
      <c r="M37" s="64" t="str">
        <f t="shared" si="1"/>
        <v/>
      </c>
      <c r="N37" s="22"/>
      <c r="O37" s="22"/>
      <c r="P37" s="62" t="str">
        <f t="shared" si="2"/>
        <v/>
      </c>
      <c r="Q37" s="63"/>
      <c r="R37" s="63"/>
      <c r="S37" s="64" t="str">
        <f t="shared" si="3"/>
        <v/>
      </c>
      <c r="T37" s="65"/>
      <c r="U37" s="66"/>
      <c r="V37" s="18" t="str">
        <f>IF($C37="","",VLOOKUP($C37,#REF!,4,FALSE))</f>
        <v/>
      </c>
      <c r="W37" s="69" t="str">
        <f>IF($E37="","",VLOOKUP($E37,#REF!,4,FALSE))</f>
        <v/>
      </c>
      <c r="Y37" t="s">
        <v>447</v>
      </c>
      <c r="Z37">
        <v>28784</v>
      </c>
      <c r="AA37" t="s">
        <v>446</v>
      </c>
      <c r="AB37" t="s">
        <v>283</v>
      </c>
      <c r="AC37">
        <v>56300</v>
      </c>
      <c r="AD37" t="s">
        <v>469</v>
      </c>
      <c r="AE37"/>
    </row>
    <row r="38" spans="1:31" s="67" customFormat="1" ht="18" customHeight="1">
      <c r="A38" s="108"/>
      <c r="B38" s="61">
        <v>25</v>
      </c>
      <c r="C38" s="87"/>
      <c r="D38" s="273"/>
      <c r="E38" s="88"/>
      <c r="F38" s="280"/>
      <c r="G38" s="87"/>
      <c r="H38" s="120"/>
      <c r="I38" s="120"/>
      <c r="J38" s="121" t="str">
        <f t="shared" si="0"/>
        <v/>
      </c>
      <c r="K38" s="109"/>
      <c r="L38" s="109"/>
      <c r="M38" s="122" t="str">
        <f t="shared" si="1"/>
        <v/>
      </c>
      <c r="N38" s="120"/>
      <c r="O38" s="120"/>
      <c r="P38" s="121" t="str">
        <f t="shared" si="2"/>
        <v/>
      </c>
      <c r="Q38" s="109"/>
      <c r="R38" s="109"/>
      <c r="S38" s="122" t="str">
        <f t="shared" si="3"/>
        <v/>
      </c>
      <c r="T38" s="123"/>
      <c r="U38" s="66"/>
      <c r="V38" s="18" t="str">
        <f>IF($C38="","",VLOOKUP($C38,#REF!,4,FALSE))</f>
        <v/>
      </c>
      <c r="W38" s="69" t="str">
        <f>IF($E38="","",VLOOKUP($E38,#REF!,4,FALSE))</f>
        <v/>
      </c>
      <c r="Y38" t="s">
        <v>251</v>
      </c>
      <c r="Z38">
        <v>27343</v>
      </c>
      <c r="AA38" t="s">
        <v>173</v>
      </c>
      <c r="AB38" t="s">
        <v>147</v>
      </c>
      <c r="AC38">
        <v>59765</v>
      </c>
      <c r="AD38" t="s">
        <v>177</v>
      </c>
      <c r="AE38"/>
    </row>
    <row r="39" spans="1:31" s="67" customFormat="1" ht="18" customHeight="1">
      <c r="A39" s="60"/>
      <c r="B39" s="61">
        <v>26</v>
      </c>
      <c r="C39" s="137"/>
      <c r="D39" s="271"/>
      <c r="E39" s="137"/>
      <c r="F39" s="279"/>
      <c r="G39" s="138"/>
      <c r="H39" s="22"/>
      <c r="I39" s="22"/>
      <c r="J39" s="62" t="str">
        <f t="shared" si="0"/>
        <v/>
      </c>
      <c r="K39" s="63"/>
      <c r="L39" s="63"/>
      <c r="M39" s="64" t="str">
        <f t="shared" si="1"/>
        <v/>
      </c>
      <c r="N39" s="22"/>
      <c r="O39" s="22"/>
      <c r="P39" s="62" t="str">
        <f t="shared" si="2"/>
        <v/>
      </c>
      <c r="Q39" s="63"/>
      <c r="R39" s="63"/>
      <c r="S39" s="64" t="str">
        <f t="shared" si="3"/>
        <v/>
      </c>
      <c r="T39" s="65"/>
      <c r="U39" s="66"/>
      <c r="V39" s="18" t="str">
        <f>IF($C39="","",VLOOKUP($C39,#REF!,4,FALSE))</f>
        <v/>
      </c>
      <c r="W39" s="69" t="str">
        <f>IF($E39="","",VLOOKUP($E39,#REF!,4,FALSE))</f>
        <v/>
      </c>
      <c r="Y39" t="s">
        <v>449</v>
      </c>
      <c r="Z39">
        <v>24185</v>
      </c>
      <c r="AA39" t="s">
        <v>448</v>
      </c>
      <c r="AB39" t="s">
        <v>300</v>
      </c>
      <c r="AC39">
        <v>54942</v>
      </c>
      <c r="AD39" t="s">
        <v>470</v>
      </c>
      <c r="AE39"/>
    </row>
    <row r="40" spans="1:31" s="67" customFormat="1" ht="18" customHeight="1">
      <c r="A40" s="108"/>
      <c r="B40" s="61">
        <v>27</v>
      </c>
      <c r="C40" s="125"/>
      <c r="D40" s="271"/>
      <c r="E40" s="125"/>
      <c r="F40" s="271"/>
      <c r="G40" s="124"/>
      <c r="H40" s="120"/>
      <c r="I40" s="120"/>
      <c r="J40" s="121" t="str">
        <f t="shared" si="0"/>
        <v/>
      </c>
      <c r="K40" s="109"/>
      <c r="L40" s="109"/>
      <c r="M40" s="122" t="str">
        <f t="shared" si="1"/>
        <v/>
      </c>
      <c r="N40" s="120"/>
      <c r="O40" s="120"/>
      <c r="P40" s="121" t="str">
        <f t="shared" si="2"/>
        <v/>
      </c>
      <c r="Q40" s="109"/>
      <c r="R40" s="109"/>
      <c r="S40" s="122" t="str">
        <f t="shared" si="3"/>
        <v/>
      </c>
      <c r="T40" s="123"/>
      <c r="U40" s="66"/>
      <c r="V40" s="18" t="str">
        <f>IF($C40="","",VLOOKUP($C40,#REF!,4,FALSE))</f>
        <v/>
      </c>
      <c r="W40" s="69" t="str">
        <f>IF($E40="","",VLOOKUP($E40,#REF!,4,FALSE))</f>
        <v/>
      </c>
      <c r="Y40" t="s">
        <v>435</v>
      </c>
      <c r="Z40">
        <v>329</v>
      </c>
      <c r="AA40" t="s">
        <v>434</v>
      </c>
      <c r="AB40" t="s">
        <v>278</v>
      </c>
      <c r="AC40">
        <v>58732</v>
      </c>
      <c r="AD40" t="s">
        <v>471</v>
      </c>
      <c r="AE40"/>
    </row>
    <row r="41" spans="1:31" s="67" customFormat="1" ht="18" customHeight="1">
      <c r="A41" s="60"/>
      <c r="B41" s="61">
        <v>28</v>
      </c>
      <c r="C41" s="137"/>
      <c r="D41" s="271"/>
      <c r="E41" s="137"/>
      <c r="F41" s="279"/>
      <c r="G41" s="138"/>
      <c r="H41" s="22"/>
      <c r="I41" s="22"/>
      <c r="J41" s="62" t="str">
        <f t="shared" si="0"/>
        <v/>
      </c>
      <c r="K41" s="63"/>
      <c r="L41" s="63"/>
      <c r="M41" s="64" t="str">
        <f t="shared" si="1"/>
        <v/>
      </c>
      <c r="N41" s="22"/>
      <c r="O41" s="22"/>
      <c r="P41" s="62" t="str">
        <f t="shared" si="2"/>
        <v/>
      </c>
      <c r="Q41" s="63"/>
      <c r="R41" s="63"/>
      <c r="S41" s="64" t="str">
        <f t="shared" si="3"/>
        <v/>
      </c>
      <c r="T41" s="65"/>
      <c r="U41" s="66"/>
      <c r="V41" s="18" t="str">
        <f>IF($C41="","",VLOOKUP($C41,#REF!,4,FALSE))</f>
        <v/>
      </c>
      <c r="W41" s="69" t="str">
        <f>IF($E41="","",VLOOKUP($E41,#REF!,4,FALSE))</f>
        <v/>
      </c>
      <c r="Y41" t="s">
        <v>254</v>
      </c>
      <c r="Z41">
        <v>8082</v>
      </c>
      <c r="AA41" t="s">
        <v>182</v>
      </c>
      <c r="AB41" t="s">
        <v>110</v>
      </c>
      <c r="AC41">
        <v>58171</v>
      </c>
      <c r="AD41" t="s">
        <v>225</v>
      </c>
      <c r="AE41"/>
    </row>
    <row r="42" spans="1:31" s="67" customFormat="1" ht="18" customHeight="1">
      <c r="A42" s="60"/>
      <c r="B42" s="61">
        <v>29</v>
      </c>
      <c r="C42" s="137"/>
      <c r="D42" s="271"/>
      <c r="E42" s="137"/>
      <c r="F42" s="279"/>
      <c r="G42" s="181"/>
      <c r="H42" s="22"/>
      <c r="I42" s="22"/>
      <c r="J42" s="62" t="str">
        <f t="shared" si="0"/>
        <v/>
      </c>
      <c r="K42" s="63"/>
      <c r="L42" s="63"/>
      <c r="M42" s="64" t="str">
        <f t="shared" si="1"/>
        <v/>
      </c>
      <c r="N42" s="22"/>
      <c r="O42" s="22"/>
      <c r="P42" s="62" t="str">
        <f t="shared" si="2"/>
        <v/>
      </c>
      <c r="Q42" s="63"/>
      <c r="R42" s="63"/>
      <c r="S42" s="64" t="str">
        <f t="shared" si="3"/>
        <v/>
      </c>
      <c r="T42" s="65"/>
      <c r="U42" s="66"/>
      <c r="V42" s="18" t="str">
        <f>IF($C42="","",VLOOKUP($C42,#REF!,4,FALSE))</f>
        <v/>
      </c>
      <c r="W42" s="69" t="str">
        <f>IF($E42="","",VLOOKUP($E42,#REF!,4,FALSE))</f>
        <v/>
      </c>
      <c r="Y42" t="s">
        <v>236</v>
      </c>
      <c r="Z42">
        <v>11976</v>
      </c>
      <c r="AA42" t="s">
        <v>149</v>
      </c>
      <c r="AB42" t="s">
        <v>287</v>
      </c>
      <c r="AC42">
        <v>61272</v>
      </c>
      <c r="AD42" t="s">
        <v>472</v>
      </c>
      <c r="AE42"/>
    </row>
    <row r="43" spans="1:31" s="67" customFormat="1" ht="18" customHeight="1">
      <c r="A43" s="60"/>
      <c r="B43" s="61">
        <v>30</v>
      </c>
      <c r="C43" s="137"/>
      <c r="D43" s="271"/>
      <c r="E43" s="137"/>
      <c r="F43" s="279"/>
      <c r="G43" s="138"/>
      <c r="H43" s="22"/>
      <c r="I43" s="22"/>
      <c r="J43" s="62" t="str">
        <f t="shared" si="0"/>
        <v/>
      </c>
      <c r="K43" s="63"/>
      <c r="L43" s="63"/>
      <c r="M43" s="64" t="str">
        <f t="shared" si="1"/>
        <v/>
      </c>
      <c r="N43" s="22"/>
      <c r="O43" s="22"/>
      <c r="P43" s="62" t="str">
        <f t="shared" si="2"/>
        <v/>
      </c>
      <c r="Q43" s="63"/>
      <c r="R43" s="63"/>
      <c r="S43" s="64" t="str">
        <f t="shared" si="3"/>
        <v/>
      </c>
      <c r="T43" s="65"/>
      <c r="U43" s="66"/>
      <c r="V43" s="18" t="str">
        <f>IF($C43="","",VLOOKUP($C43,#REF!,4,FALSE))</f>
        <v/>
      </c>
      <c r="W43" s="69" t="str">
        <f>IF($E43="","",VLOOKUP($E43,#REF!,4,FALSE))</f>
        <v/>
      </c>
      <c r="Y43" t="s">
        <v>246</v>
      </c>
      <c r="Z43">
        <v>5227</v>
      </c>
      <c r="AA43" t="s">
        <v>169</v>
      </c>
      <c r="AB43" t="s">
        <v>133</v>
      </c>
      <c r="AC43">
        <v>58632</v>
      </c>
      <c r="AD43" t="s">
        <v>228</v>
      </c>
      <c r="AE43"/>
    </row>
    <row r="44" spans="1:31" s="67" customFormat="1" ht="18" customHeight="1">
      <c r="A44" s="108"/>
      <c r="B44" s="61">
        <v>31</v>
      </c>
      <c r="C44" s="125"/>
      <c r="D44" s="271"/>
      <c r="E44" s="125"/>
      <c r="F44" s="271"/>
      <c r="G44" s="124"/>
      <c r="H44" s="120"/>
      <c r="I44" s="120"/>
      <c r="J44" s="121" t="str">
        <f t="shared" si="0"/>
        <v/>
      </c>
      <c r="K44" s="109"/>
      <c r="L44" s="109"/>
      <c r="M44" s="122" t="str">
        <f t="shared" si="1"/>
        <v/>
      </c>
      <c r="N44" s="120"/>
      <c r="O44" s="120"/>
      <c r="P44" s="121" t="str">
        <f t="shared" si="2"/>
        <v/>
      </c>
      <c r="Q44" s="109"/>
      <c r="R44" s="109"/>
      <c r="S44" s="122" t="str">
        <f t="shared" si="3"/>
        <v/>
      </c>
      <c r="T44" s="123"/>
      <c r="U44" s="66"/>
      <c r="V44" s="18" t="str">
        <f>IF($C44="","",VLOOKUP($C44,#REF!,4,FALSE))</f>
        <v/>
      </c>
      <c r="W44" s="69" t="str">
        <f>IF($E44="","",VLOOKUP($E44,#REF!,4,FALSE))</f>
        <v/>
      </c>
      <c r="Y44" t="s">
        <v>451</v>
      </c>
      <c r="Z44">
        <v>32221</v>
      </c>
      <c r="AA44" t="s">
        <v>450</v>
      </c>
      <c r="AB44" t="s">
        <v>290</v>
      </c>
      <c r="AC44">
        <v>58157</v>
      </c>
      <c r="AD44" t="s">
        <v>473</v>
      </c>
      <c r="AE44"/>
    </row>
    <row r="45" spans="1:31" s="67" customFormat="1" ht="18" customHeight="1">
      <c r="A45" s="108"/>
      <c r="B45" s="61">
        <v>32</v>
      </c>
      <c r="C45" s="125"/>
      <c r="D45" s="271"/>
      <c r="E45" s="125"/>
      <c r="F45" s="271"/>
      <c r="G45" s="124"/>
      <c r="H45" s="120"/>
      <c r="I45" s="120"/>
      <c r="J45" s="121" t="str">
        <f t="shared" si="0"/>
        <v/>
      </c>
      <c r="K45" s="109"/>
      <c r="L45" s="109"/>
      <c r="M45" s="122" t="str">
        <f t="shared" si="1"/>
        <v/>
      </c>
      <c r="N45" s="120"/>
      <c r="O45" s="120"/>
      <c r="P45" s="121" t="str">
        <f t="shared" si="2"/>
        <v/>
      </c>
      <c r="Q45" s="109"/>
      <c r="R45" s="109"/>
      <c r="S45" s="122" t="str">
        <f t="shared" si="3"/>
        <v/>
      </c>
      <c r="T45" s="123"/>
      <c r="U45" s="66"/>
      <c r="V45" s="18" t="str">
        <f>IF($C45="","",VLOOKUP($C45,#REF!,4,FALSE))</f>
        <v/>
      </c>
      <c r="W45" s="69" t="str">
        <f>IF($E45="","",VLOOKUP($E45,#REF!,4,FALSE))</f>
        <v/>
      </c>
      <c r="Y45" t="s">
        <v>115</v>
      </c>
      <c r="Z45">
        <v>12159</v>
      </c>
      <c r="AA45" t="s">
        <v>167</v>
      </c>
      <c r="AB45" t="s">
        <v>116</v>
      </c>
      <c r="AC45">
        <v>60956</v>
      </c>
      <c r="AD45" t="s">
        <v>202</v>
      </c>
      <c r="AE45"/>
    </row>
    <row r="46" spans="1:31" s="67" customFormat="1" ht="18" customHeight="1">
      <c r="A46" s="60"/>
      <c r="B46" s="61">
        <v>33</v>
      </c>
      <c r="C46" s="87"/>
      <c r="D46" s="273"/>
      <c r="E46" s="137"/>
      <c r="F46" s="279"/>
      <c r="G46" s="144"/>
      <c r="H46" s="22"/>
      <c r="I46" s="22"/>
      <c r="J46" s="62" t="str">
        <f t="shared" ref="J46:J73" si="4">IF(H46="","",H46+I46)</f>
        <v/>
      </c>
      <c r="K46" s="63"/>
      <c r="L46" s="63"/>
      <c r="M46" s="64" t="str">
        <f t="shared" ref="M46:M73" si="5">IF(L46="","",K46+L46)</f>
        <v/>
      </c>
      <c r="N46" s="22"/>
      <c r="O46" s="22"/>
      <c r="P46" s="62" t="str">
        <f t="shared" ref="P46:P73" si="6">IF(N46="","",N46+O46)</f>
        <v/>
      </c>
      <c r="Q46" s="63"/>
      <c r="R46" s="63"/>
      <c r="S46" s="64" t="str">
        <f t="shared" ref="S46:S73" si="7">IF(R46="","",Q46+R46)</f>
        <v/>
      </c>
      <c r="T46" s="65"/>
      <c r="U46" s="66"/>
      <c r="V46" s="18" t="str">
        <f>IF($C46="","",VLOOKUP($C46,#REF!,4,FALSE))</f>
        <v/>
      </c>
      <c r="W46" s="69" t="str">
        <f>IF($E46="","",VLOOKUP($E46,#REF!,4,FALSE))</f>
        <v/>
      </c>
      <c r="Y46" t="s">
        <v>272</v>
      </c>
      <c r="Z46">
        <v>26053</v>
      </c>
      <c r="AA46" t="s">
        <v>219</v>
      </c>
      <c r="AB46"/>
      <c r="AC46"/>
      <c r="AD46"/>
      <c r="AE46"/>
    </row>
    <row r="47" spans="1:31" s="67" customFormat="1" ht="18" customHeight="1">
      <c r="A47" s="60"/>
      <c r="B47" s="61">
        <v>34</v>
      </c>
      <c r="C47" s="137"/>
      <c r="D47" s="271"/>
      <c r="E47" s="137"/>
      <c r="F47" s="279"/>
      <c r="G47" s="138"/>
      <c r="H47" s="22"/>
      <c r="I47" s="22"/>
      <c r="J47" s="62" t="str">
        <f t="shared" si="4"/>
        <v/>
      </c>
      <c r="K47" s="63"/>
      <c r="L47" s="63"/>
      <c r="M47" s="64" t="str">
        <f t="shared" si="5"/>
        <v/>
      </c>
      <c r="N47" s="22"/>
      <c r="O47" s="22"/>
      <c r="P47" s="62" t="str">
        <f t="shared" si="6"/>
        <v/>
      </c>
      <c r="Q47" s="63"/>
      <c r="R47" s="63"/>
      <c r="S47" s="64" t="str">
        <f t="shared" si="7"/>
        <v/>
      </c>
      <c r="T47" s="65"/>
      <c r="U47" s="66"/>
      <c r="V47" s="18" t="str">
        <f>IF($C47="","",VLOOKUP($C47,#REF!,4,FALSE))</f>
        <v/>
      </c>
      <c r="W47" s="69" t="str">
        <f>IF($E47="","",VLOOKUP($E47,#REF!,4,FALSE))</f>
        <v/>
      </c>
      <c r="Y47" t="s">
        <v>247</v>
      </c>
      <c r="Z47">
        <v>13918</v>
      </c>
      <c r="AA47" t="s">
        <v>170</v>
      </c>
      <c r="AB47" t="s">
        <v>101</v>
      </c>
      <c r="AC47">
        <v>59372</v>
      </c>
      <c r="AD47" t="s">
        <v>175</v>
      </c>
      <c r="AE47"/>
    </row>
    <row r="48" spans="1:31" s="67" customFormat="1" ht="18" customHeight="1">
      <c r="A48" s="108"/>
      <c r="B48" s="61">
        <v>35</v>
      </c>
      <c r="C48" s="125"/>
      <c r="D48" s="271"/>
      <c r="E48" s="125"/>
      <c r="F48" s="271"/>
      <c r="G48" s="124"/>
      <c r="H48" s="120"/>
      <c r="I48" s="120"/>
      <c r="J48" s="121" t="str">
        <f t="shared" si="4"/>
        <v/>
      </c>
      <c r="K48" s="109"/>
      <c r="L48" s="109"/>
      <c r="M48" s="122" t="str">
        <f t="shared" si="5"/>
        <v/>
      </c>
      <c r="N48" s="120"/>
      <c r="O48" s="120"/>
      <c r="P48" s="121" t="str">
        <f t="shared" si="6"/>
        <v/>
      </c>
      <c r="Q48" s="109"/>
      <c r="R48" s="109"/>
      <c r="S48" s="122" t="str">
        <f t="shared" si="7"/>
        <v/>
      </c>
      <c r="T48" s="123"/>
      <c r="U48" s="66"/>
      <c r="V48" s="18" t="str">
        <f>IF($C48="","",VLOOKUP($C48,#REF!,4,FALSE))</f>
        <v/>
      </c>
      <c r="W48" s="69" t="str">
        <f>IF($E48="","",VLOOKUP($E48,#REF!,4,FALSE))</f>
        <v/>
      </c>
      <c r="Y48" t="s">
        <v>403</v>
      </c>
      <c r="Z48">
        <v>28809</v>
      </c>
      <c r="AA48" t="s">
        <v>402</v>
      </c>
      <c r="AB48" t="s">
        <v>280</v>
      </c>
      <c r="AC48">
        <v>60576</v>
      </c>
      <c r="AD48" t="s">
        <v>474</v>
      </c>
      <c r="AE48"/>
    </row>
    <row r="49" spans="1:31" s="67" customFormat="1" ht="18" customHeight="1">
      <c r="A49" s="60"/>
      <c r="B49" s="61">
        <v>36</v>
      </c>
      <c r="C49" s="137"/>
      <c r="D49" s="271"/>
      <c r="E49" s="88"/>
      <c r="F49" s="280"/>
      <c r="G49" s="102"/>
      <c r="H49" s="22"/>
      <c r="I49" s="22"/>
      <c r="J49" s="62" t="str">
        <f t="shared" si="4"/>
        <v/>
      </c>
      <c r="K49" s="63"/>
      <c r="L49" s="63"/>
      <c r="M49" s="64" t="str">
        <f t="shared" si="5"/>
        <v/>
      </c>
      <c r="N49" s="22"/>
      <c r="O49" s="22"/>
      <c r="P49" s="62" t="str">
        <f t="shared" si="6"/>
        <v/>
      </c>
      <c r="Q49" s="63"/>
      <c r="R49" s="63"/>
      <c r="S49" s="64" t="str">
        <f t="shared" si="7"/>
        <v/>
      </c>
      <c r="T49" s="65"/>
      <c r="U49" s="66"/>
      <c r="V49" s="18" t="str">
        <f>IF($C49="","",VLOOKUP($C49,#REF!,4,FALSE))</f>
        <v/>
      </c>
      <c r="W49" s="69" t="str">
        <f>IF($E49="","",VLOOKUP($E49,#REF!,4,FALSE))</f>
        <v/>
      </c>
      <c r="Y49" t="s">
        <v>453</v>
      </c>
      <c r="Z49">
        <v>20448</v>
      </c>
      <c r="AA49" t="s">
        <v>452</v>
      </c>
      <c r="AB49"/>
      <c r="AC49"/>
      <c r="AD49"/>
      <c r="AE49"/>
    </row>
    <row r="50" spans="1:31" s="67" customFormat="1" ht="18" customHeight="1">
      <c r="A50" s="60"/>
      <c r="B50" s="61">
        <v>37</v>
      </c>
      <c r="C50" s="137"/>
      <c r="D50" s="271"/>
      <c r="E50" s="137"/>
      <c r="F50" s="279"/>
      <c r="G50" s="138"/>
      <c r="H50" s="22"/>
      <c r="I50" s="22"/>
      <c r="J50" s="62" t="str">
        <f t="shared" si="4"/>
        <v/>
      </c>
      <c r="K50" s="63"/>
      <c r="L50" s="63"/>
      <c r="M50" s="64" t="str">
        <f t="shared" si="5"/>
        <v/>
      </c>
      <c r="N50" s="22"/>
      <c r="O50" s="22"/>
      <c r="P50" s="62" t="str">
        <f t="shared" si="6"/>
        <v/>
      </c>
      <c r="Q50" s="63"/>
      <c r="R50" s="63"/>
      <c r="S50" s="64" t="str">
        <f t="shared" si="7"/>
        <v/>
      </c>
      <c r="T50" s="65"/>
      <c r="U50" s="66"/>
      <c r="V50" s="18" t="str">
        <f>IF($C50="","",VLOOKUP($C50,#REF!,4,FALSE))</f>
        <v/>
      </c>
      <c r="W50" s="69" t="str">
        <f>IF($E50="","",VLOOKUP($E50,#REF!,4,FALSE))</f>
        <v/>
      </c>
      <c r="Y50" t="s">
        <v>455</v>
      </c>
      <c r="Z50">
        <v>33125</v>
      </c>
      <c r="AA50" t="s">
        <v>454</v>
      </c>
      <c r="AB50" t="s">
        <v>119</v>
      </c>
      <c r="AC50">
        <v>60744</v>
      </c>
      <c r="AD50" t="s">
        <v>166</v>
      </c>
      <c r="AE50"/>
    </row>
    <row r="51" spans="1:31" s="67" customFormat="1" ht="18" customHeight="1">
      <c r="A51" s="60"/>
      <c r="B51" s="61">
        <v>38</v>
      </c>
      <c r="C51" s="137"/>
      <c r="D51" s="271"/>
      <c r="E51" s="137"/>
      <c r="F51" s="279"/>
      <c r="G51" s="138"/>
      <c r="H51" s="22"/>
      <c r="I51" s="22"/>
      <c r="J51" s="62" t="str">
        <f t="shared" si="4"/>
        <v/>
      </c>
      <c r="K51" s="63"/>
      <c r="L51" s="63"/>
      <c r="M51" s="64" t="str">
        <f t="shared" si="5"/>
        <v/>
      </c>
      <c r="N51" s="22"/>
      <c r="O51" s="22"/>
      <c r="P51" s="62" t="str">
        <f t="shared" si="6"/>
        <v/>
      </c>
      <c r="Q51" s="63"/>
      <c r="R51" s="63"/>
      <c r="S51" s="64" t="str">
        <f t="shared" si="7"/>
        <v/>
      </c>
      <c r="T51" s="65"/>
      <c r="U51" s="66"/>
      <c r="V51" s="18" t="str">
        <f>IF($C51="","",VLOOKUP($C51,#REF!,4,FALSE))</f>
        <v/>
      </c>
      <c r="W51" s="69" t="str">
        <f>IF($E51="","",VLOOKUP($E51,#REF!,4,FALSE))</f>
        <v/>
      </c>
      <c r="Y51" t="s">
        <v>457</v>
      </c>
      <c r="Z51">
        <v>33197</v>
      </c>
      <c r="AA51" t="s">
        <v>456</v>
      </c>
      <c r="AB51"/>
      <c r="AC51"/>
      <c r="AD51"/>
      <c r="AE51"/>
    </row>
    <row r="52" spans="1:31" s="67" customFormat="1" ht="18" customHeight="1">
      <c r="A52" s="108"/>
      <c r="B52" s="61">
        <v>39</v>
      </c>
      <c r="C52" s="87"/>
      <c r="D52" s="273"/>
      <c r="E52" s="88"/>
      <c r="F52" s="280"/>
      <c r="G52" s="102"/>
      <c r="H52" s="120"/>
      <c r="I52" s="120"/>
      <c r="J52" s="121" t="str">
        <f t="shared" si="4"/>
        <v/>
      </c>
      <c r="K52" s="109"/>
      <c r="L52" s="109"/>
      <c r="M52" s="122" t="str">
        <f t="shared" si="5"/>
        <v/>
      </c>
      <c r="N52" s="120"/>
      <c r="O52" s="120"/>
      <c r="P52" s="121" t="str">
        <f t="shared" si="6"/>
        <v/>
      </c>
      <c r="Q52" s="109"/>
      <c r="R52" s="109"/>
      <c r="S52" s="122" t="str">
        <f t="shared" si="7"/>
        <v/>
      </c>
      <c r="T52" s="123"/>
      <c r="U52" s="66"/>
      <c r="V52" s="18" t="str">
        <f>IF($C52="","",VLOOKUP($C52,#REF!,4,FALSE))</f>
        <v/>
      </c>
      <c r="W52" s="69" t="str">
        <f>IF($E52="","",VLOOKUP($E52,#REF!,4,FALSE))</f>
        <v/>
      </c>
      <c r="Y52"/>
      <c r="Z52"/>
      <c r="AA52"/>
      <c r="AB52"/>
      <c r="AC52"/>
      <c r="AD52"/>
      <c r="AE52"/>
    </row>
    <row r="53" spans="1:31" s="67" customFormat="1" ht="18" customHeight="1">
      <c r="A53" s="108"/>
      <c r="B53" s="61">
        <v>40</v>
      </c>
      <c r="C53" s="125"/>
      <c r="D53" s="271"/>
      <c r="E53" s="125"/>
      <c r="F53" s="271"/>
      <c r="G53" s="170"/>
      <c r="H53" s="120"/>
      <c r="I53" s="120"/>
      <c r="J53" s="121" t="str">
        <f t="shared" si="4"/>
        <v/>
      </c>
      <c r="K53" s="109"/>
      <c r="L53" s="109"/>
      <c r="M53" s="122" t="str">
        <f t="shared" si="5"/>
        <v/>
      </c>
      <c r="N53" s="120"/>
      <c r="O53" s="120"/>
      <c r="P53" s="121" t="str">
        <f t="shared" si="6"/>
        <v/>
      </c>
      <c r="Q53" s="109"/>
      <c r="R53" s="109"/>
      <c r="S53" s="122" t="str">
        <f t="shared" si="7"/>
        <v/>
      </c>
      <c r="T53" s="123"/>
      <c r="U53" s="66"/>
      <c r="V53" s="18" t="str">
        <f>IF($C53="","",VLOOKUP($C53,#REF!,4,FALSE))</f>
        <v/>
      </c>
      <c r="W53" s="69" t="str">
        <f>IF($E53="","",VLOOKUP($E53,#REF!,4,FALSE))</f>
        <v/>
      </c>
      <c r="Y53"/>
      <c r="Z53"/>
      <c r="AA53"/>
      <c r="AB53"/>
      <c r="AC53"/>
      <c r="AD53"/>
      <c r="AE53"/>
    </row>
    <row r="54" spans="1:31" s="67" customFormat="1" ht="18" customHeight="1">
      <c r="A54" s="60"/>
      <c r="B54" s="61">
        <v>41</v>
      </c>
      <c r="C54" s="206"/>
      <c r="D54" s="292"/>
      <c r="E54" s="134"/>
      <c r="F54" s="294"/>
      <c r="G54" s="204"/>
      <c r="H54" s="22"/>
      <c r="I54" s="22"/>
      <c r="J54" s="62" t="str">
        <f t="shared" si="4"/>
        <v/>
      </c>
      <c r="K54" s="63"/>
      <c r="L54" s="63"/>
      <c r="M54" s="64" t="str">
        <f t="shared" si="5"/>
        <v/>
      </c>
      <c r="N54" s="22"/>
      <c r="O54" s="22"/>
      <c r="P54" s="62" t="str">
        <f t="shared" si="6"/>
        <v/>
      </c>
      <c r="Q54" s="63"/>
      <c r="R54" s="63"/>
      <c r="S54" s="64" t="str">
        <f t="shared" si="7"/>
        <v/>
      </c>
      <c r="T54" s="65"/>
      <c r="U54" s="66"/>
      <c r="V54" s="18" t="str">
        <f>IF($C54="","",VLOOKUP($C54,#REF!,4,FALSE))</f>
        <v/>
      </c>
      <c r="W54" s="69" t="str">
        <f>IF($E54="","",VLOOKUP($E54,#REF!,4,FALSE))</f>
        <v/>
      </c>
      <c r="Y54"/>
      <c r="Z54"/>
      <c r="AA54"/>
      <c r="AB54"/>
      <c r="AC54"/>
      <c r="AD54"/>
      <c r="AE54"/>
    </row>
    <row r="55" spans="1:31" s="67" customFormat="1" ht="18" customHeight="1">
      <c r="A55" s="60"/>
      <c r="B55" s="61">
        <v>42</v>
      </c>
      <c r="C55" s="137"/>
      <c r="D55" s="271"/>
      <c r="E55" s="133"/>
      <c r="F55" s="295"/>
      <c r="G55" s="154"/>
      <c r="H55" s="22"/>
      <c r="I55" s="22"/>
      <c r="J55" s="62" t="str">
        <f t="shared" si="4"/>
        <v/>
      </c>
      <c r="K55" s="63"/>
      <c r="L55" s="63"/>
      <c r="M55" s="64" t="str">
        <f t="shared" si="5"/>
        <v/>
      </c>
      <c r="N55" s="22"/>
      <c r="O55" s="22"/>
      <c r="P55" s="62" t="str">
        <f t="shared" si="6"/>
        <v/>
      </c>
      <c r="Q55" s="63"/>
      <c r="R55" s="63"/>
      <c r="S55" s="64" t="str">
        <f t="shared" si="7"/>
        <v/>
      </c>
      <c r="T55" s="65"/>
      <c r="U55" s="66"/>
      <c r="V55" s="18" t="str">
        <f>IF($C55="","",VLOOKUP($C55,#REF!,4,FALSE))</f>
        <v/>
      </c>
      <c r="W55" s="69" t="str">
        <f>IF($E55="","",VLOOKUP($E55,#REF!,4,FALSE))</f>
        <v/>
      </c>
      <c r="Y55"/>
      <c r="Z55"/>
      <c r="AA55"/>
      <c r="AB55"/>
      <c r="AC55"/>
      <c r="AD55"/>
      <c r="AE55"/>
    </row>
    <row r="56" spans="1:31" s="67" customFormat="1" ht="18" customHeight="1">
      <c r="A56" s="60"/>
      <c r="B56" s="61">
        <v>43</v>
      </c>
      <c r="C56" s="137"/>
      <c r="D56" s="271"/>
      <c r="E56" s="137"/>
      <c r="F56" s="279"/>
      <c r="G56" s="203"/>
      <c r="H56" s="22"/>
      <c r="I56" s="22"/>
      <c r="J56" s="62" t="str">
        <f t="shared" si="4"/>
        <v/>
      </c>
      <c r="K56" s="63"/>
      <c r="L56" s="63"/>
      <c r="M56" s="64" t="str">
        <f t="shared" si="5"/>
        <v/>
      </c>
      <c r="N56" s="22"/>
      <c r="O56" s="22"/>
      <c r="P56" s="62" t="str">
        <f t="shared" si="6"/>
        <v/>
      </c>
      <c r="Q56" s="63"/>
      <c r="R56" s="63"/>
      <c r="S56" s="64" t="str">
        <f t="shared" si="7"/>
        <v/>
      </c>
      <c r="T56" s="65"/>
      <c r="U56" s="66"/>
      <c r="V56" s="18" t="str">
        <f>IF($C56="","",VLOOKUP($C56,#REF!,4,FALSE))</f>
        <v/>
      </c>
      <c r="W56" s="69" t="str">
        <f>IF($E56="","",VLOOKUP($E56,#REF!,4,FALSE))</f>
        <v/>
      </c>
      <c r="Y56"/>
      <c r="Z56"/>
      <c r="AA56"/>
      <c r="AB56"/>
      <c r="AC56"/>
      <c r="AD56"/>
      <c r="AE56"/>
    </row>
    <row r="57" spans="1:31" s="67" customFormat="1" ht="18" customHeight="1">
      <c r="A57" s="60"/>
      <c r="B57" s="61">
        <v>44</v>
      </c>
      <c r="C57" s="137"/>
      <c r="D57" s="271"/>
      <c r="E57" s="137"/>
      <c r="F57" s="279"/>
      <c r="G57" s="138"/>
      <c r="H57" s="22"/>
      <c r="I57" s="22"/>
      <c r="J57" s="62" t="str">
        <f t="shared" si="4"/>
        <v/>
      </c>
      <c r="K57" s="63"/>
      <c r="L57" s="63"/>
      <c r="M57" s="64" t="str">
        <f t="shared" si="5"/>
        <v/>
      </c>
      <c r="N57" s="22"/>
      <c r="O57" s="22"/>
      <c r="P57" s="62" t="str">
        <f t="shared" si="6"/>
        <v/>
      </c>
      <c r="Q57" s="63"/>
      <c r="R57" s="63"/>
      <c r="S57" s="64" t="str">
        <f t="shared" si="7"/>
        <v/>
      </c>
      <c r="T57" s="65"/>
      <c r="U57" s="66"/>
      <c r="V57" s="18" t="str">
        <f>IF($C57="","",VLOOKUP($C57,#REF!,4,FALSE))</f>
        <v/>
      </c>
      <c r="W57" s="69" t="str">
        <f>IF($E57="","",VLOOKUP($E57,#REF!,4,FALSE))</f>
        <v/>
      </c>
      <c r="Y57"/>
      <c r="Z57"/>
      <c r="AA57"/>
      <c r="AB57"/>
      <c r="AC57"/>
      <c r="AD57"/>
      <c r="AE57"/>
    </row>
    <row r="58" spans="1:31" s="67" customFormat="1" ht="18" customHeight="1">
      <c r="A58" s="108"/>
      <c r="B58" s="61">
        <v>45</v>
      </c>
      <c r="C58" s="87"/>
      <c r="D58" s="273"/>
      <c r="E58" s="88"/>
      <c r="F58" s="280"/>
      <c r="G58" s="102"/>
      <c r="H58" s="120"/>
      <c r="I58" s="120"/>
      <c r="J58" s="121" t="str">
        <f t="shared" si="4"/>
        <v/>
      </c>
      <c r="K58" s="109"/>
      <c r="L58" s="109"/>
      <c r="M58" s="122" t="str">
        <f t="shared" si="5"/>
        <v/>
      </c>
      <c r="N58" s="120"/>
      <c r="O58" s="120"/>
      <c r="P58" s="121" t="str">
        <f t="shared" si="6"/>
        <v/>
      </c>
      <c r="Q58" s="109"/>
      <c r="R58" s="109"/>
      <c r="S58" s="122" t="str">
        <f t="shared" si="7"/>
        <v/>
      </c>
      <c r="T58" s="123"/>
      <c r="U58" s="66"/>
      <c r="V58" s="18" t="str">
        <f>IF($C58="","",VLOOKUP($C58,#REF!,4,FALSE))</f>
        <v/>
      </c>
      <c r="W58" s="69" t="str">
        <f>IF($E58="","",VLOOKUP($E58,#REF!,4,FALSE))</f>
        <v/>
      </c>
      <c r="Y58"/>
      <c r="Z58"/>
      <c r="AA58"/>
      <c r="AB58"/>
      <c r="AC58"/>
      <c r="AD58"/>
      <c r="AE58"/>
    </row>
    <row r="59" spans="1:31" s="67" customFormat="1" ht="18" customHeight="1">
      <c r="A59" s="108"/>
      <c r="B59" s="61">
        <v>46</v>
      </c>
      <c r="C59" s="125"/>
      <c r="D59" s="271"/>
      <c r="E59" s="125"/>
      <c r="F59" s="271"/>
      <c r="G59" s="124"/>
      <c r="H59" s="120"/>
      <c r="I59" s="120"/>
      <c r="J59" s="121" t="str">
        <f t="shared" si="4"/>
        <v/>
      </c>
      <c r="K59" s="109"/>
      <c r="L59" s="109"/>
      <c r="M59" s="122" t="str">
        <f t="shared" si="5"/>
        <v/>
      </c>
      <c r="N59" s="120"/>
      <c r="O59" s="120"/>
      <c r="P59" s="121" t="str">
        <f t="shared" si="6"/>
        <v/>
      </c>
      <c r="Q59" s="109"/>
      <c r="R59" s="109"/>
      <c r="S59" s="122" t="str">
        <f t="shared" si="7"/>
        <v/>
      </c>
      <c r="T59" s="123"/>
      <c r="U59" s="66"/>
      <c r="V59" s="18" t="str">
        <f>IF($C59="","",VLOOKUP($C59,#REF!,4,FALSE))</f>
        <v/>
      </c>
      <c r="W59" s="69" t="str">
        <f>IF($E59="","",VLOOKUP($E59,#REF!,4,FALSE))</f>
        <v/>
      </c>
      <c r="Y59"/>
      <c r="Z59"/>
      <c r="AA59"/>
      <c r="AB59"/>
      <c r="AC59"/>
      <c r="AD59"/>
      <c r="AE59"/>
    </row>
    <row r="60" spans="1:31" s="67" customFormat="1" ht="18" customHeight="1">
      <c r="A60" s="60"/>
      <c r="B60" s="61">
        <v>47</v>
      </c>
      <c r="C60" s="21"/>
      <c r="D60" s="275" t="s">
        <v>76</v>
      </c>
      <c r="E60" s="21"/>
      <c r="F60" s="282" t="s">
        <v>76</v>
      </c>
      <c r="G60" s="23"/>
      <c r="H60" s="22"/>
      <c r="I60" s="22"/>
      <c r="J60" s="62" t="str">
        <f t="shared" si="4"/>
        <v/>
      </c>
      <c r="K60" s="63"/>
      <c r="L60" s="63"/>
      <c r="M60" s="64" t="str">
        <f t="shared" si="5"/>
        <v/>
      </c>
      <c r="N60" s="22"/>
      <c r="O60" s="22"/>
      <c r="P60" s="62" t="str">
        <f t="shared" si="6"/>
        <v/>
      </c>
      <c r="Q60" s="63"/>
      <c r="R60" s="63"/>
      <c r="S60" s="64" t="str">
        <f t="shared" si="7"/>
        <v/>
      </c>
      <c r="T60" s="65"/>
      <c r="U60" s="66"/>
      <c r="V60" s="18" t="str">
        <f>IF($C60="","",VLOOKUP($C60,#REF!,4,FALSE))</f>
        <v/>
      </c>
      <c r="W60" s="69" t="str">
        <f>IF($E60="","",VLOOKUP($E60,#REF!,4,FALSE))</f>
        <v/>
      </c>
      <c r="Y60"/>
      <c r="Z60"/>
      <c r="AA60"/>
      <c r="AB60"/>
      <c r="AC60"/>
    </row>
    <row r="61" spans="1:31" s="67" customFormat="1" ht="18" customHeight="1">
      <c r="A61" s="60"/>
      <c r="B61" s="61">
        <v>48</v>
      </c>
      <c r="C61" s="21"/>
      <c r="D61" s="275" t="s">
        <v>76</v>
      </c>
      <c r="E61" s="21"/>
      <c r="F61" s="282" t="s">
        <v>76</v>
      </c>
      <c r="G61" s="23"/>
      <c r="H61" s="22"/>
      <c r="I61" s="22"/>
      <c r="J61" s="62" t="str">
        <f t="shared" si="4"/>
        <v/>
      </c>
      <c r="K61" s="63"/>
      <c r="L61" s="63"/>
      <c r="M61" s="64" t="str">
        <f t="shared" si="5"/>
        <v/>
      </c>
      <c r="N61" s="22"/>
      <c r="O61" s="22"/>
      <c r="P61" s="62" t="str">
        <f t="shared" si="6"/>
        <v/>
      </c>
      <c r="Q61" s="63"/>
      <c r="R61" s="63"/>
      <c r="S61" s="64" t="str">
        <f t="shared" si="7"/>
        <v/>
      </c>
      <c r="T61" s="65"/>
      <c r="U61" s="66"/>
      <c r="V61" s="18" t="str">
        <f>IF($C61="","",VLOOKUP($C61,#REF!,4,FALSE))</f>
        <v/>
      </c>
      <c r="W61" s="69" t="str">
        <f>IF($E61="","",VLOOKUP($E61,#REF!,4,FALSE))</f>
        <v/>
      </c>
      <c r="Y61"/>
      <c r="Z61"/>
      <c r="AA61"/>
      <c r="AB61"/>
      <c r="AC61"/>
    </row>
    <row r="62" spans="1:31" s="67" customFormat="1" ht="18" customHeight="1">
      <c r="A62" s="60"/>
      <c r="B62" s="61">
        <v>49</v>
      </c>
      <c r="C62" s="21"/>
      <c r="D62" s="275" t="s">
        <v>76</v>
      </c>
      <c r="E62" s="21"/>
      <c r="F62" s="282" t="s">
        <v>76</v>
      </c>
      <c r="G62" s="23"/>
      <c r="H62" s="22"/>
      <c r="I62" s="22"/>
      <c r="J62" s="62" t="str">
        <f t="shared" si="4"/>
        <v/>
      </c>
      <c r="K62" s="63"/>
      <c r="L62" s="63"/>
      <c r="M62" s="64" t="str">
        <f t="shared" si="5"/>
        <v/>
      </c>
      <c r="N62" s="22"/>
      <c r="O62" s="22"/>
      <c r="P62" s="62" t="str">
        <f t="shared" si="6"/>
        <v/>
      </c>
      <c r="Q62" s="63"/>
      <c r="R62" s="63"/>
      <c r="S62" s="64" t="str">
        <f t="shared" si="7"/>
        <v/>
      </c>
      <c r="T62" s="65"/>
      <c r="U62" s="66"/>
      <c r="V62" s="18" t="str">
        <f>IF($C62="","",VLOOKUP($C62,#REF!,4,FALSE))</f>
        <v/>
      </c>
      <c r="W62" s="69" t="str">
        <f>IF($E62="","",VLOOKUP($E62,#REF!,4,FALSE))</f>
        <v/>
      </c>
      <c r="Y62"/>
      <c r="Z62"/>
      <c r="AA62"/>
      <c r="AB62"/>
      <c r="AC62"/>
    </row>
    <row r="63" spans="1:31" s="67" customFormat="1" ht="18" customHeight="1">
      <c r="A63" s="60"/>
      <c r="B63" s="61">
        <v>50</v>
      </c>
      <c r="C63" s="21"/>
      <c r="D63" s="275" t="s">
        <v>76</v>
      </c>
      <c r="E63" s="21"/>
      <c r="F63" s="282" t="s">
        <v>76</v>
      </c>
      <c r="G63" s="23"/>
      <c r="H63" s="22"/>
      <c r="I63" s="22"/>
      <c r="J63" s="62" t="str">
        <f t="shared" si="4"/>
        <v/>
      </c>
      <c r="K63" s="63"/>
      <c r="L63" s="63"/>
      <c r="M63" s="64" t="str">
        <f t="shared" si="5"/>
        <v/>
      </c>
      <c r="N63" s="22"/>
      <c r="O63" s="22"/>
      <c r="P63" s="62" t="str">
        <f t="shared" si="6"/>
        <v/>
      </c>
      <c r="Q63" s="63"/>
      <c r="R63" s="63"/>
      <c r="S63" s="64" t="str">
        <f t="shared" si="7"/>
        <v/>
      </c>
      <c r="T63" s="65"/>
      <c r="U63" s="66"/>
      <c r="V63" s="18" t="str">
        <f>IF($C63="","",VLOOKUP($C63,#REF!,4,FALSE))</f>
        <v/>
      </c>
      <c r="W63" s="69" t="str">
        <f>IF($E63="","",VLOOKUP($E63,#REF!,4,FALSE))</f>
        <v/>
      </c>
      <c r="Y63"/>
      <c r="Z63"/>
      <c r="AA63"/>
      <c r="AB63"/>
      <c r="AC63"/>
    </row>
    <row r="64" spans="1:31" s="67" customFormat="1" ht="18" customHeight="1">
      <c r="A64" s="60"/>
      <c r="B64" s="61">
        <v>51</v>
      </c>
      <c r="C64" s="21"/>
      <c r="D64" s="275" t="s">
        <v>76</v>
      </c>
      <c r="E64" s="21"/>
      <c r="F64" s="282" t="s">
        <v>76</v>
      </c>
      <c r="G64" s="23"/>
      <c r="H64" s="22"/>
      <c r="I64" s="22"/>
      <c r="J64" s="62" t="str">
        <f t="shared" si="4"/>
        <v/>
      </c>
      <c r="K64" s="63"/>
      <c r="L64" s="63"/>
      <c r="M64" s="64" t="str">
        <f t="shared" si="5"/>
        <v/>
      </c>
      <c r="N64" s="22"/>
      <c r="O64" s="22"/>
      <c r="P64" s="62" t="str">
        <f t="shared" si="6"/>
        <v/>
      </c>
      <c r="Q64" s="63"/>
      <c r="R64" s="63"/>
      <c r="S64" s="64" t="str">
        <f t="shared" si="7"/>
        <v/>
      </c>
      <c r="T64" s="65"/>
      <c r="U64" s="66"/>
      <c r="V64" s="18" t="str">
        <f>IF($C64="","",VLOOKUP($C64,#REF!,4,FALSE))</f>
        <v/>
      </c>
      <c r="W64" s="69" t="str">
        <f>IF($E64="","",VLOOKUP($E64,#REF!,4,FALSE))</f>
        <v/>
      </c>
      <c r="Y64"/>
      <c r="Z64"/>
      <c r="AA64"/>
      <c r="AB64"/>
      <c r="AC64"/>
    </row>
    <row r="65" spans="1:29" s="67" customFormat="1" ht="18" customHeight="1">
      <c r="A65" s="60"/>
      <c r="B65" s="61">
        <v>52</v>
      </c>
      <c r="C65" s="21"/>
      <c r="D65" s="275" t="s">
        <v>76</v>
      </c>
      <c r="E65" s="21"/>
      <c r="F65" s="282" t="s">
        <v>76</v>
      </c>
      <c r="G65" s="23"/>
      <c r="H65" s="22"/>
      <c r="I65" s="22"/>
      <c r="J65" s="62" t="str">
        <f t="shared" si="4"/>
        <v/>
      </c>
      <c r="K65" s="63"/>
      <c r="L65" s="63"/>
      <c r="M65" s="64" t="str">
        <f t="shared" si="5"/>
        <v/>
      </c>
      <c r="N65" s="22"/>
      <c r="O65" s="22"/>
      <c r="P65" s="62" t="str">
        <f t="shared" si="6"/>
        <v/>
      </c>
      <c r="Q65" s="63"/>
      <c r="R65" s="63"/>
      <c r="S65" s="64" t="str">
        <f t="shared" si="7"/>
        <v/>
      </c>
      <c r="T65" s="65"/>
      <c r="U65" s="66"/>
      <c r="V65" s="18" t="str">
        <f>IF($C65="","",VLOOKUP($C65,#REF!,4,FALSE))</f>
        <v/>
      </c>
      <c r="W65" s="69" t="str">
        <f>IF($E65="","",VLOOKUP($E65,#REF!,4,FALSE))</f>
        <v/>
      </c>
      <c r="Y65"/>
      <c r="Z65"/>
      <c r="AA65"/>
      <c r="AB65"/>
      <c r="AC65"/>
    </row>
    <row r="66" spans="1:29" s="67" customFormat="1" ht="18" customHeight="1">
      <c r="A66" s="60"/>
      <c r="B66" s="61">
        <v>53</v>
      </c>
      <c r="C66" s="21"/>
      <c r="D66" s="275" t="s">
        <v>76</v>
      </c>
      <c r="E66" s="21"/>
      <c r="F66" s="282" t="s">
        <v>76</v>
      </c>
      <c r="G66" s="23"/>
      <c r="H66" s="22"/>
      <c r="I66" s="22"/>
      <c r="J66" s="62" t="str">
        <f t="shared" si="4"/>
        <v/>
      </c>
      <c r="K66" s="63"/>
      <c r="L66" s="63"/>
      <c r="M66" s="64" t="str">
        <f t="shared" si="5"/>
        <v/>
      </c>
      <c r="N66" s="22"/>
      <c r="O66" s="22"/>
      <c r="P66" s="62" t="str">
        <f t="shared" si="6"/>
        <v/>
      </c>
      <c r="Q66" s="63"/>
      <c r="R66" s="63"/>
      <c r="S66" s="64" t="str">
        <f t="shared" si="7"/>
        <v/>
      </c>
      <c r="T66" s="65"/>
      <c r="U66" s="66"/>
      <c r="V66" s="18" t="str">
        <f>IF($C66="","",VLOOKUP($C66,#REF!,4,FALSE))</f>
        <v/>
      </c>
      <c r="W66" s="69" t="str">
        <f>IF($E66="","",VLOOKUP($E66,#REF!,4,FALSE))</f>
        <v/>
      </c>
      <c r="Y66"/>
      <c r="Z66"/>
      <c r="AA66"/>
      <c r="AB66"/>
      <c r="AC66"/>
    </row>
    <row r="67" spans="1:29" s="67" customFormat="1" ht="18" customHeight="1">
      <c r="A67" s="60"/>
      <c r="B67" s="61">
        <v>54</v>
      </c>
      <c r="C67" s="21"/>
      <c r="D67" s="275" t="s">
        <v>76</v>
      </c>
      <c r="E67" s="21"/>
      <c r="F67" s="282" t="s">
        <v>76</v>
      </c>
      <c r="G67" s="23"/>
      <c r="H67" s="22"/>
      <c r="I67" s="22"/>
      <c r="J67" s="62" t="str">
        <f t="shared" si="4"/>
        <v/>
      </c>
      <c r="K67" s="63"/>
      <c r="L67" s="63"/>
      <c r="M67" s="64" t="str">
        <f t="shared" si="5"/>
        <v/>
      </c>
      <c r="N67" s="22"/>
      <c r="O67" s="22"/>
      <c r="P67" s="62" t="str">
        <f t="shared" si="6"/>
        <v/>
      </c>
      <c r="Q67" s="63"/>
      <c r="R67" s="63"/>
      <c r="S67" s="64" t="str">
        <f t="shared" si="7"/>
        <v/>
      </c>
      <c r="T67" s="65"/>
      <c r="U67" s="66"/>
      <c r="V67" s="18" t="str">
        <f>IF($C67="","",VLOOKUP($C67,#REF!,4,FALSE))</f>
        <v/>
      </c>
      <c r="W67" s="69" t="str">
        <f>IF($E67="","",VLOOKUP($E67,#REF!,4,FALSE))</f>
        <v/>
      </c>
      <c r="Y67"/>
      <c r="Z67"/>
      <c r="AA67"/>
      <c r="AB67"/>
      <c r="AC67"/>
    </row>
    <row r="68" spans="1:29" s="67" customFormat="1" ht="18" customHeight="1">
      <c r="A68" s="60"/>
      <c r="B68" s="61">
        <v>55</v>
      </c>
      <c r="C68" s="21"/>
      <c r="D68" s="275" t="s">
        <v>76</v>
      </c>
      <c r="E68" s="21"/>
      <c r="F68" s="282" t="s">
        <v>76</v>
      </c>
      <c r="G68" s="23"/>
      <c r="H68" s="22"/>
      <c r="I68" s="22"/>
      <c r="J68" s="62" t="str">
        <f t="shared" si="4"/>
        <v/>
      </c>
      <c r="K68" s="63"/>
      <c r="L68" s="63"/>
      <c r="M68" s="64" t="str">
        <f t="shared" si="5"/>
        <v/>
      </c>
      <c r="N68" s="22"/>
      <c r="O68" s="22"/>
      <c r="P68" s="62" t="str">
        <f t="shared" si="6"/>
        <v/>
      </c>
      <c r="Q68" s="63"/>
      <c r="R68" s="63"/>
      <c r="S68" s="64" t="str">
        <f t="shared" si="7"/>
        <v/>
      </c>
      <c r="T68" s="65"/>
      <c r="U68" s="66"/>
      <c r="V68" s="18" t="str">
        <f>IF($C68="","",VLOOKUP($C68,#REF!,4,FALSE))</f>
        <v/>
      </c>
      <c r="W68" s="69" t="str">
        <f>IF($E68="","",VLOOKUP($E68,#REF!,4,FALSE))</f>
        <v/>
      </c>
      <c r="Y68"/>
      <c r="Z68"/>
      <c r="AA68"/>
      <c r="AB68"/>
      <c r="AC68"/>
    </row>
    <row r="69" spans="1:29" s="67" customFormat="1" ht="18" customHeight="1">
      <c r="A69" s="60"/>
      <c r="B69" s="61">
        <v>56</v>
      </c>
      <c r="C69" s="21"/>
      <c r="D69" s="275" t="s">
        <v>76</v>
      </c>
      <c r="E69" s="21"/>
      <c r="F69" s="282" t="s">
        <v>76</v>
      </c>
      <c r="G69" s="23"/>
      <c r="H69" s="22"/>
      <c r="I69" s="22"/>
      <c r="J69" s="62" t="str">
        <f t="shared" si="4"/>
        <v/>
      </c>
      <c r="K69" s="63"/>
      <c r="L69" s="63"/>
      <c r="M69" s="64" t="str">
        <f t="shared" si="5"/>
        <v/>
      </c>
      <c r="N69" s="22"/>
      <c r="O69" s="22"/>
      <c r="P69" s="62" t="str">
        <f t="shared" si="6"/>
        <v/>
      </c>
      <c r="Q69" s="63"/>
      <c r="R69" s="63"/>
      <c r="S69" s="64" t="str">
        <f t="shared" si="7"/>
        <v/>
      </c>
      <c r="T69" s="65"/>
      <c r="U69" s="66"/>
      <c r="V69" s="18" t="str">
        <f>IF($C69="","",VLOOKUP($C69,#REF!,4,FALSE))</f>
        <v/>
      </c>
      <c r="W69" s="69" t="str">
        <f>IF($E69="","",VLOOKUP($E69,#REF!,4,FALSE))</f>
        <v/>
      </c>
      <c r="Y69"/>
      <c r="Z69"/>
      <c r="AA69"/>
      <c r="AB69"/>
      <c r="AC69"/>
    </row>
    <row r="70" spans="1:29" s="67" customFormat="1" ht="18" customHeight="1">
      <c r="A70" s="60"/>
      <c r="B70" s="61">
        <v>57</v>
      </c>
      <c r="C70" s="21"/>
      <c r="D70" s="275" t="s">
        <v>76</v>
      </c>
      <c r="E70" s="21"/>
      <c r="F70" s="282" t="s">
        <v>76</v>
      </c>
      <c r="G70" s="23"/>
      <c r="H70" s="22"/>
      <c r="I70" s="22"/>
      <c r="J70" s="62" t="str">
        <f t="shared" si="4"/>
        <v/>
      </c>
      <c r="K70" s="63"/>
      <c r="L70" s="63"/>
      <c r="M70" s="64" t="str">
        <f t="shared" si="5"/>
        <v/>
      </c>
      <c r="N70" s="22"/>
      <c r="O70" s="22"/>
      <c r="P70" s="62" t="str">
        <f t="shared" si="6"/>
        <v/>
      </c>
      <c r="Q70" s="63"/>
      <c r="R70" s="63"/>
      <c r="S70" s="64" t="str">
        <f t="shared" si="7"/>
        <v/>
      </c>
      <c r="T70" s="65"/>
      <c r="U70" s="66"/>
      <c r="V70" s="18" t="str">
        <f>IF($C70="","",VLOOKUP($C70,#REF!,4,FALSE))</f>
        <v/>
      </c>
      <c r="W70" s="69" t="str">
        <f>IF($E70="","",VLOOKUP($E70,#REF!,4,FALSE))</f>
        <v/>
      </c>
      <c r="Y70"/>
      <c r="Z70"/>
      <c r="AA70"/>
      <c r="AB70"/>
      <c r="AC70"/>
    </row>
    <row r="71" spans="1:29" s="67" customFormat="1" ht="18" customHeight="1">
      <c r="A71" s="60"/>
      <c r="B71" s="61">
        <v>58</v>
      </c>
      <c r="C71" s="21"/>
      <c r="D71" s="275" t="s">
        <v>76</v>
      </c>
      <c r="E71" s="21"/>
      <c r="F71" s="282" t="s">
        <v>76</v>
      </c>
      <c r="G71" s="23"/>
      <c r="H71" s="22"/>
      <c r="I71" s="22"/>
      <c r="J71" s="62" t="str">
        <f t="shared" si="4"/>
        <v/>
      </c>
      <c r="K71" s="63"/>
      <c r="L71" s="63"/>
      <c r="M71" s="64" t="str">
        <f t="shared" si="5"/>
        <v/>
      </c>
      <c r="N71" s="22"/>
      <c r="O71" s="22"/>
      <c r="P71" s="62" t="str">
        <f t="shared" si="6"/>
        <v/>
      </c>
      <c r="Q71" s="63"/>
      <c r="R71" s="63"/>
      <c r="S71" s="64" t="str">
        <f t="shared" si="7"/>
        <v/>
      </c>
      <c r="T71" s="65"/>
      <c r="U71" s="66"/>
      <c r="V71" s="18" t="str">
        <f>IF($C71="","",VLOOKUP($C71,#REF!,4,FALSE))</f>
        <v/>
      </c>
      <c r="W71" s="69" t="str">
        <f>IF($E71="","",VLOOKUP($E71,#REF!,4,FALSE))</f>
        <v/>
      </c>
      <c r="Y71"/>
      <c r="Z71"/>
      <c r="AA71"/>
      <c r="AB71"/>
      <c r="AC71"/>
    </row>
    <row r="72" spans="1:29" s="67" customFormat="1" ht="18" customHeight="1">
      <c r="A72" s="60"/>
      <c r="B72" s="61">
        <v>59</v>
      </c>
      <c r="C72" s="21"/>
      <c r="D72" s="275" t="s">
        <v>76</v>
      </c>
      <c r="E72" s="21"/>
      <c r="F72" s="282" t="s">
        <v>76</v>
      </c>
      <c r="G72" s="23"/>
      <c r="H72" s="22"/>
      <c r="I72" s="22"/>
      <c r="J72" s="62" t="str">
        <f t="shared" si="4"/>
        <v/>
      </c>
      <c r="K72" s="63"/>
      <c r="L72" s="63"/>
      <c r="M72" s="64" t="str">
        <f t="shared" si="5"/>
        <v/>
      </c>
      <c r="N72" s="22"/>
      <c r="O72" s="22"/>
      <c r="P72" s="62" t="str">
        <f t="shared" si="6"/>
        <v/>
      </c>
      <c r="Q72" s="63"/>
      <c r="R72" s="63"/>
      <c r="S72" s="64" t="str">
        <f t="shared" si="7"/>
        <v/>
      </c>
      <c r="T72" s="65"/>
      <c r="U72" s="66"/>
      <c r="V72" s="18" t="str">
        <f>IF($C72="","",VLOOKUP($C72,#REF!,4,FALSE))</f>
        <v/>
      </c>
      <c r="W72" s="69" t="str">
        <f>IF($E72="","",VLOOKUP($E72,#REF!,4,FALSE))</f>
        <v/>
      </c>
      <c r="Y72"/>
      <c r="Z72"/>
      <c r="AA72"/>
      <c r="AB72"/>
      <c r="AC72"/>
    </row>
    <row r="73" spans="1:29" s="67" customFormat="1" ht="18" customHeight="1">
      <c r="A73" s="60"/>
      <c r="B73" s="61">
        <v>60</v>
      </c>
      <c r="C73" s="21"/>
      <c r="D73" s="275" t="s">
        <v>76</v>
      </c>
      <c r="E73" s="21"/>
      <c r="F73" s="282" t="s">
        <v>76</v>
      </c>
      <c r="G73" s="23"/>
      <c r="H73" s="22"/>
      <c r="I73" s="22"/>
      <c r="J73" s="62" t="str">
        <f t="shared" si="4"/>
        <v/>
      </c>
      <c r="K73" s="63"/>
      <c r="L73" s="63"/>
      <c r="M73" s="64" t="str">
        <f t="shared" si="5"/>
        <v/>
      </c>
      <c r="N73" s="22"/>
      <c r="O73" s="22"/>
      <c r="P73" s="62" t="str">
        <f t="shared" si="6"/>
        <v/>
      </c>
      <c r="Q73" s="63"/>
      <c r="R73" s="63"/>
      <c r="S73" s="64" t="str">
        <f t="shared" si="7"/>
        <v/>
      </c>
      <c r="T73" s="65"/>
      <c r="U73" s="66"/>
      <c r="V73" s="18" t="str">
        <f>IF($C73="","",VLOOKUP($C73,#REF!,4,FALSE))</f>
        <v/>
      </c>
      <c r="W73" s="69" t="str">
        <f>IF($E73="","",VLOOKUP($E73,#REF!,4,FALSE))</f>
        <v/>
      </c>
      <c r="Y73"/>
      <c r="Z73"/>
      <c r="AA73"/>
      <c r="AB73"/>
      <c r="AC73"/>
    </row>
    <row r="126" spans="5:5" ht="18" customHeight="1">
      <c r="E126" s="20" ph="1"/>
    </row>
    <row r="137" spans="5:5" ht="18" customHeight="1">
      <c r="E137" s="20" ph="1"/>
    </row>
    <row r="153" spans="5:5" ht="18" customHeight="1">
      <c r="E153" s="20" ph="1"/>
    </row>
    <row r="154" spans="5:5" ht="18" customHeight="1">
      <c r="E154" s="20" ph="1"/>
    </row>
    <row r="173" spans="5:5" ht="18" customHeight="1">
      <c r="E173" s="20" ph="1"/>
    </row>
    <row r="181" spans="5:5" ht="18" customHeight="1">
      <c r="E181" s="20" ph="1"/>
    </row>
    <row r="182" spans="5:5" ht="18" customHeight="1">
      <c r="E182" s="20" ph="1"/>
    </row>
    <row r="196" spans="5:5" ht="18" customHeight="1">
      <c r="E196" s="20" ph="1"/>
    </row>
    <row r="198" spans="5:5" ht="18" customHeight="1">
      <c r="E198" s="20" ph="1"/>
    </row>
    <row r="199" spans="5:5" ht="18" customHeight="1">
      <c r="E199" s="20" ph="1"/>
    </row>
    <row r="200" spans="5:5" ht="18" customHeight="1">
      <c r="E200" s="20" ph="1"/>
    </row>
    <row r="201" spans="5:5" ht="18" customHeight="1">
      <c r="E201" s="20" ph="1"/>
    </row>
  </sheetData>
  <autoFilter ref="A13:W13" xr:uid="{00000000-0001-0000-1400-000000000000}">
    <sortState xmlns:xlrd2="http://schemas.microsoft.com/office/spreadsheetml/2017/richdata2" ref="A14:W73">
      <sortCondition ref="B13"/>
    </sortState>
  </autoFilter>
  <sortState xmlns:xlrd2="http://schemas.microsoft.com/office/spreadsheetml/2017/richdata2" ref="A14:AE26">
    <sortCondition ref="B14:B26"/>
  </sortState>
  <phoneticPr fontId="10"/>
  <conditionalFormatting sqref="V14:V73">
    <cfRule type="cellIs" dxfId="7" priority="4" stopIfTrue="1" operator="notBetween">
      <formula>"A"</formula>
      <formula>"Ｂ"</formula>
    </cfRule>
  </conditionalFormatting>
  <conditionalFormatting sqref="W14:W73">
    <cfRule type="cellIs" dxfId="6" priority="3" stopIfTrue="1" operator="between">
      <formula>"-"</formula>
      <formula>"申請中"</formula>
    </cfRule>
  </conditionalFormatting>
  <conditionalFormatting sqref="Y60:Z73 Y14:AE59">
    <cfRule type="expression" dxfId="5" priority="2">
      <formula>Y14&lt;&gt;C14</formula>
    </cfRule>
  </conditionalFormatting>
  <conditionalFormatting sqref="AB60:AC73">
    <cfRule type="expression" dxfId="4" priority="1">
      <formula>AB60&lt;&gt;E60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GetJEFInfo">
                <anchor moveWithCells="1" sizeWithCells="1">
                  <from>
                    <xdr:col>24</xdr:col>
                    <xdr:colOff>381000</xdr:colOff>
                    <xdr:row>3</xdr:row>
                    <xdr:rowOff>213360</xdr:rowOff>
                  </from>
                  <to>
                    <xdr:col>26</xdr:col>
                    <xdr:colOff>601980</xdr:colOff>
                    <xdr:row>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0">
    <tabColor rgb="FFFFC000"/>
  </sheetPr>
  <dimension ref="A1:AD201"/>
  <sheetViews>
    <sheetView workbookViewId="0">
      <selection activeCell="G23" sqref="G23"/>
    </sheetView>
  </sheetViews>
  <sheetFormatPr defaultColWidth="9.6640625" defaultRowHeight="18" customHeight="1"/>
  <cols>
    <col min="1" max="2" width="6.6640625" style="20" customWidth="1"/>
    <col min="3" max="3" width="17.6640625" style="20" customWidth="1"/>
    <col min="4" max="4" width="7.88671875" style="20" customWidth="1"/>
    <col min="5" max="5" width="20.6640625" style="20" customWidth="1"/>
    <col min="6" max="6" width="7.88671875" style="20" customWidth="1"/>
    <col min="7" max="7" width="30.6640625" style="20" customWidth="1"/>
    <col min="8" max="20" width="7.6640625" style="20" customWidth="1"/>
    <col min="21" max="24" width="9.6640625" style="20"/>
    <col min="29" max="16384" width="9.6640625" style="20"/>
  </cols>
  <sheetData>
    <row r="1" spans="1:30" s="25" customFormat="1" ht="18" customHeight="1">
      <c r="A1" s="24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Y1"/>
      <c r="Z1"/>
      <c r="AA1"/>
      <c r="AB1"/>
    </row>
    <row r="2" spans="1:30" s="25" customFormat="1" ht="18" customHeight="1">
      <c r="B2" s="26" t="s">
        <v>1</v>
      </c>
      <c r="C2" s="27"/>
      <c r="E2" s="26" t="s">
        <v>2</v>
      </c>
      <c r="F2" s="30"/>
      <c r="G2" s="175">
        <v>46277</v>
      </c>
      <c r="L2" s="28"/>
      <c r="N2" s="26" t="s">
        <v>3</v>
      </c>
      <c r="O2" s="29"/>
      <c r="P2" s="30"/>
      <c r="Q2" s="30"/>
      <c r="R2" s="30"/>
      <c r="S2" s="30"/>
      <c r="T2" s="30"/>
      <c r="Y2"/>
      <c r="Z2"/>
      <c r="AA2"/>
      <c r="AB2"/>
    </row>
    <row r="3" spans="1:30" s="25" customFormat="1" ht="18" customHeight="1">
      <c r="A3" s="31"/>
      <c r="B3" s="26" t="s">
        <v>4</v>
      </c>
      <c r="C3" s="71" t="s">
        <v>481</v>
      </c>
      <c r="D3" s="139"/>
      <c r="E3" s="139"/>
      <c r="F3" s="139"/>
      <c r="G3" s="139"/>
      <c r="Q3" s="26" t="s">
        <v>5</v>
      </c>
      <c r="R3" s="29"/>
      <c r="S3" s="30"/>
      <c r="T3" s="30"/>
      <c r="U3" s="32"/>
      <c r="Y3"/>
      <c r="Z3"/>
      <c r="AA3"/>
      <c r="AB3"/>
    </row>
    <row r="4" spans="1:30" s="25" customFormat="1" ht="18" customHeight="1">
      <c r="B4" s="26" t="s">
        <v>6</v>
      </c>
      <c r="C4" s="33">
        <v>20</v>
      </c>
      <c r="D4" s="25" t="s">
        <v>7</v>
      </c>
      <c r="E4" s="26" t="s">
        <v>8</v>
      </c>
      <c r="F4" s="276" t="s">
        <v>489</v>
      </c>
      <c r="G4" s="30"/>
      <c r="H4" s="30"/>
      <c r="J4" s="26" t="s">
        <v>9</v>
      </c>
      <c r="K4" s="158" t="s">
        <v>490</v>
      </c>
      <c r="N4" s="26" t="s">
        <v>10</v>
      </c>
      <c r="O4" s="35"/>
      <c r="Y4"/>
      <c r="Z4"/>
      <c r="AA4"/>
      <c r="AB4"/>
    </row>
    <row r="5" spans="1:30" s="25" customFormat="1" ht="18" customHeight="1">
      <c r="C5" s="26" t="s">
        <v>11</v>
      </c>
      <c r="D5" s="27">
        <v>8</v>
      </c>
      <c r="E5" s="26" t="s">
        <v>12</v>
      </c>
      <c r="F5" s="158" t="s">
        <v>482</v>
      </c>
      <c r="G5" s="26" t="s">
        <v>13</v>
      </c>
      <c r="H5" s="70"/>
      <c r="I5" s="36"/>
      <c r="J5" s="37" t="s">
        <v>14</v>
      </c>
      <c r="K5" s="38"/>
      <c r="L5" s="26" t="s">
        <v>15</v>
      </c>
      <c r="M5" s="39"/>
      <c r="O5" s="26" t="s">
        <v>16</v>
      </c>
      <c r="P5" s="39"/>
      <c r="R5" s="26" t="s">
        <v>17</v>
      </c>
      <c r="S5" s="39"/>
      <c r="Y5"/>
      <c r="Z5"/>
      <c r="AA5"/>
      <c r="AB5"/>
    </row>
    <row r="6" spans="1:30" s="25" customFormat="1" ht="35.1" customHeight="1">
      <c r="C6" s="40" t="s">
        <v>18</v>
      </c>
      <c r="D6" s="269" t="s">
        <v>40</v>
      </c>
      <c r="E6" s="26" t="s">
        <v>19</v>
      </c>
      <c r="F6" s="277" t="s">
        <v>20</v>
      </c>
      <c r="I6" s="26" t="s">
        <v>21</v>
      </c>
      <c r="J6" s="37" t="s">
        <v>14</v>
      </c>
      <c r="K6" s="41"/>
      <c r="L6" s="26" t="s">
        <v>22</v>
      </c>
      <c r="M6" s="41"/>
      <c r="O6" s="26" t="s">
        <v>16</v>
      </c>
      <c r="P6" s="41"/>
      <c r="R6" s="26" t="s">
        <v>17</v>
      </c>
      <c r="S6" s="41"/>
      <c r="Y6"/>
      <c r="Z6"/>
      <c r="AA6"/>
      <c r="AB6"/>
    </row>
    <row r="7" spans="1:30" s="25" customFormat="1" ht="15" customHeight="1">
      <c r="A7" s="26" t="s">
        <v>69</v>
      </c>
      <c r="B7" s="74" t="s">
        <v>0</v>
      </c>
      <c r="C7" s="77"/>
      <c r="D7" s="26" t="s">
        <v>70</v>
      </c>
      <c r="E7" s="75"/>
      <c r="F7" s="32"/>
      <c r="I7" s="26"/>
      <c r="J7" s="37"/>
      <c r="K7" s="32"/>
      <c r="L7" s="26"/>
      <c r="M7" s="32"/>
      <c r="N7" s="26"/>
      <c r="O7" s="42"/>
      <c r="Q7" s="26"/>
      <c r="R7" s="43"/>
      <c r="Y7"/>
      <c r="Z7"/>
      <c r="AA7"/>
      <c r="AB7"/>
    </row>
    <row r="8" spans="1:30" s="25" customFormat="1" ht="15" customHeight="1">
      <c r="A8" s="26" t="s">
        <v>71</v>
      </c>
      <c r="B8" s="74" t="s">
        <v>0</v>
      </c>
      <c r="C8" s="73"/>
      <c r="D8" s="26" t="s">
        <v>70</v>
      </c>
      <c r="E8" s="76"/>
      <c r="F8" s="32"/>
      <c r="I8" s="26"/>
      <c r="J8" s="37"/>
      <c r="K8" s="32"/>
      <c r="L8" s="26"/>
      <c r="M8" s="32"/>
      <c r="N8" s="26"/>
      <c r="O8" s="42"/>
      <c r="Q8" s="26"/>
      <c r="R8" s="43"/>
      <c r="S8" s="42"/>
      <c r="T8" s="42"/>
      <c r="Y8"/>
      <c r="Z8"/>
      <c r="AA8"/>
      <c r="AB8"/>
    </row>
    <row r="9" spans="1:30" s="25" customFormat="1" ht="15" customHeight="1">
      <c r="A9" s="26" t="s">
        <v>72</v>
      </c>
      <c r="B9" s="74" t="s">
        <v>0</v>
      </c>
      <c r="C9" s="73"/>
      <c r="D9" s="26" t="s">
        <v>70</v>
      </c>
      <c r="E9" s="76"/>
      <c r="F9" s="32"/>
      <c r="I9" s="26"/>
      <c r="J9" s="37"/>
      <c r="K9" s="32"/>
      <c r="L9" s="26"/>
      <c r="M9" s="32"/>
      <c r="N9" s="26"/>
      <c r="O9" s="42"/>
      <c r="Q9" s="26"/>
      <c r="R9" s="43"/>
      <c r="S9" s="42"/>
      <c r="T9" s="42"/>
      <c r="Y9"/>
      <c r="Z9"/>
      <c r="AA9"/>
      <c r="AB9"/>
    </row>
    <row r="10" spans="1:30" s="25" customFormat="1" ht="15" customHeight="1">
      <c r="A10" s="26" t="s">
        <v>73</v>
      </c>
      <c r="B10" s="74" t="s">
        <v>0</v>
      </c>
      <c r="C10" s="73"/>
      <c r="D10" s="26" t="s">
        <v>70</v>
      </c>
      <c r="E10" s="76"/>
      <c r="F10" s="32"/>
      <c r="I10" s="26"/>
      <c r="J10" s="37"/>
      <c r="K10" s="32"/>
      <c r="L10" s="26"/>
      <c r="M10" s="32"/>
      <c r="N10" s="26"/>
      <c r="O10" s="42"/>
      <c r="Q10" s="26"/>
      <c r="R10" s="43"/>
      <c r="S10" s="42"/>
      <c r="T10" s="42"/>
      <c r="Y10"/>
      <c r="Z10"/>
      <c r="AA10"/>
      <c r="AB10"/>
    </row>
    <row r="11" spans="1:30" s="25" customFormat="1" ht="15" customHeight="1">
      <c r="A11" s="26" t="s">
        <v>74</v>
      </c>
      <c r="B11" s="74" t="s">
        <v>0</v>
      </c>
      <c r="C11" s="73"/>
      <c r="D11" s="26" t="s">
        <v>70</v>
      </c>
      <c r="E11" s="76"/>
      <c r="F11" s="32"/>
      <c r="I11" s="26"/>
      <c r="J11" s="37"/>
      <c r="K11" s="32"/>
      <c r="L11" s="26"/>
      <c r="M11" s="32"/>
      <c r="N11" s="26"/>
      <c r="O11" s="42"/>
      <c r="Q11" s="26"/>
      <c r="R11" s="43"/>
      <c r="S11" s="42"/>
      <c r="T11" s="42"/>
      <c r="V11" s="25">
        <f>COUNTA(C14:C73)</f>
        <v>2</v>
      </c>
      <c r="W11" s="25">
        <f>COUNTA(E14:E73)</f>
        <v>2</v>
      </c>
      <c r="Y11"/>
      <c r="Z11"/>
      <c r="AA11"/>
      <c r="AB11"/>
    </row>
    <row r="12" spans="1:30" ht="15" customHeight="1">
      <c r="A12" s="44"/>
      <c r="B12" s="44"/>
      <c r="C12" s="45"/>
      <c r="D12" s="45"/>
      <c r="E12" s="45"/>
      <c r="F12" s="45"/>
      <c r="G12" s="44"/>
      <c r="H12" s="44"/>
      <c r="I12" s="44"/>
      <c r="J12" s="44"/>
      <c r="K12" s="44"/>
      <c r="L12" s="44"/>
      <c r="M12" s="46"/>
      <c r="N12" s="47"/>
      <c r="O12" s="48"/>
      <c r="P12" s="48"/>
      <c r="Q12" s="49" t="s">
        <v>23</v>
      </c>
      <c r="R12" s="48"/>
      <c r="S12" s="50"/>
      <c r="T12" s="51"/>
      <c r="V12" s="15" t="s">
        <v>51</v>
      </c>
      <c r="W12" s="15" t="s">
        <v>52</v>
      </c>
    </row>
    <row r="13" spans="1:30" ht="35.1" customHeight="1">
      <c r="A13" s="52" t="s">
        <v>24</v>
      </c>
      <c r="B13" s="52" t="s">
        <v>25</v>
      </c>
      <c r="C13" s="53" t="s">
        <v>26</v>
      </c>
      <c r="D13" s="270" t="s">
        <v>0</v>
      </c>
      <c r="E13" s="53" t="s">
        <v>27</v>
      </c>
      <c r="F13" s="270" t="s">
        <v>28</v>
      </c>
      <c r="G13" s="53" t="s">
        <v>29</v>
      </c>
      <c r="H13" s="54" t="s">
        <v>30</v>
      </c>
      <c r="I13" s="53" t="s">
        <v>31</v>
      </c>
      <c r="J13" s="54" t="s">
        <v>32</v>
      </c>
      <c r="K13" s="54" t="s">
        <v>33</v>
      </c>
      <c r="L13" s="54" t="s">
        <v>34</v>
      </c>
      <c r="M13" s="53" t="s">
        <v>35</v>
      </c>
      <c r="N13" s="55" t="s">
        <v>30</v>
      </c>
      <c r="O13" s="56" t="s">
        <v>31</v>
      </c>
      <c r="P13" s="55" t="s">
        <v>32</v>
      </c>
      <c r="Q13" s="55" t="s">
        <v>33</v>
      </c>
      <c r="R13" s="57" t="s">
        <v>36</v>
      </c>
      <c r="S13" s="58" t="s">
        <v>37</v>
      </c>
      <c r="T13" s="59" t="s">
        <v>38</v>
      </c>
      <c r="V13" s="15" t="s">
        <v>57</v>
      </c>
      <c r="W13" s="15" t="s">
        <v>58</v>
      </c>
    </row>
    <row r="14" spans="1:30" s="67" customFormat="1" ht="18" customHeight="1">
      <c r="A14" s="60"/>
      <c r="B14" s="61">
        <v>1</v>
      </c>
      <c r="C14" s="21" t="s">
        <v>588</v>
      </c>
      <c r="D14" s="284">
        <v>8082</v>
      </c>
      <c r="E14" s="80" t="s">
        <v>589</v>
      </c>
      <c r="F14" s="282">
        <v>60750</v>
      </c>
      <c r="G14" s="23" t="s">
        <v>590</v>
      </c>
      <c r="H14" s="22"/>
      <c r="I14" s="22"/>
      <c r="J14" s="62" t="str">
        <f>IF(H14="","",H14+I14)</f>
        <v/>
      </c>
      <c r="K14" s="63"/>
      <c r="L14" s="63"/>
      <c r="M14" s="64" t="str">
        <f>IF(L14="","",K14+L14)</f>
        <v/>
      </c>
      <c r="N14" s="22"/>
      <c r="O14" s="22"/>
      <c r="P14" s="62" t="str">
        <f>IF(N14="","",N14+O14)</f>
        <v/>
      </c>
      <c r="Q14" s="63"/>
      <c r="R14" s="63"/>
      <c r="S14" s="64" t="str">
        <f>IF(R14="","",Q14+R14)</f>
        <v/>
      </c>
      <c r="T14" s="65"/>
      <c r="U14" s="66"/>
      <c r="V14" s="18" t="e">
        <f>IF($C14="","",VLOOKUP($C14,#REF!,4,FALSE))</f>
        <v>#REF!</v>
      </c>
      <c r="W14" s="69" t="e">
        <f>IF($E14="","",VLOOKUP($E14,#REF!,4,FALSE))</f>
        <v>#REF!</v>
      </c>
      <c r="Y14" t="s">
        <v>238</v>
      </c>
      <c r="Z14">
        <v>30169</v>
      </c>
      <c r="AA14" t="s">
        <v>151</v>
      </c>
      <c r="AB14" t="s">
        <v>130</v>
      </c>
      <c r="AC14">
        <v>60449</v>
      </c>
      <c r="AD14" s="67" t="s">
        <v>222</v>
      </c>
    </row>
    <row r="15" spans="1:30" s="67" customFormat="1" ht="18" customHeight="1">
      <c r="A15" s="60" t="s">
        <v>635</v>
      </c>
      <c r="B15" s="61">
        <v>2</v>
      </c>
      <c r="C15" s="21" t="s">
        <v>550</v>
      </c>
      <c r="D15" s="275">
        <v>5943</v>
      </c>
      <c r="E15" s="82" t="s">
        <v>551</v>
      </c>
      <c r="F15" s="281">
        <v>59622</v>
      </c>
      <c r="G15" s="23" t="s">
        <v>549</v>
      </c>
      <c r="H15" s="22"/>
      <c r="I15" s="22"/>
      <c r="J15" s="62" t="str">
        <f>IF(H15="","",H15+I15)</f>
        <v/>
      </c>
      <c r="K15" s="63"/>
      <c r="L15" s="63"/>
      <c r="M15" s="64" t="str">
        <f>IF(L15="","",K15+L15)</f>
        <v/>
      </c>
      <c r="N15" s="22"/>
      <c r="O15" s="22"/>
      <c r="P15" s="62" t="str">
        <f>IF(N15="","",N15+O15)</f>
        <v/>
      </c>
      <c r="Q15" s="63"/>
      <c r="R15" s="63"/>
      <c r="S15" s="64" t="str">
        <f>IF(R15="","",Q15+R15)</f>
        <v/>
      </c>
      <c r="T15" s="65"/>
      <c r="U15" s="66"/>
      <c r="V15" s="18" t="e">
        <f>IF($C15="","",VLOOKUP($C15,#REF!,4,FALSE))</f>
        <v>#REF!</v>
      </c>
      <c r="W15" s="69" t="e">
        <f>IF($E15="","",VLOOKUP($E15,#REF!,4,FALSE))</f>
        <v>#REF!</v>
      </c>
      <c r="Y15" t="s">
        <v>275</v>
      </c>
      <c r="Z15">
        <v>29554</v>
      </c>
      <c r="AA15" t="s">
        <v>232</v>
      </c>
      <c r="AB15"/>
      <c r="AC15"/>
    </row>
    <row r="16" spans="1:30" s="67" customFormat="1" ht="18" customHeight="1">
      <c r="A16" s="60"/>
      <c r="B16" s="61">
        <v>3</v>
      </c>
      <c r="C16" s="84"/>
      <c r="D16" s="285"/>
      <c r="E16" s="82"/>
      <c r="F16" s="281"/>
      <c r="G16" s="79"/>
      <c r="H16" s="22"/>
      <c r="I16" s="22"/>
      <c r="J16" s="62" t="str">
        <f t="shared" ref="J16:J45" si="0">IF(H16="","",H16+I16)</f>
        <v/>
      </c>
      <c r="K16" s="63"/>
      <c r="L16" s="63"/>
      <c r="M16" s="64" t="str">
        <f t="shared" ref="M16:M45" si="1">IF(L16="","",K16+L16)</f>
        <v/>
      </c>
      <c r="N16" s="22"/>
      <c r="O16" s="22"/>
      <c r="P16" s="62" t="str">
        <f t="shared" ref="P16:P45" si="2">IF(N16="","",N16+O16)</f>
        <v/>
      </c>
      <c r="Q16" s="63"/>
      <c r="R16" s="63"/>
      <c r="S16" s="64" t="str">
        <f t="shared" ref="S16:S45" si="3">IF(R16="","",Q16+R16)</f>
        <v/>
      </c>
      <c r="T16" s="65"/>
      <c r="U16" s="66"/>
      <c r="V16" s="18" t="str">
        <f>IF($C16="","",VLOOKUP($C16,#REF!,4,FALSE))</f>
        <v/>
      </c>
      <c r="W16" s="69" t="str">
        <f>IF($E16="","",VLOOKUP($E16,#REF!,4,FALSE))</f>
        <v/>
      </c>
      <c r="Y16" t="s">
        <v>274</v>
      </c>
      <c r="Z16">
        <v>33408</v>
      </c>
      <c r="AA16" t="s">
        <v>231</v>
      </c>
      <c r="AB16" t="s">
        <v>107</v>
      </c>
      <c r="AC16">
        <v>55428</v>
      </c>
      <c r="AD16" s="67" t="s">
        <v>227</v>
      </c>
    </row>
    <row r="17" spans="1:30" s="67" customFormat="1" ht="18" customHeight="1">
      <c r="A17" s="60"/>
      <c r="B17" s="61">
        <v>4</v>
      </c>
      <c r="C17" s="166"/>
      <c r="D17" s="286"/>
      <c r="E17" s="82"/>
      <c r="F17" s="281"/>
      <c r="G17" s="94"/>
      <c r="H17" s="22"/>
      <c r="I17" s="22"/>
      <c r="J17" s="62" t="str">
        <f t="shared" si="0"/>
        <v/>
      </c>
      <c r="K17" s="63"/>
      <c r="L17" s="63"/>
      <c r="M17" s="64" t="str">
        <f t="shared" si="1"/>
        <v/>
      </c>
      <c r="N17" s="22"/>
      <c r="O17" s="22"/>
      <c r="P17" s="62" t="str">
        <f t="shared" si="2"/>
        <v/>
      </c>
      <c r="Q17" s="63"/>
      <c r="R17" s="63"/>
      <c r="S17" s="64" t="str">
        <f t="shared" si="3"/>
        <v/>
      </c>
      <c r="T17" s="65"/>
      <c r="U17" s="66"/>
      <c r="V17" s="18" t="str">
        <f>IF($C17="","",VLOOKUP($C17,#REF!,4,FALSE))</f>
        <v/>
      </c>
      <c r="W17" s="69" t="str">
        <f>IF($E17="","",VLOOKUP($E17,#REF!,4,FALSE))</f>
        <v/>
      </c>
      <c r="Y17" t="s">
        <v>238</v>
      </c>
      <c r="Z17">
        <v>30169</v>
      </c>
      <c r="AA17" t="s">
        <v>151</v>
      </c>
      <c r="AB17" t="s">
        <v>146</v>
      </c>
      <c r="AC17">
        <v>61196</v>
      </c>
      <c r="AD17" s="67" t="s">
        <v>234</v>
      </c>
    </row>
    <row r="18" spans="1:30" s="67" customFormat="1" ht="18" customHeight="1">
      <c r="A18" s="60"/>
      <c r="B18" s="61">
        <v>5</v>
      </c>
      <c r="C18" s="81"/>
      <c r="D18" s="274"/>
      <c r="E18" s="82"/>
      <c r="F18" s="281"/>
      <c r="G18" s="83"/>
      <c r="H18" s="22"/>
      <c r="I18" s="22"/>
      <c r="J18" s="62" t="str">
        <f t="shared" si="0"/>
        <v/>
      </c>
      <c r="K18" s="63"/>
      <c r="L18" s="63"/>
      <c r="M18" s="64" t="str">
        <f t="shared" si="1"/>
        <v/>
      </c>
      <c r="N18" s="22"/>
      <c r="O18" s="22"/>
      <c r="P18" s="62" t="str">
        <f t="shared" si="2"/>
        <v/>
      </c>
      <c r="Q18" s="63"/>
      <c r="R18" s="63"/>
      <c r="S18" s="64" t="str">
        <f t="shared" si="3"/>
        <v/>
      </c>
      <c r="T18" s="65"/>
      <c r="U18" s="66"/>
      <c r="V18" s="18" t="str">
        <f>IF($C18="","",VLOOKUP($C18,#REF!,4,FALSE))</f>
        <v/>
      </c>
      <c r="W18" s="69" t="str">
        <f>IF($E18="","",VLOOKUP($E18,#REF!,4,FALSE))</f>
        <v/>
      </c>
      <c r="Y18" t="s">
        <v>273</v>
      </c>
      <c r="Z18">
        <v>30746</v>
      </c>
      <c r="AA18" t="s">
        <v>230</v>
      </c>
      <c r="AB18"/>
      <c r="AC18"/>
    </row>
    <row r="19" spans="1:30" s="67" customFormat="1" ht="18" customHeight="1">
      <c r="A19" s="60"/>
      <c r="B19" s="61">
        <v>6</v>
      </c>
      <c r="C19" s="21"/>
      <c r="D19" s="275"/>
      <c r="E19" s="21"/>
      <c r="F19" s="282"/>
      <c r="G19" s="23"/>
      <c r="H19" s="22"/>
      <c r="I19" s="22"/>
      <c r="J19" s="62" t="str">
        <f t="shared" si="0"/>
        <v/>
      </c>
      <c r="K19" s="63"/>
      <c r="L19" s="63"/>
      <c r="M19" s="64" t="str">
        <f t="shared" si="1"/>
        <v/>
      </c>
      <c r="N19" s="22"/>
      <c r="O19" s="22"/>
      <c r="P19" s="62" t="str">
        <f t="shared" si="2"/>
        <v/>
      </c>
      <c r="Q19" s="63"/>
      <c r="R19" s="63"/>
      <c r="S19" s="64" t="str">
        <f t="shared" si="3"/>
        <v/>
      </c>
      <c r="T19" s="65"/>
      <c r="U19" s="66"/>
      <c r="V19" s="18" t="str">
        <f>IF($C19="","",VLOOKUP($C19,#REF!,4,FALSE))</f>
        <v/>
      </c>
      <c r="W19" s="69" t="str">
        <f>IF($E19="","",VLOOKUP($E19,#REF!,4,FALSE))</f>
        <v/>
      </c>
      <c r="Y19"/>
      <c r="Z19"/>
      <c r="AA19"/>
      <c r="AB19" t="s">
        <v>112</v>
      </c>
      <c r="AC19">
        <v>60987</v>
      </c>
      <c r="AD19" s="67" t="s">
        <v>165</v>
      </c>
    </row>
    <row r="20" spans="1:30" s="67" customFormat="1" ht="18" customHeight="1">
      <c r="A20" s="60"/>
      <c r="B20" s="61">
        <v>7</v>
      </c>
      <c r="C20" s="79"/>
      <c r="D20" s="287"/>
      <c r="E20" s="80"/>
      <c r="F20" s="281"/>
      <c r="G20" s="81"/>
      <c r="H20" s="22"/>
      <c r="I20" s="22"/>
      <c r="J20" s="62" t="str">
        <f t="shared" si="0"/>
        <v/>
      </c>
      <c r="K20" s="63"/>
      <c r="L20" s="63"/>
      <c r="M20" s="64" t="str">
        <f t="shared" si="1"/>
        <v/>
      </c>
      <c r="N20" s="22"/>
      <c r="O20" s="22"/>
      <c r="P20" s="62" t="str">
        <f t="shared" si="2"/>
        <v/>
      </c>
      <c r="Q20" s="63"/>
      <c r="R20" s="63"/>
      <c r="S20" s="64" t="str">
        <f t="shared" si="3"/>
        <v/>
      </c>
      <c r="T20" s="65"/>
      <c r="U20" s="66"/>
      <c r="V20" s="18" t="str">
        <f>IF($C20="","",VLOOKUP($C20,#REF!,4,FALSE))</f>
        <v/>
      </c>
      <c r="W20" s="69" t="str">
        <f>IF($E20="","",VLOOKUP($E20,#REF!,4,FALSE))</f>
        <v/>
      </c>
      <c r="Y20" t="s">
        <v>249</v>
      </c>
      <c r="Z20">
        <v>31920</v>
      </c>
      <c r="AA20" t="s">
        <v>172</v>
      </c>
      <c r="AB20"/>
      <c r="AC20"/>
    </row>
    <row r="21" spans="1:30" s="67" customFormat="1" ht="18" customHeight="1">
      <c r="A21" s="60"/>
      <c r="B21" s="61">
        <v>8</v>
      </c>
      <c r="C21" s="21"/>
      <c r="D21" s="284"/>
      <c r="E21" s="21"/>
      <c r="F21" s="282"/>
      <c r="G21" s="23"/>
      <c r="H21" s="22"/>
      <c r="I21" s="22"/>
      <c r="J21" s="62" t="str">
        <f t="shared" si="0"/>
        <v/>
      </c>
      <c r="K21" s="63"/>
      <c r="L21" s="63"/>
      <c r="M21" s="64" t="str">
        <f t="shared" si="1"/>
        <v/>
      </c>
      <c r="N21" s="22"/>
      <c r="O21" s="22"/>
      <c r="P21" s="62" t="str">
        <f t="shared" si="2"/>
        <v/>
      </c>
      <c r="Q21" s="63"/>
      <c r="R21" s="63"/>
      <c r="S21" s="64" t="str">
        <f t="shared" si="3"/>
        <v/>
      </c>
      <c r="T21" s="65"/>
      <c r="U21" s="66"/>
      <c r="V21" s="18" t="str">
        <f>IF($C21="","",VLOOKUP($C21,#REF!,4,FALSE))</f>
        <v/>
      </c>
      <c r="W21" s="69" t="str">
        <f>IF($E21="","",VLOOKUP($E21,#REF!,4,FALSE))</f>
        <v/>
      </c>
      <c r="Y21" t="s">
        <v>276</v>
      </c>
      <c r="Z21">
        <v>12158</v>
      </c>
      <c r="AA21" t="s">
        <v>233</v>
      </c>
      <c r="AB21"/>
      <c r="AC21"/>
    </row>
    <row r="22" spans="1:30" s="67" customFormat="1" ht="18" customHeight="1">
      <c r="A22" s="60"/>
      <c r="B22" s="61">
        <v>9</v>
      </c>
      <c r="C22" s="79"/>
      <c r="D22" s="288"/>
      <c r="E22" s="90" ph="1"/>
      <c r="F22" s="281"/>
      <c r="G22" s="79"/>
      <c r="H22" s="22"/>
      <c r="I22" s="22"/>
      <c r="J22" s="62" t="str">
        <f t="shared" si="0"/>
        <v/>
      </c>
      <c r="K22" s="63"/>
      <c r="L22" s="63"/>
      <c r="M22" s="64" t="str">
        <f t="shared" si="1"/>
        <v/>
      </c>
      <c r="N22" s="22"/>
      <c r="O22" s="22"/>
      <c r="P22" s="62" t="str">
        <f t="shared" si="2"/>
        <v/>
      </c>
      <c r="Q22" s="63"/>
      <c r="R22" s="63"/>
      <c r="S22" s="64" t="str">
        <f t="shared" si="3"/>
        <v/>
      </c>
      <c r="T22" s="65"/>
      <c r="U22" s="66"/>
      <c r="V22" s="18" t="str">
        <f>IF($C22="","",VLOOKUP($C22,#REF!,4,FALSE))</f>
        <v/>
      </c>
      <c r="W22" s="69" t="str">
        <f>IF($E22="","",VLOOKUP($E22,#REF!,4,FALSE))</f>
        <v/>
      </c>
      <c r="Y22"/>
      <c r="Z22"/>
      <c r="AA22"/>
      <c r="AB22"/>
      <c r="AC22"/>
    </row>
    <row r="23" spans="1:30" s="67" customFormat="1" ht="18" customHeight="1">
      <c r="A23" s="60"/>
      <c r="B23" s="61">
        <v>10</v>
      </c>
      <c r="C23" s="84"/>
      <c r="D23" s="285"/>
      <c r="E23" s="80" ph="1"/>
      <c r="F23" s="281"/>
      <c r="G23" s="85"/>
      <c r="H23" s="22"/>
      <c r="I23" s="22"/>
      <c r="J23" s="62" t="str">
        <f t="shared" si="0"/>
        <v/>
      </c>
      <c r="K23" s="63"/>
      <c r="L23" s="63"/>
      <c r="M23" s="64" t="str">
        <f t="shared" si="1"/>
        <v/>
      </c>
      <c r="N23" s="22"/>
      <c r="O23" s="22"/>
      <c r="P23" s="62" t="str">
        <f t="shared" si="2"/>
        <v/>
      </c>
      <c r="Q23" s="63"/>
      <c r="R23" s="63"/>
      <c r="S23" s="64" t="str">
        <f t="shared" si="3"/>
        <v/>
      </c>
      <c r="T23" s="65"/>
      <c r="U23" s="66"/>
      <c r="V23" s="18" t="str">
        <f>IF($C23="","",VLOOKUP($C23,#REF!,4,FALSE))</f>
        <v/>
      </c>
      <c r="W23" s="69" t="str">
        <f>IF($E23="","",VLOOKUP($E23,#REF!,4,FALSE))</f>
        <v/>
      </c>
      <c r="Y23"/>
      <c r="Z23"/>
      <c r="AA23"/>
      <c r="AB23"/>
      <c r="AC23"/>
    </row>
    <row r="24" spans="1:30" s="67" customFormat="1" ht="18" customHeight="1">
      <c r="A24" s="60"/>
      <c r="B24" s="61">
        <v>11</v>
      </c>
      <c r="C24" s="21"/>
      <c r="D24" s="275"/>
      <c r="E24" s="21"/>
      <c r="F24" s="282"/>
      <c r="G24" s="23"/>
      <c r="H24" s="22"/>
      <c r="I24" s="22"/>
      <c r="J24" s="62" t="str">
        <f t="shared" si="0"/>
        <v/>
      </c>
      <c r="K24" s="63"/>
      <c r="L24" s="63"/>
      <c r="M24" s="64" t="str">
        <f t="shared" si="1"/>
        <v/>
      </c>
      <c r="N24" s="22"/>
      <c r="O24" s="22"/>
      <c r="P24" s="62" t="str">
        <f t="shared" si="2"/>
        <v/>
      </c>
      <c r="Q24" s="63"/>
      <c r="R24" s="63"/>
      <c r="S24" s="64" t="str">
        <f t="shared" si="3"/>
        <v/>
      </c>
      <c r="T24" s="65"/>
      <c r="U24" s="66"/>
      <c r="V24" s="18" t="str">
        <f>IF($C24="","",VLOOKUP($C24,#REF!,4,FALSE))</f>
        <v/>
      </c>
      <c r="W24" s="69" t="str">
        <f>IF($E24="","",VLOOKUP($E24,#REF!,4,FALSE))</f>
        <v/>
      </c>
      <c r="Y24"/>
      <c r="Z24"/>
      <c r="AA24"/>
      <c r="AB24"/>
      <c r="AC24"/>
    </row>
    <row r="25" spans="1:30" s="67" customFormat="1" ht="18" customHeight="1">
      <c r="A25" s="60"/>
      <c r="B25" s="61">
        <v>12</v>
      </c>
      <c r="C25" s="21"/>
      <c r="D25" s="275"/>
      <c r="E25" s="21"/>
      <c r="F25" s="282"/>
      <c r="G25" s="23"/>
      <c r="H25" s="22"/>
      <c r="I25" s="22"/>
      <c r="J25" s="62" t="str">
        <f t="shared" si="0"/>
        <v/>
      </c>
      <c r="K25" s="63"/>
      <c r="L25" s="63"/>
      <c r="M25" s="64" t="str">
        <f t="shared" si="1"/>
        <v/>
      </c>
      <c r="N25" s="22"/>
      <c r="O25" s="22"/>
      <c r="P25" s="62" t="str">
        <f t="shared" si="2"/>
        <v/>
      </c>
      <c r="Q25" s="63"/>
      <c r="R25" s="63"/>
      <c r="S25" s="64" t="str">
        <f t="shared" si="3"/>
        <v/>
      </c>
      <c r="T25" s="65"/>
      <c r="U25" s="66"/>
      <c r="V25" s="18" t="str">
        <f>IF($C25="","",VLOOKUP($C25,#REF!,4,FALSE))</f>
        <v/>
      </c>
      <c r="W25" s="69" t="str">
        <f>IF($E25="","",VLOOKUP($E25,#REF!,4,FALSE))</f>
        <v/>
      </c>
      <c r="Y25"/>
      <c r="Z25"/>
      <c r="AA25"/>
      <c r="AB25"/>
      <c r="AC25"/>
    </row>
    <row r="26" spans="1:30" s="67" customFormat="1" ht="18" customHeight="1">
      <c r="A26" s="60"/>
      <c r="B26" s="61">
        <v>13</v>
      </c>
      <c r="C26" s="21"/>
      <c r="D26" s="275"/>
      <c r="E26" s="21"/>
      <c r="F26" s="282"/>
      <c r="G26" s="23"/>
      <c r="H26" s="22"/>
      <c r="I26" s="22"/>
      <c r="J26" s="62" t="str">
        <f t="shared" si="0"/>
        <v/>
      </c>
      <c r="K26" s="63"/>
      <c r="L26" s="63"/>
      <c r="M26" s="64" t="str">
        <f t="shared" si="1"/>
        <v/>
      </c>
      <c r="N26" s="22"/>
      <c r="O26" s="22"/>
      <c r="P26" s="62" t="str">
        <f t="shared" si="2"/>
        <v/>
      </c>
      <c r="Q26" s="63"/>
      <c r="R26" s="63"/>
      <c r="S26" s="64" t="str">
        <f t="shared" si="3"/>
        <v/>
      </c>
      <c r="T26" s="65"/>
      <c r="U26" s="66"/>
      <c r="V26" s="18" t="str">
        <f>IF($C26="","",VLOOKUP($C26,#REF!,4,FALSE))</f>
        <v/>
      </c>
      <c r="W26" s="69" t="str">
        <f>IF($E26="","",VLOOKUP($E26,#REF!,4,FALSE))</f>
        <v/>
      </c>
      <c r="Y26"/>
      <c r="Z26"/>
      <c r="AA26"/>
      <c r="AB26"/>
      <c r="AC26"/>
    </row>
    <row r="27" spans="1:30" s="67" customFormat="1" ht="18" customHeight="1">
      <c r="A27" s="60"/>
      <c r="B27" s="61">
        <v>14</v>
      </c>
      <c r="C27" s="21"/>
      <c r="D27" s="275"/>
      <c r="E27" s="21"/>
      <c r="F27" s="282"/>
      <c r="G27" s="23"/>
      <c r="H27" s="22"/>
      <c r="I27" s="22"/>
      <c r="J27" s="62" t="str">
        <f t="shared" si="0"/>
        <v/>
      </c>
      <c r="K27" s="63"/>
      <c r="L27" s="63"/>
      <c r="M27" s="64" t="str">
        <f t="shared" si="1"/>
        <v/>
      </c>
      <c r="N27" s="22"/>
      <c r="O27" s="22"/>
      <c r="P27" s="62" t="str">
        <f t="shared" si="2"/>
        <v/>
      </c>
      <c r="Q27" s="63"/>
      <c r="R27" s="63"/>
      <c r="S27" s="64" t="str">
        <f t="shared" si="3"/>
        <v/>
      </c>
      <c r="T27" s="65"/>
      <c r="U27" s="66"/>
      <c r="V27" s="18" t="str">
        <f>IF($C27="","",VLOOKUP($C27,#REF!,4,FALSE))</f>
        <v/>
      </c>
      <c r="W27" s="69" t="str">
        <f>IF($E27="","",VLOOKUP($E27,#REF!,4,FALSE))</f>
        <v/>
      </c>
      <c r="Y27"/>
      <c r="Z27"/>
      <c r="AA27"/>
      <c r="AB27"/>
      <c r="AC27"/>
    </row>
    <row r="28" spans="1:30" s="67" customFormat="1" ht="18" customHeight="1">
      <c r="A28" s="60"/>
      <c r="B28" s="61">
        <v>15</v>
      </c>
      <c r="C28" s="21"/>
      <c r="D28" s="275"/>
      <c r="E28" s="21"/>
      <c r="F28" s="282"/>
      <c r="G28" s="23"/>
      <c r="H28" s="22"/>
      <c r="I28" s="22"/>
      <c r="J28" s="62" t="str">
        <f t="shared" si="0"/>
        <v/>
      </c>
      <c r="K28" s="63"/>
      <c r="L28" s="63"/>
      <c r="M28" s="64" t="str">
        <f t="shared" si="1"/>
        <v/>
      </c>
      <c r="N28" s="22"/>
      <c r="O28" s="22"/>
      <c r="P28" s="62" t="str">
        <f t="shared" si="2"/>
        <v/>
      </c>
      <c r="Q28" s="63"/>
      <c r="R28" s="63"/>
      <c r="S28" s="64" t="str">
        <f t="shared" si="3"/>
        <v/>
      </c>
      <c r="T28" s="65"/>
      <c r="U28" s="66"/>
      <c r="V28" s="18" t="str">
        <f>IF($C28="","",VLOOKUP($C28,#REF!,4,FALSE))</f>
        <v/>
      </c>
      <c r="W28" s="69" t="str">
        <f>IF($E28="","",VLOOKUP($E28,#REF!,4,FALSE))</f>
        <v/>
      </c>
      <c r="Y28"/>
      <c r="Z28"/>
      <c r="AA28"/>
      <c r="AB28"/>
      <c r="AC28"/>
    </row>
    <row r="29" spans="1:30" s="67" customFormat="1" ht="18" customHeight="1">
      <c r="A29" s="60"/>
      <c r="B29" s="61">
        <v>16</v>
      </c>
      <c r="C29" s="21"/>
      <c r="D29" s="275"/>
      <c r="E29" s="21"/>
      <c r="F29" s="282"/>
      <c r="G29" s="23"/>
      <c r="H29" s="22"/>
      <c r="I29" s="22"/>
      <c r="J29" s="62" t="str">
        <f t="shared" si="0"/>
        <v/>
      </c>
      <c r="K29" s="63"/>
      <c r="L29" s="63"/>
      <c r="M29" s="64" t="str">
        <f t="shared" si="1"/>
        <v/>
      </c>
      <c r="N29" s="22"/>
      <c r="O29" s="22"/>
      <c r="P29" s="62" t="str">
        <f t="shared" si="2"/>
        <v/>
      </c>
      <c r="Q29" s="63"/>
      <c r="R29" s="63"/>
      <c r="S29" s="64" t="str">
        <f t="shared" si="3"/>
        <v/>
      </c>
      <c r="T29" s="65"/>
      <c r="U29" s="66"/>
      <c r="V29" s="18" t="str">
        <f>IF($C29="","",VLOOKUP($C29,#REF!,4,FALSE))</f>
        <v/>
      </c>
      <c r="W29" s="69" t="str">
        <f>IF($E29="","",VLOOKUP($E29,#REF!,4,FALSE))</f>
        <v/>
      </c>
      <c r="Y29"/>
      <c r="Z29"/>
      <c r="AA29"/>
      <c r="AB29"/>
      <c r="AC29"/>
    </row>
    <row r="30" spans="1:30" s="67" customFormat="1" ht="18" customHeight="1">
      <c r="A30" s="60"/>
      <c r="B30" s="61">
        <v>17</v>
      </c>
      <c r="C30" s="21"/>
      <c r="D30" s="275" t="s">
        <v>76</v>
      </c>
      <c r="E30" s="21"/>
      <c r="F30" s="282" t="s">
        <v>76</v>
      </c>
      <c r="G30" s="23"/>
      <c r="H30" s="22"/>
      <c r="I30" s="22"/>
      <c r="J30" s="62" t="str">
        <f t="shared" si="0"/>
        <v/>
      </c>
      <c r="K30" s="63"/>
      <c r="L30" s="63"/>
      <c r="M30" s="64" t="str">
        <f t="shared" si="1"/>
        <v/>
      </c>
      <c r="N30" s="22"/>
      <c r="O30" s="22"/>
      <c r="P30" s="62" t="str">
        <f t="shared" si="2"/>
        <v/>
      </c>
      <c r="Q30" s="63"/>
      <c r="R30" s="63"/>
      <c r="S30" s="64" t="str">
        <f t="shared" si="3"/>
        <v/>
      </c>
      <c r="T30" s="65"/>
      <c r="U30" s="66"/>
      <c r="V30" s="18" t="str">
        <f>IF($C30="","",VLOOKUP($C30,#REF!,4,FALSE))</f>
        <v/>
      </c>
      <c r="W30" s="69" t="str">
        <f>IF($E30="","",VLOOKUP($E30,#REF!,4,FALSE))</f>
        <v/>
      </c>
      <c r="Y30"/>
      <c r="Z30"/>
      <c r="AA30"/>
      <c r="AB30"/>
      <c r="AC30"/>
    </row>
    <row r="31" spans="1:30" s="67" customFormat="1" ht="18" customHeight="1">
      <c r="A31" s="60"/>
      <c r="B31" s="61">
        <v>18</v>
      </c>
      <c r="C31" s="21"/>
      <c r="D31" s="275" t="s">
        <v>76</v>
      </c>
      <c r="E31" s="21"/>
      <c r="F31" s="282" t="s">
        <v>76</v>
      </c>
      <c r="G31" s="23"/>
      <c r="H31" s="22"/>
      <c r="I31" s="22"/>
      <c r="J31" s="62" t="str">
        <f t="shared" si="0"/>
        <v/>
      </c>
      <c r="K31" s="63"/>
      <c r="L31" s="63"/>
      <c r="M31" s="64" t="str">
        <f t="shared" si="1"/>
        <v/>
      </c>
      <c r="N31" s="22"/>
      <c r="O31" s="22"/>
      <c r="P31" s="62" t="str">
        <f t="shared" si="2"/>
        <v/>
      </c>
      <c r="Q31" s="63"/>
      <c r="R31" s="63"/>
      <c r="S31" s="64" t="str">
        <f t="shared" si="3"/>
        <v/>
      </c>
      <c r="T31" s="65"/>
      <c r="U31" s="66"/>
      <c r="V31" s="18" t="str">
        <f>IF($C31="","",VLOOKUP($C31,#REF!,4,FALSE))</f>
        <v/>
      </c>
      <c r="W31" s="69" t="str">
        <f>IF($E31="","",VLOOKUP($E31,#REF!,4,FALSE))</f>
        <v/>
      </c>
      <c r="Y31"/>
      <c r="Z31"/>
      <c r="AA31"/>
      <c r="AB31"/>
      <c r="AC31"/>
    </row>
    <row r="32" spans="1:30" s="67" customFormat="1" ht="18" customHeight="1">
      <c r="A32" s="60"/>
      <c r="B32" s="61">
        <v>19</v>
      </c>
      <c r="C32" s="21"/>
      <c r="D32" s="275" t="s">
        <v>76</v>
      </c>
      <c r="E32" s="21"/>
      <c r="F32" s="282" t="s">
        <v>76</v>
      </c>
      <c r="G32" s="23"/>
      <c r="H32" s="22"/>
      <c r="I32" s="22"/>
      <c r="J32" s="62" t="str">
        <f t="shared" si="0"/>
        <v/>
      </c>
      <c r="K32" s="63"/>
      <c r="L32" s="63"/>
      <c r="M32" s="64" t="str">
        <f t="shared" si="1"/>
        <v/>
      </c>
      <c r="N32" s="22"/>
      <c r="O32" s="22"/>
      <c r="P32" s="62" t="str">
        <f t="shared" si="2"/>
        <v/>
      </c>
      <c r="Q32" s="63"/>
      <c r="R32" s="63"/>
      <c r="S32" s="64" t="str">
        <f t="shared" si="3"/>
        <v/>
      </c>
      <c r="T32" s="65"/>
      <c r="U32" s="66"/>
      <c r="V32" s="18" t="str">
        <f>IF($C32="","",VLOOKUP($C32,#REF!,4,FALSE))</f>
        <v/>
      </c>
      <c r="W32" s="69" t="str">
        <f>IF($E32="","",VLOOKUP($E32,#REF!,4,FALSE))</f>
        <v/>
      </c>
      <c r="Y32"/>
      <c r="Z32"/>
      <c r="AA32"/>
      <c r="AB32"/>
      <c r="AC32"/>
    </row>
    <row r="33" spans="1:29" s="67" customFormat="1" ht="18" customHeight="1">
      <c r="A33" s="60"/>
      <c r="B33" s="61">
        <v>20</v>
      </c>
      <c r="C33" s="21"/>
      <c r="D33" s="275" t="s">
        <v>76</v>
      </c>
      <c r="E33" s="21"/>
      <c r="F33" s="282" t="s">
        <v>76</v>
      </c>
      <c r="G33" s="23"/>
      <c r="H33" s="22"/>
      <c r="I33" s="22"/>
      <c r="J33" s="62" t="str">
        <f t="shared" si="0"/>
        <v/>
      </c>
      <c r="K33" s="63"/>
      <c r="L33" s="63"/>
      <c r="M33" s="64" t="str">
        <f t="shared" si="1"/>
        <v/>
      </c>
      <c r="N33" s="22"/>
      <c r="O33" s="22"/>
      <c r="P33" s="62" t="str">
        <f t="shared" si="2"/>
        <v/>
      </c>
      <c r="Q33" s="63"/>
      <c r="R33" s="63"/>
      <c r="S33" s="64" t="str">
        <f t="shared" si="3"/>
        <v/>
      </c>
      <c r="T33" s="65"/>
      <c r="U33" s="66"/>
      <c r="V33" s="18" t="str">
        <f>IF($C33="","",VLOOKUP($C33,#REF!,4,FALSE))</f>
        <v/>
      </c>
      <c r="W33" s="69" t="str">
        <f>IF($E33="","",VLOOKUP($E33,#REF!,4,FALSE))</f>
        <v/>
      </c>
      <c r="Y33"/>
      <c r="Z33"/>
      <c r="AA33"/>
      <c r="AB33"/>
      <c r="AC33"/>
    </row>
    <row r="34" spans="1:29" s="67" customFormat="1" ht="18" customHeight="1">
      <c r="A34" s="60"/>
      <c r="B34" s="61">
        <v>21</v>
      </c>
      <c r="C34" s="21"/>
      <c r="D34" s="275" t="s">
        <v>76</v>
      </c>
      <c r="E34" s="21"/>
      <c r="F34" s="282" t="s">
        <v>76</v>
      </c>
      <c r="G34" s="23"/>
      <c r="H34" s="22"/>
      <c r="I34" s="22"/>
      <c r="J34" s="62" t="str">
        <f t="shared" si="0"/>
        <v/>
      </c>
      <c r="K34" s="63"/>
      <c r="L34" s="63"/>
      <c r="M34" s="64" t="str">
        <f t="shared" si="1"/>
        <v/>
      </c>
      <c r="N34" s="22"/>
      <c r="O34" s="22"/>
      <c r="P34" s="62" t="str">
        <f t="shared" si="2"/>
        <v/>
      </c>
      <c r="Q34" s="63"/>
      <c r="R34" s="63"/>
      <c r="S34" s="64" t="str">
        <f t="shared" si="3"/>
        <v/>
      </c>
      <c r="T34" s="65"/>
      <c r="U34" s="66"/>
      <c r="V34" s="18" t="str">
        <f>IF($C34="","",VLOOKUP($C34,#REF!,4,FALSE))</f>
        <v/>
      </c>
      <c r="W34" s="69" t="str">
        <f>IF($E34="","",VLOOKUP($E34,#REF!,4,FALSE))</f>
        <v/>
      </c>
      <c r="Y34"/>
      <c r="Z34"/>
      <c r="AA34"/>
      <c r="AB34"/>
      <c r="AC34"/>
    </row>
    <row r="35" spans="1:29" s="67" customFormat="1" ht="18" customHeight="1">
      <c r="A35" s="60"/>
      <c r="B35" s="61">
        <v>22</v>
      </c>
      <c r="C35" s="21"/>
      <c r="D35" s="275" t="s">
        <v>76</v>
      </c>
      <c r="E35" s="21"/>
      <c r="F35" s="282" t="s">
        <v>76</v>
      </c>
      <c r="G35" s="23"/>
      <c r="H35" s="22"/>
      <c r="I35" s="22"/>
      <c r="J35" s="62" t="str">
        <f t="shared" si="0"/>
        <v/>
      </c>
      <c r="K35" s="63"/>
      <c r="L35" s="63"/>
      <c r="M35" s="64" t="str">
        <f t="shared" si="1"/>
        <v/>
      </c>
      <c r="N35" s="22"/>
      <c r="O35" s="22"/>
      <c r="P35" s="62" t="str">
        <f t="shared" si="2"/>
        <v/>
      </c>
      <c r="Q35" s="63"/>
      <c r="R35" s="63"/>
      <c r="S35" s="64" t="str">
        <f t="shared" si="3"/>
        <v/>
      </c>
      <c r="T35" s="65"/>
      <c r="U35" s="66"/>
      <c r="V35" s="18" t="str">
        <f>IF($C35="","",VLOOKUP($C35,#REF!,4,FALSE))</f>
        <v/>
      </c>
      <c r="W35" s="69" t="str">
        <f>IF($E35="","",VLOOKUP($E35,#REF!,4,FALSE))</f>
        <v/>
      </c>
      <c r="Y35"/>
      <c r="Z35"/>
      <c r="AA35"/>
      <c r="AB35"/>
      <c r="AC35"/>
    </row>
    <row r="36" spans="1:29" s="67" customFormat="1" ht="18" customHeight="1">
      <c r="A36" s="60"/>
      <c r="B36" s="61">
        <v>23</v>
      </c>
      <c r="C36" s="21"/>
      <c r="D36" s="275" t="s">
        <v>76</v>
      </c>
      <c r="E36" s="21"/>
      <c r="F36" s="282" t="s">
        <v>76</v>
      </c>
      <c r="G36" s="23"/>
      <c r="H36" s="22"/>
      <c r="I36" s="22"/>
      <c r="J36" s="62" t="str">
        <f t="shared" si="0"/>
        <v/>
      </c>
      <c r="K36" s="63"/>
      <c r="L36" s="63"/>
      <c r="M36" s="64" t="str">
        <f t="shared" si="1"/>
        <v/>
      </c>
      <c r="N36" s="22"/>
      <c r="O36" s="22"/>
      <c r="P36" s="62" t="str">
        <f t="shared" si="2"/>
        <v/>
      </c>
      <c r="Q36" s="63"/>
      <c r="R36" s="63"/>
      <c r="S36" s="64" t="str">
        <f t="shared" si="3"/>
        <v/>
      </c>
      <c r="T36" s="65"/>
      <c r="U36" s="66"/>
      <c r="V36" s="18" t="str">
        <f>IF($C36="","",VLOOKUP($C36,#REF!,4,FALSE))</f>
        <v/>
      </c>
      <c r="W36" s="69" t="str">
        <f>IF($E36="","",VLOOKUP($E36,#REF!,4,FALSE))</f>
        <v/>
      </c>
      <c r="Y36"/>
      <c r="Z36"/>
      <c r="AA36"/>
      <c r="AB36"/>
      <c r="AC36"/>
    </row>
    <row r="37" spans="1:29" s="67" customFormat="1" ht="18" customHeight="1">
      <c r="A37" s="60"/>
      <c r="B37" s="61">
        <v>24</v>
      </c>
      <c r="C37" s="21"/>
      <c r="D37" s="275" t="s">
        <v>76</v>
      </c>
      <c r="E37" s="21"/>
      <c r="F37" s="282" t="s">
        <v>76</v>
      </c>
      <c r="G37" s="23"/>
      <c r="H37" s="22"/>
      <c r="I37" s="22"/>
      <c r="J37" s="62" t="str">
        <f t="shared" si="0"/>
        <v/>
      </c>
      <c r="K37" s="63"/>
      <c r="L37" s="63"/>
      <c r="M37" s="64" t="str">
        <f t="shared" si="1"/>
        <v/>
      </c>
      <c r="N37" s="22"/>
      <c r="O37" s="22"/>
      <c r="P37" s="62" t="str">
        <f t="shared" si="2"/>
        <v/>
      </c>
      <c r="Q37" s="63"/>
      <c r="R37" s="63"/>
      <c r="S37" s="64" t="str">
        <f t="shared" si="3"/>
        <v/>
      </c>
      <c r="T37" s="65"/>
      <c r="U37" s="66"/>
      <c r="V37" s="18" t="str">
        <f>IF($C37="","",VLOOKUP($C37,#REF!,4,FALSE))</f>
        <v/>
      </c>
      <c r="W37" s="69" t="str">
        <f>IF($E37="","",VLOOKUP($E37,#REF!,4,FALSE))</f>
        <v/>
      </c>
      <c r="Y37"/>
      <c r="Z37"/>
      <c r="AA37"/>
      <c r="AB37"/>
      <c r="AC37"/>
    </row>
    <row r="38" spans="1:29" s="67" customFormat="1" ht="18" customHeight="1">
      <c r="A38" s="60"/>
      <c r="B38" s="61">
        <v>25</v>
      </c>
      <c r="C38" s="21"/>
      <c r="D38" s="275" t="s">
        <v>76</v>
      </c>
      <c r="E38" s="21"/>
      <c r="F38" s="282" t="s">
        <v>76</v>
      </c>
      <c r="G38" s="23"/>
      <c r="H38" s="22"/>
      <c r="I38" s="22"/>
      <c r="J38" s="62" t="str">
        <f t="shared" si="0"/>
        <v/>
      </c>
      <c r="K38" s="63"/>
      <c r="L38" s="63"/>
      <c r="M38" s="64" t="str">
        <f t="shared" si="1"/>
        <v/>
      </c>
      <c r="N38" s="22"/>
      <c r="O38" s="22"/>
      <c r="P38" s="62" t="str">
        <f t="shared" si="2"/>
        <v/>
      </c>
      <c r="Q38" s="63"/>
      <c r="R38" s="63"/>
      <c r="S38" s="64" t="str">
        <f t="shared" si="3"/>
        <v/>
      </c>
      <c r="T38" s="65"/>
      <c r="U38" s="66"/>
      <c r="V38" s="18" t="str">
        <f>IF($C38="","",VLOOKUP($C38,#REF!,4,FALSE))</f>
        <v/>
      </c>
      <c r="W38" s="69" t="str">
        <f>IF($E38="","",VLOOKUP($E38,#REF!,4,FALSE))</f>
        <v/>
      </c>
      <c r="Y38"/>
      <c r="Z38"/>
      <c r="AA38"/>
      <c r="AB38"/>
      <c r="AC38"/>
    </row>
    <row r="39" spans="1:29" s="67" customFormat="1" ht="18" customHeight="1">
      <c r="A39" s="60"/>
      <c r="B39" s="61">
        <v>26</v>
      </c>
      <c r="C39" s="21"/>
      <c r="D39" s="275" t="s">
        <v>76</v>
      </c>
      <c r="E39" s="21"/>
      <c r="F39" s="282" t="s">
        <v>76</v>
      </c>
      <c r="G39" s="23"/>
      <c r="H39" s="22"/>
      <c r="I39" s="22"/>
      <c r="J39" s="62" t="str">
        <f t="shared" si="0"/>
        <v/>
      </c>
      <c r="K39" s="63"/>
      <c r="L39" s="63"/>
      <c r="M39" s="64" t="str">
        <f t="shared" si="1"/>
        <v/>
      </c>
      <c r="N39" s="22"/>
      <c r="O39" s="22"/>
      <c r="P39" s="62" t="str">
        <f t="shared" si="2"/>
        <v/>
      </c>
      <c r="Q39" s="63"/>
      <c r="R39" s="63"/>
      <c r="S39" s="64" t="str">
        <f t="shared" si="3"/>
        <v/>
      </c>
      <c r="T39" s="65"/>
      <c r="U39" s="66"/>
      <c r="V39" s="18" t="str">
        <f>IF($C39="","",VLOOKUP($C39,#REF!,4,FALSE))</f>
        <v/>
      </c>
      <c r="W39" s="69" t="str">
        <f>IF($E39="","",VLOOKUP($E39,#REF!,4,FALSE))</f>
        <v/>
      </c>
      <c r="Y39"/>
      <c r="Z39"/>
      <c r="AA39"/>
      <c r="AB39"/>
      <c r="AC39"/>
    </row>
    <row r="40" spans="1:29" s="67" customFormat="1" ht="18" customHeight="1">
      <c r="A40" s="60"/>
      <c r="B40" s="61">
        <v>27</v>
      </c>
      <c r="C40" s="21"/>
      <c r="D40" s="275" t="s">
        <v>76</v>
      </c>
      <c r="E40" s="21"/>
      <c r="F40" s="282" t="s">
        <v>76</v>
      </c>
      <c r="G40" s="23"/>
      <c r="H40" s="22"/>
      <c r="I40" s="22"/>
      <c r="J40" s="62" t="str">
        <f t="shared" si="0"/>
        <v/>
      </c>
      <c r="K40" s="63"/>
      <c r="L40" s="63"/>
      <c r="M40" s="64" t="str">
        <f t="shared" si="1"/>
        <v/>
      </c>
      <c r="N40" s="22"/>
      <c r="O40" s="22"/>
      <c r="P40" s="62" t="str">
        <f t="shared" si="2"/>
        <v/>
      </c>
      <c r="Q40" s="63"/>
      <c r="R40" s="63"/>
      <c r="S40" s="64" t="str">
        <f t="shared" si="3"/>
        <v/>
      </c>
      <c r="T40" s="65"/>
      <c r="U40" s="66"/>
      <c r="V40" s="18" t="str">
        <f>IF($C40="","",VLOOKUP($C40,#REF!,4,FALSE))</f>
        <v/>
      </c>
      <c r="W40" s="69" t="str">
        <f>IF($E40="","",VLOOKUP($E40,#REF!,4,FALSE))</f>
        <v/>
      </c>
      <c r="Y40"/>
      <c r="Z40"/>
      <c r="AA40"/>
      <c r="AB40"/>
      <c r="AC40"/>
    </row>
    <row r="41" spans="1:29" s="67" customFormat="1" ht="18" customHeight="1">
      <c r="A41" s="60"/>
      <c r="B41" s="61">
        <v>28</v>
      </c>
      <c r="C41" s="21"/>
      <c r="D41" s="275" t="s">
        <v>76</v>
      </c>
      <c r="E41" s="21"/>
      <c r="F41" s="282" t="s">
        <v>76</v>
      </c>
      <c r="G41" s="23"/>
      <c r="H41" s="22"/>
      <c r="I41" s="22"/>
      <c r="J41" s="62" t="str">
        <f t="shared" si="0"/>
        <v/>
      </c>
      <c r="K41" s="63"/>
      <c r="L41" s="63"/>
      <c r="M41" s="64" t="str">
        <f t="shared" si="1"/>
        <v/>
      </c>
      <c r="N41" s="22"/>
      <c r="O41" s="22"/>
      <c r="P41" s="62" t="str">
        <f t="shared" si="2"/>
        <v/>
      </c>
      <c r="Q41" s="63"/>
      <c r="R41" s="63"/>
      <c r="S41" s="64" t="str">
        <f t="shared" si="3"/>
        <v/>
      </c>
      <c r="T41" s="65"/>
      <c r="U41" s="66"/>
      <c r="V41" s="18" t="str">
        <f>IF($C41="","",VLOOKUP($C41,#REF!,4,FALSE))</f>
        <v/>
      </c>
      <c r="W41" s="69" t="str">
        <f>IF($E41="","",VLOOKUP($E41,#REF!,4,FALSE))</f>
        <v/>
      </c>
      <c r="Y41"/>
      <c r="Z41"/>
      <c r="AA41"/>
      <c r="AB41"/>
      <c r="AC41"/>
    </row>
    <row r="42" spans="1:29" s="67" customFormat="1" ht="18" customHeight="1">
      <c r="A42" s="60"/>
      <c r="B42" s="61">
        <v>29</v>
      </c>
      <c r="C42" s="21"/>
      <c r="D42" s="275" t="s">
        <v>76</v>
      </c>
      <c r="E42" s="21"/>
      <c r="F42" s="282" t="s">
        <v>76</v>
      </c>
      <c r="G42" s="23"/>
      <c r="H42" s="22"/>
      <c r="I42" s="22"/>
      <c r="J42" s="62" t="str">
        <f t="shared" si="0"/>
        <v/>
      </c>
      <c r="K42" s="63"/>
      <c r="L42" s="63"/>
      <c r="M42" s="64" t="str">
        <f t="shared" si="1"/>
        <v/>
      </c>
      <c r="N42" s="22"/>
      <c r="O42" s="22"/>
      <c r="P42" s="62" t="str">
        <f t="shared" si="2"/>
        <v/>
      </c>
      <c r="Q42" s="63"/>
      <c r="R42" s="63"/>
      <c r="S42" s="64" t="str">
        <f t="shared" si="3"/>
        <v/>
      </c>
      <c r="T42" s="65"/>
      <c r="U42" s="66"/>
      <c r="V42" s="18" t="str">
        <f>IF($C42="","",VLOOKUP($C42,#REF!,4,FALSE))</f>
        <v/>
      </c>
      <c r="W42" s="69" t="str">
        <f>IF($E42="","",VLOOKUP($E42,#REF!,4,FALSE))</f>
        <v/>
      </c>
      <c r="Y42"/>
      <c r="Z42"/>
      <c r="AA42"/>
      <c r="AB42"/>
      <c r="AC42"/>
    </row>
    <row r="43" spans="1:29" s="67" customFormat="1" ht="18" customHeight="1">
      <c r="A43" s="60"/>
      <c r="B43" s="61">
        <v>30</v>
      </c>
      <c r="C43" s="21"/>
      <c r="D43" s="275" t="s">
        <v>76</v>
      </c>
      <c r="E43" s="21"/>
      <c r="F43" s="282" t="s">
        <v>76</v>
      </c>
      <c r="G43" s="23"/>
      <c r="H43" s="22"/>
      <c r="I43" s="22"/>
      <c r="J43" s="62" t="str">
        <f t="shared" si="0"/>
        <v/>
      </c>
      <c r="K43" s="63"/>
      <c r="L43" s="63"/>
      <c r="M43" s="64" t="str">
        <f t="shared" si="1"/>
        <v/>
      </c>
      <c r="N43" s="22"/>
      <c r="O43" s="22"/>
      <c r="P43" s="62" t="str">
        <f t="shared" si="2"/>
        <v/>
      </c>
      <c r="Q43" s="63"/>
      <c r="R43" s="63"/>
      <c r="S43" s="64" t="str">
        <f t="shared" si="3"/>
        <v/>
      </c>
      <c r="T43" s="65"/>
      <c r="U43" s="66"/>
      <c r="V43" s="18" t="str">
        <f>IF($C43="","",VLOOKUP($C43,#REF!,4,FALSE))</f>
        <v/>
      </c>
      <c r="W43" s="69" t="str">
        <f>IF($E43="","",VLOOKUP($E43,#REF!,4,FALSE))</f>
        <v/>
      </c>
      <c r="Y43"/>
      <c r="Z43"/>
      <c r="AA43"/>
      <c r="AB43"/>
      <c r="AC43"/>
    </row>
    <row r="44" spans="1:29" s="67" customFormat="1" ht="18" customHeight="1">
      <c r="A44" s="60"/>
      <c r="B44" s="61"/>
      <c r="C44" s="21"/>
      <c r="D44" s="275" t="s">
        <v>76</v>
      </c>
      <c r="E44" s="21"/>
      <c r="F44" s="282" t="s">
        <v>76</v>
      </c>
      <c r="G44" s="23"/>
      <c r="H44" s="22"/>
      <c r="I44" s="22"/>
      <c r="J44" s="62" t="str">
        <f t="shared" si="0"/>
        <v/>
      </c>
      <c r="K44" s="63"/>
      <c r="L44" s="63"/>
      <c r="M44" s="64" t="str">
        <f t="shared" si="1"/>
        <v/>
      </c>
      <c r="N44" s="22"/>
      <c r="O44" s="22"/>
      <c r="P44" s="62" t="str">
        <f t="shared" si="2"/>
        <v/>
      </c>
      <c r="Q44" s="63"/>
      <c r="R44" s="63"/>
      <c r="S44" s="64" t="str">
        <f t="shared" si="3"/>
        <v/>
      </c>
      <c r="T44" s="65"/>
      <c r="U44" s="66"/>
      <c r="V44" s="18" t="str">
        <f>IF($C44="","",VLOOKUP($C44,#REF!,4,FALSE))</f>
        <v/>
      </c>
      <c r="W44" s="69" t="str">
        <f>IF($E44="","",VLOOKUP($E44,#REF!,4,FALSE))</f>
        <v/>
      </c>
      <c r="Y44"/>
      <c r="Z44"/>
      <c r="AA44"/>
      <c r="AB44"/>
      <c r="AC44"/>
    </row>
    <row r="45" spans="1:29" s="67" customFormat="1" ht="18" customHeight="1">
      <c r="A45" s="60"/>
      <c r="B45" s="61"/>
      <c r="C45" s="21"/>
      <c r="D45" s="275" t="s">
        <v>76</v>
      </c>
      <c r="E45" s="21"/>
      <c r="F45" s="282" t="s">
        <v>76</v>
      </c>
      <c r="G45" s="23"/>
      <c r="H45" s="22"/>
      <c r="I45" s="22"/>
      <c r="J45" s="62" t="str">
        <f t="shared" si="0"/>
        <v/>
      </c>
      <c r="K45" s="63"/>
      <c r="L45" s="63"/>
      <c r="M45" s="64" t="str">
        <f t="shared" si="1"/>
        <v/>
      </c>
      <c r="N45" s="22"/>
      <c r="O45" s="22"/>
      <c r="P45" s="62" t="str">
        <f t="shared" si="2"/>
        <v/>
      </c>
      <c r="Q45" s="63"/>
      <c r="R45" s="63"/>
      <c r="S45" s="64" t="str">
        <f t="shared" si="3"/>
        <v/>
      </c>
      <c r="T45" s="65"/>
      <c r="U45" s="66"/>
      <c r="V45" s="18" t="str">
        <f>IF($C45="","",VLOOKUP($C45,#REF!,4,FALSE))</f>
        <v/>
      </c>
      <c r="W45" s="69" t="str">
        <f>IF($E45="","",VLOOKUP($E45,#REF!,4,FALSE))</f>
        <v/>
      </c>
      <c r="Y45"/>
      <c r="Z45"/>
      <c r="AA45"/>
      <c r="AB45"/>
      <c r="AC45"/>
    </row>
    <row r="46" spans="1:29" s="67" customFormat="1" ht="18" customHeight="1">
      <c r="A46" s="60"/>
      <c r="B46" s="61"/>
      <c r="C46" s="21"/>
      <c r="D46" s="275" t="s">
        <v>76</v>
      </c>
      <c r="E46" s="21"/>
      <c r="F46" s="282" t="s">
        <v>76</v>
      </c>
      <c r="G46" s="23"/>
      <c r="H46" s="22"/>
      <c r="I46" s="22"/>
      <c r="J46" s="62" t="str">
        <f t="shared" ref="J46:J73" si="4">IF(H46="","",H46+I46)</f>
        <v/>
      </c>
      <c r="K46" s="63"/>
      <c r="L46" s="63"/>
      <c r="M46" s="64" t="str">
        <f t="shared" ref="M46:M73" si="5">IF(L46="","",K46+L46)</f>
        <v/>
      </c>
      <c r="N46" s="22"/>
      <c r="O46" s="22"/>
      <c r="P46" s="62" t="str">
        <f t="shared" ref="P46:P73" si="6">IF(N46="","",N46+O46)</f>
        <v/>
      </c>
      <c r="Q46" s="63"/>
      <c r="R46" s="63"/>
      <c r="S46" s="64" t="str">
        <f t="shared" ref="S46:S73" si="7">IF(R46="","",Q46+R46)</f>
        <v/>
      </c>
      <c r="T46" s="65"/>
      <c r="U46" s="66"/>
      <c r="V46" s="18" t="str">
        <f>IF($C46="","",VLOOKUP($C46,#REF!,4,FALSE))</f>
        <v/>
      </c>
      <c r="W46" s="69" t="str">
        <f>IF($E46="","",VLOOKUP($E46,#REF!,4,FALSE))</f>
        <v/>
      </c>
      <c r="Y46"/>
      <c r="Z46"/>
      <c r="AA46"/>
      <c r="AB46"/>
      <c r="AC46"/>
    </row>
    <row r="47" spans="1:29" s="67" customFormat="1" ht="18" customHeight="1">
      <c r="A47" s="60"/>
      <c r="B47" s="61"/>
      <c r="C47" s="21"/>
      <c r="D47" s="275" t="s">
        <v>76</v>
      </c>
      <c r="E47" s="21"/>
      <c r="F47" s="282" t="s">
        <v>76</v>
      </c>
      <c r="G47" s="23"/>
      <c r="H47" s="22"/>
      <c r="I47" s="22"/>
      <c r="J47" s="62" t="str">
        <f t="shared" si="4"/>
        <v/>
      </c>
      <c r="K47" s="63"/>
      <c r="L47" s="63"/>
      <c r="M47" s="64" t="str">
        <f t="shared" si="5"/>
        <v/>
      </c>
      <c r="N47" s="22"/>
      <c r="O47" s="22"/>
      <c r="P47" s="62" t="str">
        <f t="shared" si="6"/>
        <v/>
      </c>
      <c r="Q47" s="63"/>
      <c r="R47" s="63"/>
      <c r="S47" s="64" t="str">
        <f t="shared" si="7"/>
        <v/>
      </c>
      <c r="T47" s="65"/>
      <c r="U47" s="66"/>
      <c r="V47" s="18" t="str">
        <f>IF($C47="","",VLOOKUP($C47,#REF!,4,FALSE))</f>
        <v/>
      </c>
      <c r="W47" s="69" t="str">
        <f>IF($E47="","",VLOOKUP($E47,#REF!,4,FALSE))</f>
        <v/>
      </c>
      <c r="Y47"/>
      <c r="Z47"/>
      <c r="AA47"/>
      <c r="AB47"/>
      <c r="AC47"/>
    </row>
    <row r="48" spans="1:29" s="67" customFormat="1" ht="18" customHeight="1">
      <c r="A48" s="60"/>
      <c r="B48" s="61"/>
      <c r="C48" s="21"/>
      <c r="D48" s="275" t="s">
        <v>76</v>
      </c>
      <c r="E48" s="21"/>
      <c r="F48" s="282" t="s">
        <v>76</v>
      </c>
      <c r="G48" s="23"/>
      <c r="H48" s="22"/>
      <c r="I48" s="22"/>
      <c r="J48" s="62" t="str">
        <f t="shared" si="4"/>
        <v/>
      </c>
      <c r="K48" s="63"/>
      <c r="L48" s="63"/>
      <c r="M48" s="64" t="str">
        <f t="shared" si="5"/>
        <v/>
      </c>
      <c r="N48" s="22"/>
      <c r="O48" s="22"/>
      <c r="P48" s="62" t="str">
        <f t="shared" si="6"/>
        <v/>
      </c>
      <c r="Q48" s="63"/>
      <c r="R48" s="63"/>
      <c r="S48" s="64" t="str">
        <f t="shared" si="7"/>
        <v/>
      </c>
      <c r="T48" s="65"/>
      <c r="U48" s="66"/>
      <c r="V48" s="18" t="str">
        <f>IF($C48="","",VLOOKUP($C48,#REF!,4,FALSE))</f>
        <v/>
      </c>
      <c r="W48" s="69" t="str">
        <f>IF($E48="","",VLOOKUP($E48,#REF!,4,FALSE))</f>
        <v/>
      </c>
      <c r="Y48"/>
      <c r="Z48"/>
      <c r="AA48"/>
      <c r="AB48"/>
      <c r="AC48"/>
    </row>
    <row r="49" spans="1:29" s="67" customFormat="1" ht="18" customHeight="1">
      <c r="A49" s="60"/>
      <c r="B49" s="61"/>
      <c r="C49" s="21"/>
      <c r="D49" s="275" t="s">
        <v>76</v>
      </c>
      <c r="E49" s="21"/>
      <c r="F49" s="282" t="s">
        <v>76</v>
      </c>
      <c r="G49" s="23"/>
      <c r="H49" s="22"/>
      <c r="I49" s="22"/>
      <c r="J49" s="62" t="str">
        <f t="shared" si="4"/>
        <v/>
      </c>
      <c r="K49" s="63"/>
      <c r="L49" s="63"/>
      <c r="M49" s="64" t="str">
        <f t="shared" si="5"/>
        <v/>
      </c>
      <c r="N49" s="22"/>
      <c r="O49" s="22"/>
      <c r="P49" s="62" t="str">
        <f t="shared" si="6"/>
        <v/>
      </c>
      <c r="Q49" s="63"/>
      <c r="R49" s="63"/>
      <c r="S49" s="64" t="str">
        <f t="shared" si="7"/>
        <v/>
      </c>
      <c r="T49" s="65"/>
      <c r="U49" s="66"/>
      <c r="V49" s="18" t="str">
        <f>IF($C49="","",VLOOKUP($C49,#REF!,4,FALSE))</f>
        <v/>
      </c>
      <c r="W49" s="69" t="str">
        <f>IF($E49="","",VLOOKUP($E49,#REF!,4,FALSE))</f>
        <v/>
      </c>
      <c r="Y49"/>
      <c r="Z49"/>
      <c r="AA49"/>
      <c r="AB49"/>
      <c r="AC49"/>
    </row>
    <row r="50" spans="1:29" s="67" customFormat="1" ht="18" customHeight="1">
      <c r="A50" s="60"/>
      <c r="B50" s="61"/>
      <c r="C50" s="21"/>
      <c r="D50" s="275" t="s">
        <v>76</v>
      </c>
      <c r="E50" s="21"/>
      <c r="F50" s="282" t="s">
        <v>76</v>
      </c>
      <c r="G50" s="23"/>
      <c r="H50" s="22"/>
      <c r="I50" s="22"/>
      <c r="J50" s="62" t="str">
        <f t="shared" si="4"/>
        <v/>
      </c>
      <c r="K50" s="63"/>
      <c r="L50" s="63"/>
      <c r="M50" s="64" t="str">
        <f t="shared" si="5"/>
        <v/>
      </c>
      <c r="N50" s="22"/>
      <c r="O50" s="22"/>
      <c r="P50" s="62" t="str">
        <f t="shared" si="6"/>
        <v/>
      </c>
      <c r="Q50" s="63"/>
      <c r="R50" s="63"/>
      <c r="S50" s="64" t="str">
        <f t="shared" si="7"/>
        <v/>
      </c>
      <c r="T50" s="65"/>
      <c r="U50" s="66"/>
      <c r="V50" s="18" t="str">
        <f>IF($C50="","",VLOOKUP($C50,#REF!,4,FALSE))</f>
        <v/>
      </c>
      <c r="W50" s="69" t="str">
        <f>IF($E50="","",VLOOKUP($E50,#REF!,4,FALSE))</f>
        <v/>
      </c>
      <c r="Y50"/>
      <c r="Z50"/>
      <c r="AA50"/>
      <c r="AB50"/>
      <c r="AC50"/>
    </row>
    <row r="51" spans="1:29" s="67" customFormat="1" ht="18" customHeight="1">
      <c r="A51" s="60"/>
      <c r="B51" s="61"/>
      <c r="C51" s="21"/>
      <c r="D51" s="275" t="s">
        <v>76</v>
      </c>
      <c r="E51" s="21"/>
      <c r="F51" s="282" t="s">
        <v>76</v>
      </c>
      <c r="G51" s="23"/>
      <c r="H51" s="22"/>
      <c r="I51" s="22"/>
      <c r="J51" s="62" t="str">
        <f t="shared" si="4"/>
        <v/>
      </c>
      <c r="K51" s="63"/>
      <c r="L51" s="63"/>
      <c r="M51" s="64" t="str">
        <f t="shared" si="5"/>
        <v/>
      </c>
      <c r="N51" s="22"/>
      <c r="O51" s="22"/>
      <c r="P51" s="62" t="str">
        <f t="shared" si="6"/>
        <v/>
      </c>
      <c r="Q51" s="63"/>
      <c r="R51" s="63"/>
      <c r="S51" s="64" t="str">
        <f t="shared" si="7"/>
        <v/>
      </c>
      <c r="T51" s="65"/>
      <c r="U51" s="66"/>
      <c r="V51" s="18" t="str">
        <f>IF($C51="","",VLOOKUP($C51,#REF!,4,FALSE))</f>
        <v/>
      </c>
      <c r="W51" s="69" t="str">
        <f>IF($E51="","",VLOOKUP($E51,#REF!,4,FALSE))</f>
        <v/>
      </c>
      <c r="Y51"/>
      <c r="Z51"/>
      <c r="AA51"/>
      <c r="AB51"/>
      <c r="AC51"/>
    </row>
    <row r="52" spans="1:29" s="67" customFormat="1" ht="18" customHeight="1">
      <c r="A52" s="60"/>
      <c r="B52" s="61"/>
      <c r="C52" s="21"/>
      <c r="D52" s="275" t="s">
        <v>76</v>
      </c>
      <c r="E52" s="21"/>
      <c r="F52" s="282" t="s">
        <v>76</v>
      </c>
      <c r="G52" s="23"/>
      <c r="H52" s="22"/>
      <c r="I52" s="22"/>
      <c r="J52" s="62" t="str">
        <f t="shared" si="4"/>
        <v/>
      </c>
      <c r="K52" s="63"/>
      <c r="L52" s="63"/>
      <c r="M52" s="64" t="str">
        <f t="shared" si="5"/>
        <v/>
      </c>
      <c r="N52" s="22"/>
      <c r="O52" s="22"/>
      <c r="P52" s="62" t="str">
        <f t="shared" si="6"/>
        <v/>
      </c>
      <c r="Q52" s="63"/>
      <c r="R52" s="63"/>
      <c r="S52" s="64" t="str">
        <f t="shared" si="7"/>
        <v/>
      </c>
      <c r="T52" s="65"/>
      <c r="U52" s="66"/>
      <c r="V52" s="18" t="str">
        <f>IF($C52="","",VLOOKUP($C52,#REF!,4,FALSE))</f>
        <v/>
      </c>
      <c r="W52" s="69" t="str">
        <f>IF($E52="","",VLOOKUP($E52,#REF!,4,FALSE))</f>
        <v/>
      </c>
      <c r="Y52"/>
      <c r="Z52"/>
      <c r="AA52"/>
      <c r="AB52"/>
      <c r="AC52"/>
    </row>
    <row r="53" spans="1:29" s="67" customFormat="1" ht="18" customHeight="1">
      <c r="A53" s="60"/>
      <c r="B53" s="61"/>
      <c r="C53" s="21"/>
      <c r="D53" s="275" t="s">
        <v>76</v>
      </c>
      <c r="E53" s="21"/>
      <c r="F53" s="282" t="s">
        <v>76</v>
      </c>
      <c r="G53" s="23"/>
      <c r="H53" s="22"/>
      <c r="I53" s="22"/>
      <c r="J53" s="62" t="str">
        <f t="shared" si="4"/>
        <v/>
      </c>
      <c r="K53" s="63"/>
      <c r="L53" s="63"/>
      <c r="M53" s="64" t="str">
        <f t="shared" si="5"/>
        <v/>
      </c>
      <c r="N53" s="22"/>
      <c r="O53" s="22"/>
      <c r="P53" s="62" t="str">
        <f t="shared" si="6"/>
        <v/>
      </c>
      <c r="Q53" s="63"/>
      <c r="R53" s="63"/>
      <c r="S53" s="64" t="str">
        <f t="shared" si="7"/>
        <v/>
      </c>
      <c r="T53" s="65"/>
      <c r="U53" s="66"/>
      <c r="V53" s="18" t="str">
        <f>IF($C53="","",VLOOKUP($C53,#REF!,4,FALSE))</f>
        <v/>
      </c>
      <c r="W53" s="69" t="str">
        <f>IF($E53="","",VLOOKUP($E53,#REF!,4,FALSE))</f>
        <v/>
      </c>
      <c r="Y53"/>
      <c r="Z53"/>
      <c r="AA53"/>
      <c r="AB53"/>
      <c r="AC53"/>
    </row>
    <row r="54" spans="1:29" s="67" customFormat="1" ht="18" customHeight="1">
      <c r="A54" s="60"/>
      <c r="B54" s="61"/>
      <c r="C54" s="21"/>
      <c r="D54" s="275" t="s">
        <v>76</v>
      </c>
      <c r="E54" s="21"/>
      <c r="F54" s="282" t="s">
        <v>76</v>
      </c>
      <c r="G54" s="23"/>
      <c r="H54" s="22"/>
      <c r="I54" s="22"/>
      <c r="J54" s="62" t="str">
        <f t="shared" si="4"/>
        <v/>
      </c>
      <c r="K54" s="63"/>
      <c r="L54" s="63"/>
      <c r="M54" s="64" t="str">
        <f t="shared" si="5"/>
        <v/>
      </c>
      <c r="N54" s="22"/>
      <c r="O54" s="22"/>
      <c r="P54" s="62" t="str">
        <f t="shared" si="6"/>
        <v/>
      </c>
      <c r="Q54" s="63"/>
      <c r="R54" s="63"/>
      <c r="S54" s="64" t="str">
        <f t="shared" si="7"/>
        <v/>
      </c>
      <c r="T54" s="65"/>
      <c r="U54" s="66"/>
      <c r="V54" s="18" t="str">
        <f>IF($C54="","",VLOOKUP($C54,#REF!,4,FALSE))</f>
        <v/>
      </c>
      <c r="W54" s="69" t="str">
        <f>IF($E54="","",VLOOKUP($E54,#REF!,4,FALSE))</f>
        <v/>
      </c>
      <c r="Y54"/>
      <c r="Z54"/>
      <c r="AA54"/>
      <c r="AB54"/>
      <c r="AC54"/>
    </row>
    <row r="55" spans="1:29" s="67" customFormat="1" ht="18" customHeight="1">
      <c r="A55" s="60"/>
      <c r="B55" s="61"/>
      <c r="C55" s="21"/>
      <c r="D55" s="275" t="s">
        <v>76</v>
      </c>
      <c r="E55" s="21"/>
      <c r="F55" s="282" t="s">
        <v>76</v>
      </c>
      <c r="G55" s="23"/>
      <c r="H55" s="22"/>
      <c r="I55" s="22"/>
      <c r="J55" s="62" t="str">
        <f t="shared" si="4"/>
        <v/>
      </c>
      <c r="K55" s="63"/>
      <c r="L55" s="63"/>
      <c r="M55" s="64" t="str">
        <f t="shared" si="5"/>
        <v/>
      </c>
      <c r="N55" s="22"/>
      <c r="O55" s="22"/>
      <c r="P55" s="62" t="str">
        <f t="shared" si="6"/>
        <v/>
      </c>
      <c r="Q55" s="63"/>
      <c r="R55" s="63"/>
      <c r="S55" s="64" t="str">
        <f t="shared" si="7"/>
        <v/>
      </c>
      <c r="T55" s="65"/>
      <c r="U55" s="66"/>
      <c r="V55" s="18" t="str">
        <f>IF($C55="","",VLOOKUP($C55,#REF!,4,FALSE))</f>
        <v/>
      </c>
      <c r="W55" s="69" t="str">
        <f>IF($E55="","",VLOOKUP($E55,#REF!,4,FALSE))</f>
        <v/>
      </c>
      <c r="Y55"/>
      <c r="Z55"/>
      <c r="AA55"/>
      <c r="AB55"/>
      <c r="AC55"/>
    </row>
    <row r="56" spans="1:29" s="67" customFormat="1" ht="18" customHeight="1">
      <c r="A56" s="60"/>
      <c r="B56" s="61"/>
      <c r="C56" s="21"/>
      <c r="D56" s="275" t="s">
        <v>76</v>
      </c>
      <c r="E56" s="21"/>
      <c r="F56" s="282" t="s">
        <v>76</v>
      </c>
      <c r="G56" s="23"/>
      <c r="H56" s="22"/>
      <c r="I56" s="22"/>
      <c r="J56" s="62" t="str">
        <f t="shared" si="4"/>
        <v/>
      </c>
      <c r="K56" s="63"/>
      <c r="L56" s="63"/>
      <c r="M56" s="64" t="str">
        <f t="shared" si="5"/>
        <v/>
      </c>
      <c r="N56" s="22"/>
      <c r="O56" s="22"/>
      <c r="P56" s="62" t="str">
        <f t="shared" si="6"/>
        <v/>
      </c>
      <c r="Q56" s="63"/>
      <c r="R56" s="63"/>
      <c r="S56" s="64" t="str">
        <f t="shared" si="7"/>
        <v/>
      </c>
      <c r="T56" s="65"/>
      <c r="U56" s="66"/>
      <c r="V56" s="18" t="str">
        <f>IF($C56="","",VLOOKUP($C56,#REF!,4,FALSE))</f>
        <v/>
      </c>
      <c r="W56" s="69" t="str">
        <f>IF($E56="","",VLOOKUP($E56,#REF!,4,FALSE))</f>
        <v/>
      </c>
      <c r="Y56"/>
      <c r="Z56"/>
      <c r="AA56"/>
      <c r="AB56"/>
      <c r="AC56"/>
    </row>
    <row r="57" spans="1:29" s="67" customFormat="1" ht="18" customHeight="1">
      <c r="A57" s="60"/>
      <c r="B57" s="61"/>
      <c r="C57" s="21"/>
      <c r="D57" s="275" t="s">
        <v>76</v>
      </c>
      <c r="E57" s="21"/>
      <c r="F57" s="282" t="s">
        <v>76</v>
      </c>
      <c r="G57" s="23"/>
      <c r="H57" s="22"/>
      <c r="I57" s="22"/>
      <c r="J57" s="62" t="str">
        <f t="shared" si="4"/>
        <v/>
      </c>
      <c r="K57" s="63"/>
      <c r="L57" s="63"/>
      <c r="M57" s="64" t="str">
        <f t="shared" si="5"/>
        <v/>
      </c>
      <c r="N57" s="22"/>
      <c r="O57" s="22"/>
      <c r="P57" s="62" t="str">
        <f t="shared" si="6"/>
        <v/>
      </c>
      <c r="Q57" s="63"/>
      <c r="R57" s="63"/>
      <c r="S57" s="64" t="str">
        <f t="shared" si="7"/>
        <v/>
      </c>
      <c r="T57" s="65"/>
      <c r="U57" s="66"/>
      <c r="V57" s="18" t="str">
        <f>IF($C57="","",VLOOKUP($C57,#REF!,4,FALSE))</f>
        <v/>
      </c>
      <c r="W57" s="69" t="str">
        <f>IF($E57="","",VLOOKUP($E57,#REF!,4,FALSE))</f>
        <v/>
      </c>
      <c r="Y57"/>
      <c r="Z57"/>
      <c r="AA57"/>
      <c r="AB57"/>
      <c r="AC57"/>
    </row>
    <row r="58" spans="1:29" s="67" customFormat="1" ht="18" customHeight="1">
      <c r="A58" s="60"/>
      <c r="B58" s="61"/>
      <c r="C58" s="21"/>
      <c r="D58" s="275" t="s">
        <v>76</v>
      </c>
      <c r="E58" s="21"/>
      <c r="F58" s="282" t="s">
        <v>76</v>
      </c>
      <c r="G58" s="23"/>
      <c r="H58" s="22"/>
      <c r="I58" s="22"/>
      <c r="J58" s="62" t="str">
        <f t="shared" si="4"/>
        <v/>
      </c>
      <c r="K58" s="63"/>
      <c r="L58" s="63"/>
      <c r="M58" s="64" t="str">
        <f t="shared" si="5"/>
        <v/>
      </c>
      <c r="N58" s="22"/>
      <c r="O58" s="22"/>
      <c r="P58" s="62" t="str">
        <f t="shared" si="6"/>
        <v/>
      </c>
      <c r="Q58" s="63"/>
      <c r="R58" s="63"/>
      <c r="S58" s="64" t="str">
        <f t="shared" si="7"/>
        <v/>
      </c>
      <c r="T58" s="65"/>
      <c r="U58" s="66"/>
      <c r="V58" s="18" t="str">
        <f>IF($C58="","",VLOOKUP($C58,#REF!,4,FALSE))</f>
        <v/>
      </c>
      <c r="W58" s="69" t="str">
        <f>IF($E58="","",VLOOKUP($E58,#REF!,4,FALSE))</f>
        <v/>
      </c>
      <c r="Y58"/>
      <c r="Z58"/>
      <c r="AA58"/>
      <c r="AB58"/>
      <c r="AC58"/>
    </row>
    <row r="59" spans="1:29" s="67" customFormat="1" ht="18" customHeight="1">
      <c r="A59" s="60"/>
      <c r="B59" s="61"/>
      <c r="C59" s="21"/>
      <c r="D59" s="275" t="s">
        <v>76</v>
      </c>
      <c r="E59" s="21"/>
      <c r="F59" s="282" t="s">
        <v>76</v>
      </c>
      <c r="G59" s="23"/>
      <c r="H59" s="22"/>
      <c r="I59" s="22"/>
      <c r="J59" s="62" t="str">
        <f t="shared" si="4"/>
        <v/>
      </c>
      <c r="K59" s="63"/>
      <c r="L59" s="63"/>
      <c r="M59" s="64" t="str">
        <f t="shared" si="5"/>
        <v/>
      </c>
      <c r="N59" s="22"/>
      <c r="O59" s="22"/>
      <c r="P59" s="62" t="str">
        <f t="shared" si="6"/>
        <v/>
      </c>
      <c r="Q59" s="63"/>
      <c r="R59" s="63"/>
      <c r="S59" s="64" t="str">
        <f t="shared" si="7"/>
        <v/>
      </c>
      <c r="T59" s="65"/>
      <c r="U59" s="66"/>
      <c r="V59" s="18" t="str">
        <f>IF($C59="","",VLOOKUP($C59,#REF!,4,FALSE))</f>
        <v/>
      </c>
      <c r="W59" s="69" t="str">
        <f>IF($E59="","",VLOOKUP($E59,#REF!,4,FALSE))</f>
        <v/>
      </c>
      <c r="Y59"/>
      <c r="Z59"/>
      <c r="AA59"/>
      <c r="AB59"/>
      <c r="AC59"/>
    </row>
    <row r="60" spans="1:29" s="67" customFormat="1" ht="18" customHeight="1">
      <c r="A60" s="60"/>
      <c r="B60" s="61"/>
      <c r="C60" s="21"/>
      <c r="D60" s="275" t="s">
        <v>76</v>
      </c>
      <c r="E60" s="21"/>
      <c r="F60" s="282" t="s">
        <v>76</v>
      </c>
      <c r="G60" s="23"/>
      <c r="H60" s="22"/>
      <c r="I60" s="22"/>
      <c r="J60" s="62" t="str">
        <f t="shared" si="4"/>
        <v/>
      </c>
      <c r="K60" s="63"/>
      <c r="L60" s="63"/>
      <c r="M60" s="64" t="str">
        <f t="shared" si="5"/>
        <v/>
      </c>
      <c r="N60" s="22"/>
      <c r="O60" s="22"/>
      <c r="P60" s="62" t="str">
        <f t="shared" si="6"/>
        <v/>
      </c>
      <c r="Q60" s="63"/>
      <c r="R60" s="63"/>
      <c r="S60" s="64" t="str">
        <f t="shared" si="7"/>
        <v/>
      </c>
      <c r="T60" s="65"/>
      <c r="U60" s="66"/>
      <c r="V60" s="18" t="str">
        <f>IF($C60="","",VLOOKUP($C60,#REF!,4,FALSE))</f>
        <v/>
      </c>
      <c r="W60" s="69" t="str">
        <f>IF($E60="","",VLOOKUP($E60,#REF!,4,FALSE))</f>
        <v/>
      </c>
      <c r="Y60"/>
      <c r="Z60"/>
      <c r="AA60"/>
      <c r="AB60"/>
      <c r="AC60"/>
    </row>
    <row r="61" spans="1:29" s="67" customFormat="1" ht="18" customHeight="1">
      <c r="A61" s="60"/>
      <c r="B61" s="61"/>
      <c r="C61" s="21"/>
      <c r="D61" s="275" t="s">
        <v>76</v>
      </c>
      <c r="E61" s="21"/>
      <c r="F61" s="282" t="s">
        <v>76</v>
      </c>
      <c r="G61" s="23"/>
      <c r="H61" s="22"/>
      <c r="I61" s="22"/>
      <c r="J61" s="62" t="str">
        <f t="shared" si="4"/>
        <v/>
      </c>
      <c r="K61" s="63"/>
      <c r="L61" s="63"/>
      <c r="M61" s="64" t="str">
        <f t="shared" si="5"/>
        <v/>
      </c>
      <c r="N61" s="22"/>
      <c r="O61" s="22"/>
      <c r="P61" s="62" t="str">
        <f t="shared" si="6"/>
        <v/>
      </c>
      <c r="Q61" s="63"/>
      <c r="R61" s="63"/>
      <c r="S61" s="64" t="str">
        <f t="shared" si="7"/>
        <v/>
      </c>
      <c r="T61" s="65"/>
      <c r="U61" s="66"/>
      <c r="V61" s="18" t="str">
        <f>IF($C61="","",VLOOKUP($C61,#REF!,4,FALSE))</f>
        <v/>
      </c>
      <c r="W61" s="69" t="str">
        <f>IF($E61="","",VLOOKUP($E61,#REF!,4,FALSE))</f>
        <v/>
      </c>
      <c r="Y61"/>
      <c r="Z61"/>
      <c r="AA61"/>
      <c r="AB61"/>
      <c r="AC61"/>
    </row>
    <row r="62" spans="1:29" s="67" customFormat="1" ht="18" customHeight="1">
      <c r="A62" s="60"/>
      <c r="B62" s="61"/>
      <c r="C62" s="21"/>
      <c r="D62" s="275" t="s">
        <v>76</v>
      </c>
      <c r="E62" s="21"/>
      <c r="F62" s="282" t="s">
        <v>76</v>
      </c>
      <c r="G62" s="23"/>
      <c r="H62" s="22"/>
      <c r="I62" s="22"/>
      <c r="J62" s="62" t="str">
        <f t="shared" si="4"/>
        <v/>
      </c>
      <c r="K62" s="63"/>
      <c r="L62" s="63"/>
      <c r="M62" s="64" t="str">
        <f t="shared" si="5"/>
        <v/>
      </c>
      <c r="N62" s="22"/>
      <c r="O62" s="22"/>
      <c r="P62" s="62" t="str">
        <f t="shared" si="6"/>
        <v/>
      </c>
      <c r="Q62" s="63"/>
      <c r="R62" s="63"/>
      <c r="S62" s="64" t="str">
        <f t="shared" si="7"/>
        <v/>
      </c>
      <c r="T62" s="65"/>
      <c r="U62" s="66"/>
      <c r="V62" s="18" t="str">
        <f>IF($C62="","",VLOOKUP($C62,#REF!,4,FALSE))</f>
        <v/>
      </c>
      <c r="W62" s="69" t="str">
        <f>IF($E62="","",VLOOKUP($E62,#REF!,4,FALSE))</f>
        <v/>
      </c>
      <c r="Y62"/>
      <c r="Z62"/>
      <c r="AA62"/>
      <c r="AB62"/>
      <c r="AC62"/>
    </row>
    <row r="63" spans="1:29" s="67" customFormat="1" ht="18" customHeight="1">
      <c r="A63" s="60"/>
      <c r="B63" s="61"/>
      <c r="C63" s="21"/>
      <c r="D63" s="275" t="s">
        <v>76</v>
      </c>
      <c r="E63" s="21"/>
      <c r="F63" s="282" t="s">
        <v>76</v>
      </c>
      <c r="G63" s="23"/>
      <c r="H63" s="22"/>
      <c r="I63" s="22"/>
      <c r="J63" s="62" t="str">
        <f t="shared" si="4"/>
        <v/>
      </c>
      <c r="K63" s="63"/>
      <c r="L63" s="63"/>
      <c r="M63" s="64" t="str">
        <f t="shared" si="5"/>
        <v/>
      </c>
      <c r="N63" s="22"/>
      <c r="O63" s="22"/>
      <c r="P63" s="62" t="str">
        <f t="shared" si="6"/>
        <v/>
      </c>
      <c r="Q63" s="63"/>
      <c r="R63" s="63"/>
      <c r="S63" s="64" t="str">
        <f t="shared" si="7"/>
        <v/>
      </c>
      <c r="T63" s="65"/>
      <c r="U63" s="66"/>
      <c r="V63" s="18" t="str">
        <f>IF($C63="","",VLOOKUP($C63,#REF!,4,FALSE))</f>
        <v/>
      </c>
      <c r="W63" s="69" t="str">
        <f>IF($E63="","",VLOOKUP($E63,#REF!,4,FALSE))</f>
        <v/>
      </c>
      <c r="Y63"/>
      <c r="Z63"/>
      <c r="AA63"/>
      <c r="AB63"/>
      <c r="AC63"/>
    </row>
    <row r="64" spans="1:29" s="67" customFormat="1" ht="18" customHeight="1">
      <c r="A64" s="60"/>
      <c r="B64" s="61"/>
      <c r="C64" s="21"/>
      <c r="D64" s="275" t="s">
        <v>76</v>
      </c>
      <c r="E64" s="21"/>
      <c r="F64" s="282" t="s">
        <v>76</v>
      </c>
      <c r="G64" s="23"/>
      <c r="H64" s="22"/>
      <c r="I64" s="22"/>
      <c r="J64" s="62" t="str">
        <f t="shared" si="4"/>
        <v/>
      </c>
      <c r="K64" s="63"/>
      <c r="L64" s="63"/>
      <c r="M64" s="64" t="str">
        <f t="shared" si="5"/>
        <v/>
      </c>
      <c r="N64" s="22"/>
      <c r="O64" s="22"/>
      <c r="P64" s="62" t="str">
        <f t="shared" si="6"/>
        <v/>
      </c>
      <c r="Q64" s="63"/>
      <c r="R64" s="63"/>
      <c r="S64" s="64" t="str">
        <f t="shared" si="7"/>
        <v/>
      </c>
      <c r="T64" s="65"/>
      <c r="U64" s="66"/>
      <c r="V64" s="18" t="str">
        <f>IF($C64="","",VLOOKUP($C64,#REF!,4,FALSE))</f>
        <v/>
      </c>
      <c r="W64" s="69" t="str">
        <f>IF($E64="","",VLOOKUP($E64,#REF!,4,FALSE))</f>
        <v/>
      </c>
      <c r="Y64"/>
      <c r="Z64"/>
      <c r="AA64"/>
      <c r="AB64"/>
      <c r="AC64"/>
    </row>
    <row r="65" spans="1:29" s="67" customFormat="1" ht="18" customHeight="1">
      <c r="A65" s="60"/>
      <c r="B65" s="61"/>
      <c r="C65" s="21"/>
      <c r="D65" s="275" t="s">
        <v>76</v>
      </c>
      <c r="E65" s="21"/>
      <c r="F65" s="282" t="s">
        <v>76</v>
      </c>
      <c r="G65" s="23"/>
      <c r="H65" s="22"/>
      <c r="I65" s="22"/>
      <c r="J65" s="62" t="str">
        <f t="shared" si="4"/>
        <v/>
      </c>
      <c r="K65" s="63"/>
      <c r="L65" s="63"/>
      <c r="M65" s="64" t="str">
        <f t="shared" si="5"/>
        <v/>
      </c>
      <c r="N65" s="22"/>
      <c r="O65" s="22"/>
      <c r="P65" s="62" t="str">
        <f t="shared" si="6"/>
        <v/>
      </c>
      <c r="Q65" s="63"/>
      <c r="R65" s="63"/>
      <c r="S65" s="64" t="str">
        <f t="shared" si="7"/>
        <v/>
      </c>
      <c r="T65" s="65"/>
      <c r="U65" s="66"/>
      <c r="V65" s="18" t="str">
        <f>IF($C65="","",VLOOKUP($C65,#REF!,4,FALSE))</f>
        <v/>
      </c>
      <c r="W65" s="69" t="str">
        <f>IF($E65="","",VLOOKUP($E65,#REF!,4,FALSE))</f>
        <v/>
      </c>
      <c r="Y65"/>
      <c r="Z65"/>
      <c r="AA65"/>
      <c r="AB65"/>
      <c r="AC65"/>
    </row>
    <row r="66" spans="1:29" s="67" customFormat="1" ht="18" customHeight="1">
      <c r="A66" s="60"/>
      <c r="B66" s="61"/>
      <c r="C66" s="21"/>
      <c r="D66" s="275" t="s">
        <v>76</v>
      </c>
      <c r="E66" s="21"/>
      <c r="F66" s="282" t="s">
        <v>76</v>
      </c>
      <c r="G66" s="23"/>
      <c r="H66" s="22"/>
      <c r="I66" s="22"/>
      <c r="J66" s="62" t="str">
        <f t="shared" si="4"/>
        <v/>
      </c>
      <c r="K66" s="63"/>
      <c r="L66" s="63"/>
      <c r="M66" s="64" t="str">
        <f t="shared" si="5"/>
        <v/>
      </c>
      <c r="N66" s="22"/>
      <c r="O66" s="22"/>
      <c r="P66" s="62" t="str">
        <f t="shared" si="6"/>
        <v/>
      </c>
      <c r="Q66" s="63"/>
      <c r="R66" s="63"/>
      <c r="S66" s="64" t="str">
        <f t="shared" si="7"/>
        <v/>
      </c>
      <c r="T66" s="65"/>
      <c r="U66" s="66"/>
      <c r="V66" s="18" t="str">
        <f>IF($C66="","",VLOOKUP($C66,#REF!,4,FALSE))</f>
        <v/>
      </c>
      <c r="W66" s="69" t="str">
        <f>IF($E66="","",VLOOKUP($E66,#REF!,4,FALSE))</f>
        <v/>
      </c>
      <c r="Y66"/>
      <c r="Z66"/>
      <c r="AA66"/>
      <c r="AB66"/>
      <c r="AC66"/>
    </row>
    <row r="67" spans="1:29" s="67" customFormat="1" ht="18" customHeight="1">
      <c r="A67" s="60"/>
      <c r="B67" s="61"/>
      <c r="C67" s="21"/>
      <c r="D67" s="275" t="s">
        <v>76</v>
      </c>
      <c r="E67" s="21"/>
      <c r="F67" s="282" t="s">
        <v>76</v>
      </c>
      <c r="G67" s="23"/>
      <c r="H67" s="22"/>
      <c r="I67" s="22"/>
      <c r="J67" s="62" t="str">
        <f t="shared" si="4"/>
        <v/>
      </c>
      <c r="K67" s="63"/>
      <c r="L67" s="63"/>
      <c r="M67" s="64" t="str">
        <f t="shared" si="5"/>
        <v/>
      </c>
      <c r="N67" s="22"/>
      <c r="O67" s="22"/>
      <c r="P67" s="62" t="str">
        <f t="shared" si="6"/>
        <v/>
      </c>
      <c r="Q67" s="63"/>
      <c r="R67" s="63"/>
      <c r="S67" s="64" t="str">
        <f t="shared" si="7"/>
        <v/>
      </c>
      <c r="T67" s="65"/>
      <c r="U67" s="66"/>
      <c r="V67" s="18" t="str">
        <f>IF($C67="","",VLOOKUP($C67,#REF!,4,FALSE))</f>
        <v/>
      </c>
      <c r="W67" s="69" t="str">
        <f>IF($E67="","",VLOOKUP($E67,#REF!,4,FALSE))</f>
        <v/>
      </c>
      <c r="Y67"/>
      <c r="Z67"/>
      <c r="AA67"/>
      <c r="AB67"/>
      <c r="AC67"/>
    </row>
    <row r="68" spans="1:29" s="67" customFormat="1" ht="18" customHeight="1">
      <c r="A68" s="60"/>
      <c r="B68" s="61"/>
      <c r="C68" s="21"/>
      <c r="D68" s="275" t="s">
        <v>76</v>
      </c>
      <c r="E68" s="21"/>
      <c r="F68" s="282" t="s">
        <v>76</v>
      </c>
      <c r="G68" s="23"/>
      <c r="H68" s="22"/>
      <c r="I68" s="22"/>
      <c r="J68" s="62" t="str">
        <f t="shared" si="4"/>
        <v/>
      </c>
      <c r="K68" s="63"/>
      <c r="L68" s="63"/>
      <c r="M68" s="64" t="str">
        <f t="shared" si="5"/>
        <v/>
      </c>
      <c r="N68" s="22"/>
      <c r="O68" s="22"/>
      <c r="P68" s="62" t="str">
        <f t="shared" si="6"/>
        <v/>
      </c>
      <c r="Q68" s="63"/>
      <c r="R68" s="63"/>
      <c r="S68" s="64" t="str">
        <f t="shared" si="7"/>
        <v/>
      </c>
      <c r="T68" s="65"/>
      <c r="U68" s="66"/>
      <c r="V68" s="18" t="str">
        <f>IF($C68="","",VLOOKUP($C68,#REF!,4,FALSE))</f>
        <v/>
      </c>
      <c r="W68" s="69" t="str">
        <f>IF($E68="","",VLOOKUP($E68,#REF!,4,FALSE))</f>
        <v/>
      </c>
      <c r="Y68"/>
      <c r="Z68"/>
      <c r="AA68"/>
      <c r="AB68"/>
      <c r="AC68"/>
    </row>
    <row r="69" spans="1:29" s="67" customFormat="1" ht="18" customHeight="1">
      <c r="A69" s="60"/>
      <c r="B69" s="61"/>
      <c r="C69" s="21"/>
      <c r="D69" s="275" t="s">
        <v>76</v>
      </c>
      <c r="E69" s="21"/>
      <c r="F69" s="282" t="s">
        <v>76</v>
      </c>
      <c r="G69" s="23"/>
      <c r="H69" s="22"/>
      <c r="I69" s="22"/>
      <c r="J69" s="62" t="str">
        <f t="shared" si="4"/>
        <v/>
      </c>
      <c r="K69" s="63"/>
      <c r="L69" s="63"/>
      <c r="M69" s="64" t="str">
        <f t="shared" si="5"/>
        <v/>
      </c>
      <c r="N69" s="22"/>
      <c r="O69" s="22"/>
      <c r="P69" s="62" t="str">
        <f t="shared" si="6"/>
        <v/>
      </c>
      <c r="Q69" s="63"/>
      <c r="R69" s="63"/>
      <c r="S69" s="64" t="str">
        <f t="shared" si="7"/>
        <v/>
      </c>
      <c r="T69" s="65"/>
      <c r="U69" s="66"/>
      <c r="V69" s="18" t="str">
        <f>IF($C69="","",VLOOKUP($C69,#REF!,4,FALSE))</f>
        <v/>
      </c>
      <c r="W69" s="69" t="str">
        <f>IF($E69="","",VLOOKUP($E69,#REF!,4,FALSE))</f>
        <v/>
      </c>
      <c r="Y69"/>
      <c r="Z69"/>
      <c r="AA69"/>
      <c r="AB69"/>
      <c r="AC69"/>
    </row>
    <row r="70" spans="1:29" s="67" customFormat="1" ht="18" customHeight="1">
      <c r="A70" s="60"/>
      <c r="B70" s="61"/>
      <c r="C70" s="21"/>
      <c r="D70" s="275" t="s">
        <v>76</v>
      </c>
      <c r="E70" s="21"/>
      <c r="F70" s="282" t="s">
        <v>76</v>
      </c>
      <c r="G70" s="23"/>
      <c r="H70" s="22"/>
      <c r="I70" s="22"/>
      <c r="J70" s="62" t="str">
        <f t="shared" si="4"/>
        <v/>
      </c>
      <c r="K70" s="63"/>
      <c r="L70" s="63"/>
      <c r="M70" s="64" t="str">
        <f t="shared" si="5"/>
        <v/>
      </c>
      <c r="N70" s="22"/>
      <c r="O70" s="22"/>
      <c r="P70" s="62" t="str">
        <f t="shared" si="6"/>
        <v/>
      </c>
      <c r="Q70" s="63"/>
      <c r="R70" s="63"/>
      <c r="S70" s="64" t="str">
        <f t="shared" si="7"/>
        <v/>
      </c>
      <c r="T70" s="65"/>
      <c r="U70" s="66"/>
      <c r="V70" s="18" t="str">
        <f>IF($C70="","",VLOOKUP($C70,#REF!,4,FALSE))</f>
        <v/>
      </c>
      <c r="W70" s="69" t="str">
        <f>IF($E70="","",VLOOKUP($E70,#REF!,4,FALSE))</f>
        <v/>
      </c>
      <c r="Y70"/>
      <c r="Z70"/>
      <c r="AA70"/>
      <c r="AB70"/>
      <c r="AC70"/>
    </row>
    <row r="71" spans="1:29" s="67" customFormat="1" ht="18" customHeight="1">
      <c r="A71" s="60"/>
      <c r="B71" s="61"/>
      <c r="C71" s="21"/>
      <c r="D71" s="275" t="s">
        <v>76</v>
      </c>
      <c r="E71" s="21"/>
      <c r="F71" s="282" t="s">
        <v>76</v>
      </c>
      <c r="G71" s="23"/>
      <c r="H71" s="22"/>
      <c r="I71" s="22"/>
      <c r="J71" s="62" t="str">
        <f t="shared" si="4"/>
        <v/>
      </c>
      <c r="K71" s="63"/>
      <c r="L71" s="63"/>
      <c r="M71" s="64" t="str">
        <f t="shared" si="5"/>
        <v/>
      </c>
      <c r="N71" s="22"/>
      <c r="O71" s="22"/>
      <c r="P71" s="62" t="str">
        <f t="shared" si="6"/>
        <v/>
      </c>
      <c r="Q71" s="63"/>
      <c r="R71" s="63"/>
      <c r="S71" s="64" t="str">
        <f t="shared" si="7"/>
        <v/>
      </c>
      <c r="T71" s="65"/>
      <c r="U71" s="66"/>
      <c r="V71" s="18" t="str">
        <f>IF($C71="","",VLOOKUP($C71,#REF!,4,FALSE))</f>
        <v/>
      </c>
      <c r="W71" s="69" t="str">
        <f>IF($E71="","",VLOOKUP($E71,#REF!,4,FALSE))</f>
        <v/>
      </c>
      <c r="Y71"/>
      <c r="Z71"/>
      <c r="AA71"/>
      <c r="AB71"/>
      <c r="AC71"/>
    </row>
    <row r="72" spans="1:29" s="67" customFormat="1" ht="18" customHeight="1">
      <c r="A72" s="60"/>
      <c r="B72" s="61"/>
      <c r="C72" s="21"/>
      <c r="D72" s="275" t="s">
        <v>76</v>
      </c>
      <c r="E72" s="21"/>
      <c r="F72" s="282" t="s">
        <v>76</v>
      </c>
      <c r="G72" s="23"/>
      <c r="H72" s="22"/>
      <c r="I72" s="22"/>
      <c r="J72" s="62" t="str">
        <f t="shared" si="4"/>
        <v/>
      </c>
      <c r="K72" s="63"/>
      <c r="L72" s="63"/>
      <c r="M72" s="64" t="str">
        <f t="shared" si="5"/>
        <v/>
      </c>
      <c r="N72" s="22"/>
      <c r="O72" s="22"/>
      <c r="P72" s="62" t="str">
        <f t="shared" si="6"/>
        <v/>
      </c>
      <c r="Q72" s="63"/>
      <c r="R72" s="63"/>
      <c r="S72" s="64" t="str">
        <f t="shared" si="7"/>
        <v/>
      </c>
      <c r="T72" s="65"/>
      <c r="U72" s="66"/>
      <c r="V72" s="18" t="str">
        <f>IF($C72="","",VLOOKUP($C72,#REF!,4,FALSE))</f>
        <v/>
      </c>
      <c r="W72" s="69" t="str">
        <f>IF($E72="","",VLOOKUP($E72,#REF!,4,FALSE))</f>
        <v/>
      </c>
      <c r="Y72"/>
      <c r="Z72"/>
      <c r="AA72"/>
      <c r="AB72"/>
      <c r="AC72"/>
    </row>
    <row r="73" spans="1:29" s="67" customFormat="1" ht="18" customHeight="1">
      <c r="A73" s="60"/>
      <c r="B73" s="61"/>
      <c r="C73" s="21"/>
      <c r="D73" s="275" t="s">
        <v>76</v>
      </c>
      <c r="E73" s="21"/>
      <c r="F73" s="282" t="s">
        <v>76</v>
      </c>
      <c r="G73" s="23"/>
      <c r="H73" s="22"/>
      <c r="I73" s="22"/>
      <c r="J73" s="62" t="str">
        <f t="shared" si="4"/>
        <v/>
      </c>
      <c r="K73" s="63"/>
      <c r="L73" s="63"/>
      <c r="M73" s="64" t="str">
        <f t="shared" si="5"/>
        <v/>
      </c>
      <c r="N73" s="22"/>
      <c r="O73" s="22"/>
      <c r="P73" s="62" t="str">
        <f t="shared" si="6"/>
        <v/>
      </c>
      <c r="Q73" s="63"/>
      <c r="R73" s="63"/>
      <c r="S73" s="64" t="str">
        <f t="shared" si="7"/>
        <v/>
      </c>
      <c r="T73" s="65"/>
      <c r="U73" s="66"/>
      <c r="V73" s="18" t="str">
        <f>IF($C73="","",VLOOKUP($C73,#REF!,4,FALSE))</f>
        <v/>
      </c>
      <c r="W73" s="69" t="str">
        <f>IF($E73="","",VLOOKUP($E73,#REF!,4,FALSE))</f>
        <v/>
      </c>
      <c r="Y73"/>
      <c r="Z73"/>
      <c r="AA73"/>
      <c r="AB73"/>
      <c r="AC73"/>
    </row>
    <row r="126" spans="5:5" ht="18" customHeight="1">
      <c r="E126" s="20" ph="1"/>
    </row>
    <row r="137" spans="5:5" ht="18" customHeight="1">
      <c r="E137" s="20" ph="1"/>
    </row>
    <row r="153" spans="5:5" ht="18" customHeight="1">
      <c r="E153" s="20" ph="1"/>
    </row>
    <row r="154" spans="5:5" ht="18" customHeight="1">
      <c r="E154" s="20" ph="1"/>
    </row>
    <row r="173" spans="5:5" ht="18" customHeight="1">
      <c r="E173" s="20" ph="1"/>
    </row>
    <row r="181" spans="5:5" ht="18" customHeight="1">
      <c r="E181" s="20" ph="1"/>
    </row>
    <row r="182" spans="5:5" ht="18" customHeight="1">
      <c r="E182" s="20" ph="1"/>
    </row>
    <row r="196" spans="5:5" ht="18" customHeight="1">
      <c r="E196" s="20" ph="1"/>
    </row>
    <row r="198" spans="5:5" ht="18" customHeight="1">
      <c r="E198" s="20" ph="1"/>
    </row>
    <row r="199" spans="5:5" ht="18" customHeight="1">
      <c r="E199" s="20" ph="1"/>
    </row>
    <row r="200" spans="5:5" ht="18" customHeight="1">
      <c r="E200" s="20" ph="1"/>
    </row>
    <row r="201" spans="5:5" ht="18" customHeight="1">
      <c r="E201" s="20" ph="1"/>
    </row>
  </sheetData>
  <autoFilter ref="A13:AD13" xr:uid="{00000000-0001-0000-1500-000000000000}">
    <sortState xmlns:xlrd2="http://schemas.microsoft.com/office/spreadsheetml/2017/richdata2" ref="A14:AD73">
      <sortCondition ref="B13"/>
    </sortState>
  </autoFilter>
  <sortState xmlns:xlrd2="http://schemas.microsoft.com/office/spreadsheetml/2017/richdata2" ref="A14:AD15">
    <sortCondition ref="B14:B15"/>
  </sortState>
  <phoneticPr fontId="10"/>
  <conditionalFormatting sqref="V14:V73">
    <cfRule type="cellIs" dxfId="3" priority="4" stopIfTrue="1" operator="notBetween">
      <formula>"A"</formula>
      <formula>"Ｂ"</formula>
    </cfRule>
  </conditionalFormatting>
  <conditionalFormatting sqref="W14:W73">
    <cfRule type="cellIs" dxfId="2" priority="3" stopIfTrue="1" operator="between">
      <formula>"-"</formula>
      <formula>"申請中"</formula>
    </cfRule>
  </conditionalFormatting>
  <conditionalFormatting sqref="Y14:Z73">
    <cfRule type="expression" dxfId="1" priority="2">
      <formula>Y14&lt;&gt;C14</formula>
    </cfRule>
  </conditionalFormatting>
  <conditionalFormatting sqref="AB14:AC73">
    <cfRule type="expression" dxfId="0" priority="1">
      <formula>AB14&lt;&gt;E14</formula>
    </cfRule>
  </conditionalFormatting>
  <printOptions horizontalCentered="1"/>
  <pageMargins left="0.19685039370078741" right="0.19685039370078741" top="0.6692913385826772" bottom="0.6692913385826772" header="0.39370078740157483" footer="0"/>
  <pageSetup paperSize="9" scale="79" orientation="landscape" r:id="rId1"/>
  <headerFooter alignWithMargins="0">
    <oddHeader>&amp;C&amp;P/&amp;N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GetJEFInfo">
                <anchor moveWithCells="1" sizeWithCells="1">
                  <from>
                    <xdr:col>23</xdr:col>
                    <xdr:colOff>381000</xdr:colOff>
                    <xdr:row>8</xdr:row>
                    <xdr:rowOff>22860</xdr:rowOff>
                  </from>
                  <to>
                    <xdr:col>25</xdr:col>
                    <xdr:colOff>601980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30</vt:i4>
      </vt:variant>
      <vt:variant>
        <vt:lpstr>名前付き一覧</vt:lpstr>
      </vt:variant>
      <vt:variant>
        <vt:i4>40</vt:i4>
      </vt:variant>
    </vt:vector>
  </HeadingPairs>
  <TitlesOfParts>
    <vt:vector size="70" baseType="lpstr">
      <vt:lpstr>11.1</vt:lpstr>
      <vt:lpstr>11_V70</vt:lpstr>
      <vt:lpstr>12.1</vt:lpstr>
      <vt:lpstr>12_V80</vt:lpstr>
      <vt:lpstr>13.1</vt:lpstr>
      <vt:lpstr>13_LB</vt:lpstr>
      <vt:lpstr>14.1</vt:lpstr>
      <vt:lpstr>14_LA</vt:lpstr>
      <vt:lpstr>15.1</vt:lpstr>
      <vt:lpstr>15_中D</vt:lpstr>
      <vt:lpstr>16.1</vt:lpstr>
      <vt:lpstr>16_MD</vt:lpstr>
      <vt:lpstr>17.1</vt:lpstr>
      <vt:lpstr>17_中C</vt:lpstr>
      <vt:lpstr>18.1</vt:lpstr>
      <vt:lpstr>18_MＣ</vt:lpstr>
      <vt:lpstr>19.1</vt:lpstr>
      <vt:lpstr>19_中Ｂ</vt:lpstr>
      <vt:lpstr>20.1</vt:lpstr>
      <vt:lpstr>20_中Ａ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'11.1'!Print_Area</vt:lpstr>
      <vt:lpstr>'11_V70'!Print_Area</vt:lpstr>
      <vt:lpstr>'12.1'!Print_Area</vt:lpstr>
      <vt:lpstr>'12_V80'!Print_Area</vt:lpstr>
      <vt:lpstr>'13.1'!Print_Area</vt:lpstr>
      <vt:lpstr>'13_LB'!Print_Area</vt:lpstr>
      <vt:lpstr>'14.1'!Print_Area</vt:lpstr>
      <vt:lpstr>'14_LA'!Print_Area</vt:lpstr>
      <vt:lpstr>'15.1'!Print_Area</vt:lpstr>
      <vt:lpstr>'15_中D'!Print_Area</vt:lpstr>
      <vt:lpstr>'16.1'!Print_Area</vt:lpstr>
      <vt:lpstr>'16_MD'!Print_Area</vt:lpstr>
      <vt:lpstr>'17.1'!Print_Area</vt:lpstr>
      <vt:lpstr>'17_中C'!Print_Area</vt:lpstr>
      <vt:lpstr>'18.1'!Print_Area</vt:lpstr>
      <vt:lpstr>'18_MＣ'!Print_Area</vt:lpstr>
      <vt:lpstr>'19.1'!Print_Area</vt:lpstr>
      <vt:lpstr>'19_中Ｂ'!Print_Area</vt:lpstr>
      <vt:lpstr>'20.1'!Print_Area</vt:lpstr>
      <vt:lpstr>'20_中Ａ'!Print_Area</vt:lpstr>
      <vt:lpstr>'11'!Print_Titles</vt:lpstr>
      <vt:lpstr>'11_V70'!Print_Titles</vt:lpstr>
      <vt:lpstr>'12'!Print_Titles</vt:lpstr>
      <vt:lpstr>'12_V80'!Print_Titles</vt:lpstr>
      <vt:lpstr>'13'!Print_Titles</vt:lpstr>
      <vt:lpstr>'13_LB'!Print_Titles</vt:lpstr>
      <vt:lpstr>'14'!Print_Titles</vt:lpstr>
      <vt:lpstr>'14_LA'!Print_Titles</vt:lpstr>
      <vt:lpstr>'15'!Print_Titles</vt:lpstr>
      <vt:lpstr>'15_中D'!Print_Titles</vt:lpstr>
      <vt:lpstr>'16'!Print_Titles</vt:lpstr>
      <vt:lpstr>'16_MD'!Print_Titles</vt:lpstr>
      <vt:lpstr>'17'!Print_Titles</vt:lpstr>
      <vt:lpstr>'17_中C'!Print_Titles</vt:lpstr>
      <vt:lpstr>'18'!Print_Titles</vt:lpstr>
      <vt:lpstr>'18_MＣ'!Print_Titles</vt:lpstr>
      <vt:lpstr>'19'!Print_Titles</vt:lpstr>
      <vt:lpstr>'19_中Ｂ'!Print_Titles</vt:lpstr>
      <vt:lpstr>'20'!Print_Titles</vt:lpstr>
      <vt:lpstr>'20_中Ａ'!Print_Titles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Yukifumi TANAKA@JEF</dc:creator>
  <cp:lastModifiedBy>大輔 川口</cp:lastModifiedBy>
  <cp:lastPrinted>2026-09-11T08:36:15Z</cp:lastPrinted>
  <dcterms:created xsi:type="dcterms:W3CDTF">2014-02-05T04:04:40Z</dcterms:created>
  <dcterms:modified xsi:type="dcterms:W3CDTF">2026-09-11T09:08:00Z</dcterms:modified>
</cp:coreProperties>
</file>