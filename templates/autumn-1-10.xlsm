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4.254\Alrit共有\試合\2026年\26autumn\出番\"/>
    </mc:Choice>
  </mc:AlternateContent>
  <xr:revisionPtr revIDLastSave="0" documentId="13_ncr:1_{6E020ECE-A91C-4CD6-9908-1103F72399C9}" xr6:coauthVersionLast="47" xr6:coauthVersionMax="47" xr10:uidLastSave="{00000000-0000-0000-0000-000000000000}"/>
  <bookViews>
    <workbookView xWindow="-108" yWindow="-108" windowWidth="23256" windowHeight="12456" tabRatio="854" firstSheet="1" activeTab="24" xr2:uid="{00000000-000D-0000-FFFF-FFFF00000000}"/>
  </bookViews>
  <sheets>
    <sheet name="1.1" sheetId="62" state="hidden" r:id="rId1"/>
    <sheet name="1-70" sheetId="27" r:id="rId2"/>
    <sheet name="2.1" sheetId="63" state="hidden" r:id="rId3"/>
    <sheet name="2-80" sheetId="21" r:id="rId4"/>
    <sheet name="3.1" sheetId="64" state="hidden" r:id="rId5"/>
    <sheet name="3-90" sheetId="31" r:id="rId6"/>
    <sheet name="4.1" sheetId="65" state="hidden" r:id="rId7"/>
    <sheet name="4-100" sheetId="44" r:id="rId8"/>
    <sheet name="5.1" sheetId="66" state="hidden" r:id="rId9"/>
    <sheet name="5_中D" sheetId="42" r:id="rId10"/>
    <sheet name="6.1" sheetId="67" state="hidden" r:id="rId11"/>
    <sheet name="6_MD" sheetId="58" r:id="rId12"/>
    <sheet name="7.1" sheetId="68" state="hidden" r:id="rId13"/>
    <sheet name="7_中Ｃ" sheetId="46" r:id="rId14"/>
    <sheet name="8.1" sheetId="69" state="hidden" r:id="rId15"/>
    <sheet name="8_MC" sheetId="55" r:id="rId16"/>
    <sheet name="9.1" sheetId="70" state="hidden" r:id="rId17"/>
    <sheet name="9_中B" sheetId="56" r:id="rId18"/>
    <sheet name="10.1" sheetId="71" state="hidden" r:id="rId19"/>
    <sheet name="10_中A" sheetId="60" r:id="rId20"/>
    <sheet name="1" sheetId="28" r:id="rId21"/>
    <sheet name="2" sheetId="36" r:id="rId22"/>
    <sheet name="3" sheetId="32" r:id="rId23"/>
    <sheet name="4" sheetId="51" r:id="rId24"/>
    <sheet name="5" sheetId="37" r:id="rId25"/>
    <sheet name="6" sheetId="57" r:id="rId26"/>
    <sheet name="7" sheetId="39" r:id="rId27"/>
    <sheet name="8" sheetId="53" r:id="rId28"/>
    <sheet name="9" sheetId="54" r:id="rId29"/>
    <sheet name="10" sheetId="59" r:id="rId30"/>
  </sheets>
  <definedNames>
    <definedName name="_xlnm._FilterDatabase" localSheetId="20" hidden="1">'1'!$A$13:$AC$13</definedName>
    <definedName name="_xlnm._FilterDatabase" localSheetId="29" hidden="1">'10'!$A$13:$T$13</definedName>
    <definedName name="_xlnm._FilterDatabase" localSheetId="21" hidden="1">'2'!$A$13:$AD$13</definedName>
    <definedName name="_xlnm._FilterDatabase" localSheetId="22" hidden="1">'3'!$A$13:$W$13</definedName>
    <definedName name="_xlnm._FilterDatabase" localSheetId="23" hidden="1">'4'!$A$13:$AD$13</definedName>
    <definedName name="_xlnm._FilterDatabase" localSheetId="24" hidden="1">'5'!$A$13:$W$13</definedName>
    <definedName name="_xlnm._FilterDatabase" localSheetId="25" hidden="1">'6'!$A$13:$W$13</definedName>
    <definedName name="_xlnm._FilterDatabase" localSheetId="26" hidden="1">'7'!$A$13:$W$13</definedName>
    <definedName name="_xlnm._FilterDatabase" localSheetId="27" hidden="1">'8'!$A$13:$T$13</definedName>
    <definedName name="_xlnm._FilterDatabase" localSheetId="28" hidden="1">'9'!$A$13:$W$13</definedName>
    <definedName name="_xlnm.Print_Area" localSheetId="19">'10_中A'!$A$1:$G$14</definedName>
    <definedName name="_xlnm.Print_Area" localSheetId="1">'1-70'!$A$1:$G$43</definedName>
    <definedName name="_xlnm.Print_Area" localSheetId="3">'2-80'!$A$6:$G$43</definedName>
    <definedName name="_xlnm.Print_Area" localSheetId="5">'3-90'!$A$1:$G$43</definedName>
    <definedName name="_xlnm.Print_Area" localSheetId="7">'4-100'!$A$1:$G$43</definedName>
    <definedName name="_xlnm.Print_Area" localSheetId="9">'5_中D'!$A$6:$G$43</definedName>
    <definedName name="_xlnm.Print_Area" localSheetId="11">'6_MD'!$A$1:$G$43</definedName>
    <definedName name="_xlnm.Print_Area" localSheetId="13">'7_中Ｃ'!$A$1:$G$25</definedName>
    <definedName name="_xlnm.Print_Area" localSheetId="15">'8_MC'!$A$1:$G$43</definedName>
    <definedName name="_xlnm.Print_Area" localSheetId="17">'9_中B'!$A$6:$G$31</definedName>
    <definedName name="_xlnm.Print_Titles" localSheetId="20">'1'!$1:$13</definedName>
    <definedName name="_xlnm.Print_Titles" localSheetId="29">'10'!$1:$13</definedName>
    <definedName name="_xlnm.Print_Titles" localSheetId="19">'10_中A'!$6:$13</definedName>
    <definedName name="_xlnm.Print_Titles" localSheetId="1">'1-70'!$6:$13</definedName>
    <definedName name="_xlnm.Print_Titles" localSheetId="21">'2'!$1:$13</definedName>
    <definedName name="_xlnm.Print_Titles" localSheetId="3">'2-80'!$6:$13</definedName>
    <definedName name="_xlnm.Print_Titles" localSheetId="22">'3'!$1:$13</definedName>
    <definedName name="_xlnm.Print_Titles" localSheetId="5">'3-90'!$6:$13</definedName>
    <definedName name="_xlnm.Print_Titles" localSheetId="23">'4'!$1:$13</definedName>
    <definedName name="_xlnm.Print_Titles" localSheetId="7">'4-100'!$6:$13</definedName>
    <definedName name="_xlnm.Print_Titles" localSheetId="24">'5'!$1:$13</definedName>
    <definedName name="_xlnm.Print_Titles" localSheetId="9">'5_中D'!$6:$13</definedName>
    <definedName name="_xlnm.Print_Titles" localSheetId="25">'6'!$1:$13</definedName>
    <definedName name="_xlnm.Print_Titles" localSheetId="11">'6_MD'!$6:$13</definedName>
    <definedName name="_xlnm.Print_Titles" localSheetId="26">'7'!$1:$13</definedName>
    <definedName name="_xlnm.Print_Titles" localSheetId="13">'7_中Ｃ'!$6:$13</definedName>
    <definedName name="_xlnm.Print_Titles" localSheetId="27">'8'!$1:$13</definedName>
    <definedName name="_xlnm.Print_Titles" localSheetId="15">'8_MC'!$6:$13</definedName>
    <definedName name="_xlnm.Print_Titles" localSheetId="28">'9'!$1:$13</definedName>
    <definedName name="_xlnm.Print_Titles" localSheetId="17">'9_中B'!$6:$13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56" l="1"/>
  <c r="B15" i="56"/>
  <c r="C15" i="56"/>
  <c r="D15" i="56"/>
  <c r="E15" i="56"/>
  <c r="F15" i="56"/>
  <c r="G15" i="56"/>
  <c r="A16" i="56"/>
  <c r="B16" i="56"/>
  <c r="C16" i="56"/>
  <c r="D16" i="56"/>
  <c r="E16" i="56"/>
  <c r="F16" i="56"/>
  <c r="G16" i="56"/>
  <c r="A17" i="56"/>
  <c r="B17" i="56"/>
  <c r="C17" i="56"/>
  <c r="D17" i="56"/>
  <c r="E17" i="56"/>
  <c r="F17" i="56"/>
  <c r="G17" i="56"/>
  <c r="A18" i="56"/>
  <c r="B18" i="56"/>
  <c r="C18" i="56"/>
  <c r="D18" i="56"/>
  <c r="E18" i="56"/>
  <c r="F18" i="56"/>
  <c r="G18" i="56"/>
  <c r="A19" i="56"/>
  <c r="B19" i="56"/>
  <c r="C19" i="56"/>
  <c r="D19" i="56"/>
  <c r="E19" i="56"/>
  <c r="F19" i="56"/>
  <c r="G19" i="56"/>
  <c r="A20" i="56"/>
  <c r="B20" i="56"/>
  <c r="C20" i="56"/>
  <c r="D20" i="56"/>
  <c r="E20" i="56"/>
  <c r="F20" i="56"/>
  <c r="G20" i="56"/>
  <c r="A21" i="56"/>
  <c r="B21" i="56"/>
  <c r="C21" i="56"/>
  <c r="D21" i="56"/>
  <c r="E21" i="56"/>
  <c r="F21" i="56"/>
  <c r="G21" i="56"/>
  <c r="A22" i="56"/>
  <c r="B22" i="56"/>
  <c r="C22" i="56"/>
  <c r="D22" i="56"/>
  <c r="E22" i="56"/>
  <c r="F22" i="56"/>
  <c r="G22" i="56"/>
  <c r="A23" i="56"/>
  <c r="B23" i="56"/>
  <c r="C23" i="56"/>
  <c r="D23" i="56"/>
  <c r="E23" i="56"/>
  <c r="F23" i="56"/>
  <c r="G23" i="56"/>
  <c r="A24" i="56"/>
  <c r="B24" i="56"/>
  <c r="C24" i="56"/>
  <c r="D24" i="56"/>
  <c r="E24" i="56"/>
  <c r="F24" i="56"/>
  <c r="G24" i="56"/>
  <c r="A25" i="56"/>
  <c r="B25" i="56"/>
  <c r="C25" i="56"/>
  <c r="D25" i="56"/>
  <c r="E25" i="56"/>
  <c r="F25" i="56"/>
  <c r="G25" i="56"/>
  <c r="A26" i="56"/>
  <c r="B26" i="56"/>
  <c r="C26" i="56"/>
  <c r="D26" i="56"/>
  <c r="E26" i="56"/>
  <c r="F26" i="56"/>
  <c r="G26" i="56"/>
  <c r="A27" i="56"/>
  <c r="B27" i="56"/>
  <c r="C27" i="56"/>
  <c r="D27" i="56"/>
  <c r="E27" i="56"/>
  <c r="F27" i="56"/>
  <c r="G27" i="56"/>
  <c r="A28" i="56"/>
  <c r="B28" i="56"/>
  <c r="C28" i="56"/>
  <c r="D28" i="56"/>
  <c r="E28" i="56"/>
  <c r="F28" i="56"/>
  <c r="G28" i="56"/>
  <c r="A29" i="56"/>
  <c r="B29" i="56"/>
  <c r="C29" i="56"/>
  <c r="D29" i="56"/>
  <c r="E29" i="56"/>
  <c r="F29" i="56"/>
  <c r="G29" i="56"/>
  <c r="A30" i="56"/>
  <c r="B30" i="56"/>
  <c r="C30" i="56"/>
  <c r="D30" i="56"/>
  <c r="E30" i="56"/>
  <c r="F30" i="56"/>
  <c r="G30" i="56"/>
  <c r="A31" i="56"/>
  <c r="B31" i="56"/>
  <c r="C31" i="56"/>
  <c r="D31" i="56"/>
  <c r="E31" i="56"/>
  <c r="F31" i="56"/>
  <c r="G31" i="56"/>
  <c r="A32" i="56"/>
  <c r="B32" i="56"/>
  <c r="C32" i="56"/>
  <c r="D32" i="56"/>
  <c r="E32" i="56"/>
  <c r="F32" i="56"/>
  <c r="G32" i="56"/>
  <c r="A33" i="56"/>
  <c r="B33" i="56"/>
  <c r="C33" i="56"/>
  <c r="D33" i="56"/>
  <c r="E33" i="56"/>
  <c r="F33" i="56"/>
  <c r="G33" i="56"/>
  <c r="A34" i="56"/>
  <c r="B34" i="56"/>
  <c r="C34" i="56"/>
  <c r="D34" i="56"/>
  <c r="E34" i="56"/>
  <c r="F34" i="56"/>
  <c r="G34" i="56"/>
  <c r="A35" i="56"/>
  <c r="B35" i="56"/>
  <c r="C35" i="56"/>
  <c r="D35" i="56"/>
  <c r="E35" i="56"/>
  <c r="F35" i="56"/>
  <c r="G35" i="56"/>
  <c r="A36" i="56"/>
  <c r="B36" i="56"/>
  <c r="C36" i="56"/>
  <c r="D36" i="56"/>
  <c r="E36" i="56"/>
  <c r="F36" i="56"/>
  <c r="G36" i="56"/>
  <c r="A37" i="56"/>
  <c r="B37" i="56"/>
  <c r="C37" i="56"/>
  <c r="D37" i="56"/>
  <c r="E37" i="56"/>
  <c r="F37" i="56"/>
  <c r="G37" i="56"/>
  <c r="A38" i="56"/>
  <c r="B38" i="56"/>
  <c r="C38" i="56"/>
  <c r="D38" i="56"/>
  <c r="E38" i="56"/>
  <c r="F38" i="56"/>
  <c r="G38" i="56"/>
  <c r="A39" i="56"/>
  <c r="B39" i="56"/>
  <c r="C39" i="56"/>
  <c r="D39" i="56"/>
  <c r="E39" i="56"/>
  <c r="F39" i="56"/>
  <c r="G39" i="56"/>
  <c r="A40" i="56"/>
  <c r="B40" i="56"/>
  <c r="C40" i="56"/>
  <c r="D40" i="56"/>
  <c r="E40" i="56"/>
  <c r="F40" i="56"/>
  <c r="G40" i="56"/>
  <c r="A41" i="56"/>
  <c r="B41" i="56"/>
  <c r="C41" i="56"/>
  <c r="D41" i="56"/>
  <c r="E41" i="56"/>
  <c r="F41" i="56"/>
  <c r="G41" i="56"/>
  <c r="A42" i="56"/>
  <c r="B42" i="56"/>
  <c r="C42" i="56"/>
  <c r="D42" i="56"/>
  <c r="E42" i="56"/>
  <c r="F42" i="56"/>
  <c r="G42" i="56"/>
  <c r="A43" i="56"/>
  <c r="B43" i="56"/>
  <c r="C43" i="56"/>
  <c r="D43" i="56"/>
  <c r="E43" i="56"/>
  <c r="F43" i="56"/>
  <c r="G43" i="56"/>
  <c r="A44" i="56"/>
  <c r="B44" i="56"/>
  <c r="C44" i="56"/>
  <c r="D44" i="56"/>
  <c r="E44" i="56"/>
  <c r="F44" i="56"/>
  <c r="G44" i="56"/>
  <c r="A45" i="56"/>
  <c r="B45" i="56"/>
  <c r="C45" i="56"/>
  <c r="D45" i="56"/>
  <c r="E45" i="56"/>
  <c r="F45" i="56"/>
  <c r="G45" i="56"/>
  <c r="A46" i="56"/>
  <c r="B46" i="56"/>
  <c r="C46" i="56"/>
  <c r="D46" i="56"/>
  <c r="E46" i="56"/>
  <c r="F46" i="56"/>
  <c r="G46" i="56"/>
  <c r="A47" i="56"/>
  <c r="B47" i="56"/>
  <c r="C47" i="56"/>
  <c r="D47" i="56"/>
  <c r="E47" i="56"/>
  <c r="F47" i="56"/>
  <c r="G47" i="56"/>
  <c r="A48" i="56"/>
  <c r="B48" i="56"/>
  <c r="C48" i="56"/>
  <c r="D48" i="56"/>
  <c r="E48" i="56"/>
  <c r="F48" i="56"/>
  <c r="G48" i="56"/>
  <c r="A49" i="56"/>
  <c r="B49" i="56"/>
  <c r="C49" i="56"/>
  <c r="D49" i="56"/>
  <c r="E49" i="56"/>
  <c r="F49" i="56"/>
  <c r="G49" i="56"/>
  <c r="A50" i="56"/>
  <c r="B50" i="56"/>
  <c r="C50" i="56"/>
  <c r="D50" i="56"/>
  <c r="E50" i="56"/>
  <c r="F50" i="56"/>
  <c r="G50" i="56"/>
  <c r="A51" i="56"/>
  <c r="B51" i="56"/>
  <c r="C51" i="56"/>
  <c r="D51" i="56"/>
  <c r="E51" i="56"/>
  <c r="F51" i="56"/>
  <c r="G51" i="56"/>
  <c r="A52" i="56"/>
  <c r="B52" i="56"/>
  <c r="C52" i="56"/>
  <c r="D52" i="56"/>
  <c r="E52" i="56"/>
  <c r="F52" i="56"/>
  <c r="G52" i="56"/>
  <c r="A53" i="56"/>
  <c r="B53" i="56"/>
  <c r="C53" i="56"/>
  <c r="D53" i="56"/>
  <c r="E53" i="56"/>
  <c r="F53" i="56"/>
  <c r="G53" i="56"/>
  <c r="A54" i="56"/>
  <c r="B54" i="56"/>
  <c r="C54" i="56"/>
  <c r="D54" i="56"/>
  <c r="E54" i="56"/>
  <c r="F54" i="56"/>
  <c r="G54" i="56"/>
  <c r="A55" i="56"/>
  <c r="B55" i="56"/>
  <c r="C55" i="56"/>
  <c r="D55" i="56"/>
  <c r="E55" i="56"/>
  <c r="F55" i="56"/>
  <c r="G55" i="56"/>
  <c r="A56" i="56"/>
  <c r="B56" i="56"/>
  <c r="C56" i="56"/>
  <c r="D56" i="56"/>
  <c r="E56" i="56"/>
  <c r="F56" i="56"/>
  <c r="G56" i="56"/>
  <c r="A57" i="56"/>
  <c r="B57" i="56"/>
  <c r="C57" i="56"/>
  <c r="D57" i="56"/>
  <c r="E57" i="56"/>
  <c r="F57" i="56"/>
  <c r="G57" i="56"/>
  <c r="A58" i="56"/>
  <c r="B58" i="56"/>
  <c r="C58" i="56"/>
  <c r="D58" i="56"/>
  <c r="E58" i="56"/>
  <c r="F58" i="56"/>
  <c r="G58" i="56"/>
  <c r="A59" i="56"/>
  <c r="B59" i="56"/>
  <c r="C59" i="56"/>
  <c r="D59" i="56"/>
  <c r="E59" i="56"/>
  <c r="F59" i="56"/>
  <c r="G59" i="56"/>
  <c r="A60" i="56"/>
  <c r="B60" i="56"/>
  <c r="C60" i="56"/>
  <c r="D60" i="56"/>
  <c r="E60" i="56"/>
  <c r="F60" i="56"/>
  <c r="G60" i="56"/>
  <c r="A61" i="56"/>
  <c r="B61" i="56"/>
  <c r="C61" i="56"/>
  <c r="D61" i="56"/>
  <c r="E61" i="56"/>
  <c r="F61" i="56"/>
  <c r="G61" i="56"/>
  <c r="A62" i="56"/>
  <c r="B62" i="56"/>
  <c r="C62" i="56"/>
  <c r="D62" i="56"/>
  <c r="E62" i="56"/>
  <c r="F62" i="56"/>
  <c r="G62" i="56"/>
  <c r="A15" i="60" l="1"/>
  <c r="B15" i="60"/>
  <c r="C15" i="60"/>
  <c r="D15" i="60"/>
  <c r="E15" i="60"/>
  <c r="F15" i="60"/>
  <c r="G15" i="60"/>
  <c r="A16" i="60"/>
  <c r="B16" i="60"/>
  <c r="C16" i="60"/>
  <c r="D16" i="60"/>
  <c r="E16" i="60"/>
  <c r="F16" i="60"/>
  <c r="G16" i="60"/>
  <c r="A17" i="60"/>
  <c r="B17" i="60"/>
  <c r="C17" i="60"/>
  <c r="D17" i="60"/>
  <c r="E17" i="60"/>
  <c r="F17" i="60"/>
  <c r="G17" i="60"/>
  <c r="A18" i="60"/>
  <c r="B18" i="60"/>
  <c r="C18" i="60"/>
  <c r="D18" i="60"/>
  <c r="E18" i="60"/>
  <c r="F18" i="60"/>
  <c r="G18" i="60"/>
  <c r="A19" i="60"/>
  <c r="B19" i="60"/>
  <c r="C19" i="60"/>
  <c r="D19" i="60"/>
  <c r="E19" i="60"/>
  <c r="F19" i="60"/>
  <c r="G19" i="60"/>
  <c r="A20" i="60"/>
  <c r="B20" i="60"/>
  <c r="C20" i="60"/>
  <c r="D20" i="60"/>
  <c r="E20" i="60"/>
  <c r="F20" i="60"/>
  <c r="G20" i="60"/>
  <c r="A21" i="60"/>
  <c r="B21" i="60"/>
  <c r="C21" i="60"/>
  <c r="D21" i="60"/>
  <c r="E21" i="60"/>
  <c r="F21" i="60"/>
  <c r="G21" i="60"/>
  <c r="A22" i="60"/>
  <c r="B22" i="60"/>
  <c r="C22" i="60"/>
  <c r="D22" i="60"/>
  <c r="E22" i="60"/>
  <c r="F22" i="60"/>
  <c r="G22" i="60"/>
  <c r="A23" i="60"/>
  <c r="B23" i="60"/>
  <c r="C23" i="60"/>
  <c r="D23" i="60"/>
  <c r="E23" i="60"/>
  <c r="F23" i="60"/>
  <c r="G23" i="60"/>
  <c r="A24" i="60"/>
  <c r="B24" i="60"/>
  <c r="C24" i="60"/>
  <c r="D24" i="60"/>
  <c r="E24" i="60"/>
  <c r="F24" i="60"/>
  <c r="G24" i="60"/>
  <c r="A25" i="60"/>
  <c r="B25" i="60"/>
  <c r="C25" i="60"/>
  <c r="D25" i="60"/>
  <c r="E25" i="60"/>
  <c r="F25" i="60"/>
  <c r="G25" i="60"/>
  <c r="A26" i="60"/>
  <c r="B26" i="60"/>
  <c r="C26" i="60"/>
  <c r="D26" i="60"/>
  <c r="E26" i="60"/>
  <c r="F26" i="60"/>
  <c r="G26" i="60"/>
  <c r="A27" i="60"/>
  <c r="B27" i="60"/>
  <c r="C27" i="60"/>
  <c r="D27" i="60"/>
  <c r="E27" i="60"/>
  <c r="F27" i="60"/>
  <c r="G27" i="60"/>
  <c r="A28" i="60"/>
  <c r="B28" i="60"/>
  <c r="C28" i="60"/>
  <c r="D28" i="60"/>
  <c r="E28" i="60"/>
  <c r="F28" i="60"/>
  <c r="G28" i="60"/>
  <c r="A29" i="60"/>
  <c r="B29" i="60"/>
  <c r="C29" i="60"/>
  <c r="D29" i="60"/>
  <c r="E29" i="60"/>
  <c r="F29" i="60"/>
  <c r="G29" i="60"/>
  <c r="A30" i="60"/>
  <c r="B30" i="60"/>
  <c r="C30" i="60"/>
  <c r="D30" i="60"/>
  <c r="E30" i="60"/>
  <c r="F30" i="60"/>
  <c r="G30" i="60"/>
  <c r="A31" i="60"/>
  <c r="B31" i="60"/>
  <c r="C31" i="60"/>
  <c r="D31" i="60"/>
  <c r="E31" i="60"/>
  <c r="F31" i="60"/>
  <c r="G31" i="60"/>
  <c r="A32" i="60"/>
  <c r="B32" i="60"/>
  <c r="C32" i="60"/>
  <c r="D32" i="60"/>
  <c r="E32" i="60"/>
  <c r="F32" i="60"/>
  <c r="G32" i="60"/>
  <c r="A33" i="60"/>
  <c r="B33" i="60"/>
  <c r="C33" i="60"/>
  <c r="D33" i="60"/>
  <c r="E33" i="60"/>
  <c r="F33" i="60"/>
  <c r="G33" i="60"/>
  <c r="A34" i="60"/>
  <c r="B34" i="60"/>
  <c r="C34" i="60"/>
  <c r="D34" i="60"/>
  <c r="E34" i="60"/>
  <c r="F34" i="60"/>
  <c r="G34" i="60"/>
  <c r="A35" i="60"/>
  <c r="B35" i="60"/>
  <c r="C35" i="60"/>
  <c r="D35" i="60"/>
  <c r="E35" i="60"/>
  <c r="F35" i="60"/>
  <c r="G35" i="60"/>
  <c r="A36" i="60"/>
  <c r="B36" i="60"/>
  <c r="C36" i="60"/>
  <c r="D36" i="60"/>
  <c r="E36" i="60"/>
  <c r="F36" i="60"/>
  <c r="G36" i="60"/>
  <c r="A37" i="60"/>
  <c r="B37" i="60"/>
  <c r="C37" i="60"/>
  <c r="D37" i="60"/>
  <c r="E37" i="60"/>
  <c r="F37" i="60"/>
  <c r="G37" i="60"/>
  <c r="A38" i="60"/>
  <c r="B38" i="60"/>
  <c r="C38" i="60"/>
  <c r="D38" i="60"/>
  <c r="E38" i="60"/>
  <c r="F38" i="60"/>
  <c r="G38" i="60"/>
  <c r="A39" i="60"/>
  <c r="B39" i="60"/>
  <c r="C39" i="60"/>
  <c r="D39" i="60"/>
  <c r="E39" i="60"/>
  <c r="F39" i="60"/>
  <c r="G39" i="60"/>
  <c r="A40" i="60"/>
  <c r="B40" i="60"/>
  <c r="C40" i="60"/>
  <c r="D40" i="60"/>
  <c r="E40" i="60"/>
  <c r="F40" i="60"/>
  <c r="G40" i="60"/>
  <c r="A41" i="60"/>
  <c r="B41" i="60"/>
  <c r="C41" i="60"/>
  <c r="D41" i="60"/>
  <c r="E41" i="60"/>
  <c r="F41" i="60"/>
  <c r="G41" i="60"/>
  <c r="A42" i="60"/>
  <c r="B42" i="60"/>
  <c r="C42" i="60"/>
  <c r="D42" i="60"/>
  <c r="E42" i="60"/>
  <c r="F42" i="60"/>
  <c r="G42" i="60"/>
  <c r="A43" i="60"/>
  <c r="B43" i="60"/>
  <c r="C43" i="60"/>
  <c r="D43" i="60"/>
  <c r="E43" i="60"/>
  <c r="F43" i="60"/>
  <c r="G43" i="60"/>
  <c r="A44" i="60"/>
  <c r="B44" i="60"/>
  <c r="C44" i="60"/>
  <c r="D44" i="60"/>
  <c r="E44" i="60"/>
  <c r="F44" i="60"/>
  <c r="G44" i="60"/>
  <c r="A45" i="60"/>
  <c r="B45" i="60"/>
  <c r="C45" i="60"/>
  <c r="D45" i="60"/>
  <c r="E45" i="60"/>
  <c r="F45" i="60"/>
  <c r="G45" i="60"/>
  <c r="A46" i="60"/>
  <c r="B46" i="60"/>
  <c r="C46" i="60"/>
  <c r="D46" i="60"/>
  <c r="E46" i="60"/>
  <c r="F46" i="60"/>
  <c r="G46" i="60"/>
  <c r="A47" i="60"/>
  <c r="B47" i="60"/>
  <c r="C47" i="60"/>
  <c r="D47" i="60"/>
  <c r="E47" i="60"/>
  <c r="F47" i="60"/>
  <c r="G47" i="60"/>
  <c r="A48" i="60"/>
  <c r="B48" i="60"/>
  <c r="C48" i="60"/>
  <c r="D48" i="60"/>
  <c r="E48" i="60"/>
  <c r="F48" i="60"/>
  <c r="G48" i="60"/>
  <c r="A49" i="60"/>
  <c r="B49" i="60"/>
  <c r="C49" i="60"/>
  <c r="D49" i="60"/>
  <c r="E49" i="60"/>
  <c r="F49" i="60"/>
  <c r="G49" i="60"/>
  <c r="A50" i="60"/>
  <c r="B50" i="60"/>
  <c r="C50" i="60"/>
  <c r="D50" i="60"/>
  <c r="E50" i="60"/>
  <c r="F50" i="60"/>
  <c r="G50" i="60"/>
  <c r="A51" i="60"/>
  <c r="B51" i="60"/>
  <c r="C51" i="60"/>
  <c r="D51" i="60"/>
  <c r="E51" i="60"/>
  <c r="F51" i="60"/>
  <c r="G51" i="60"/>
  <c r="A52" i="60"/>
  <c r="B52" i="60"/>
  <c r="C52" i="60"/>
  <c r="D52" i="60"/>
  <c r="E52" i="60"/>
  <c r="F52" i="60"/>
  <c r="G52" i="60"/>
  <c r="A53" i="60"/>
  <c r="B53" i="60"/>
  <c r="C53" i="60"/>
  <c r="D53" i="60"/>
  <c r="E53" i="60"/>
  <c r="F53" i="60"/>
  <c r="G53" i="60"/>
  <c r="A54" i="60"/>
  <c r="B54" i="60"/>
  <c r="C54" i="60"/>
  <c r="D54" i="60"/>
  <c r="E54" i="60"/>
  <c r="F54" i="60"/>
  <c r="G54" i="60"/>
  <c r="A55" i="60"/>
  <c r="B55" i="60"/>
  <c r="C55" i="60"/>
  <c r="D55" i="60"/>
  <c r="E55" i="60"/>
  <c r="F55" i="60"/>
  <c r="G55" i="60"/>
  <c r="A56" i="60"/>
  <c r="B56" i="60"/>
  <c r="C56" i="60"/>
  <c r="D56" i="60"/>
  <c r="E56" i="60"/>
  <c r="F56" i="60"/>
  <c r="G56" i="60"/>
  <c r="A57" i="60"/>
  <c r="B57" i="60"/>
  <c r="C57" i="60"/>
  <c r="D57" i="60"/>
  <c r="E57" i="60"/>
  <c r="F57" i="60"/>
  <c r="G57" i="60"/>
  <c r="A58" i="60"/>
  <c r="B58" i="60"/>
  <c r="C58" i="60"/>
  <c r="D58" i="60"/>
  <c r="E58" i="60"/>
  <c r="F58" i="60"/>
  <c r="G58" i="60"/>
  <c r="A59" i="60"/>
  <c r="B59" i="60"/>
  <c r="C59" i="60"/>
  <c r="D59" i="60"/>
  <c r="E59" i="60"/>
  <c r="F59" i="60"/>
  <c r="G59" i="60"/>
  <c r="A60" i="60"/>
  <c r="B60" i="60"/>
  <c r="C60" i="60"/>
  <c r="D60" i="60"/>
  <c r="E60" i="60"/>
  <c r="F60" i="60"/>
  <c r="G60" i="60"/>
  <c r="A61" i="60"/>
  <c r="B61" i="60"/>
  <c r="C61" i="60"/>
  <c r="D61" i="60"/>
  <c r="E61" i="60"/>
  <c r="F61" i="60"/>
  <c r="G61" i="60"/>
  <c r="A62" i="60"/>
  <c r="B62" i="60"/>
  <c r="C62" i="60"/>
  <c r="D62" i="60"/>
  <c r="E62" i="60"/>
  <c r="F62" i="60"/>
  <c r="G62" i="60"/>
  <c r="A63" i="60"/>
  <c r="B63" i="60"/>
  <c r="C63" i="60"/>
  <c r="D63" i="60"/>
  <c r="E63" i="60"/>
  <c r="F63" i="60"/>
  <c r="G63" i="60"/>
  <c r="A64" i="60"/>
  <c r="B64" i="60"/>
  <c r="C64" i="60"/>
  <c r="D64" i="60"/>
  <c r="E64" i="60"/>
  <c r="F64" i="60"/>
  <c r="G64" i="60"/>
  <c r="A65" i="60"/>
  <c r="B65" i="60"/>
  <c r="C65" i="60"/>
  <c r="D65" i="60"/>
  <c r="E65" i="60"/>
  <c r="F65" i="60"/>
  <c r="G65" i="60"/>
  <c r="A66" i="60"/>
  <c r="B66" i="60"/>
  <c r="C66" i="60"/>
  <c r="D66" i="60"/>
  <c r="E66" i="60"/>
  <c r="F66" i="60"/>
  <c r="G66" i="60"/>
  <c r="A63" i="56"/>
  <c r="B63" i="56"/>
  <c r="C63" i="56"/>
  <c r="D63" i="56"/>
  <c r="E63" i="56"/>
  <c r="F63" i="56"/>
  <c r="G63" i="56"/>
  <c r="A64" i="56"/>
  <c r="B64" i="56"/>
  <c r="C64" i="56"/>
  <c r="D64" i="56"/>
  <c r="E64" i="56"/>
  <c r="F64" i="56"/>
  <c r="G64" i="56"/>
  <c r="A65" i="56"/>
  <c r="B65" i="56"/>
  <c r="C65" i="56"/>
  <c r="D65" i="56"/>
  <c r="E65" i="56"/>
  <c r="F65" i="56"/>
  <c r="G65" i="56"/>
  <c r="A66" i="56"/>
  <c r="B66" i="56"/>
  <c r="C66" i="56"/>
  <c r="D66" i="56"/>
  <c r="E66" i="56"/>
  <c r="F66" i="56"/>
  <c r="G66" i="56"/>
  <c r="A67" i="56"/>
  <c r="B67" i="56"/>
  <c r="C67" i="56"/>
  <c r="D67" i="56"/>
  <c r="E67" i="56"/>
  <c r="F67" i="56"/>
  <c r="G67" i="56"/>
  <c r="A68" i="56"/>
  <c r="B68" i="56"/>
  <c r="C68" i="56"/>
  <c r="D68" i="56"/>
  <c r="E68" i="56"/>
  <c r="F68" i="56"/>
  <c r="G68" i="56"/>
  <c r="A69" i="56"/>
  <c r="B69" i="56"/>
  <c r="C69" i="56"/>
  <c r="D69" i="56"/>
  <c r="E69" i="56"/>
  <c r="F69" i="56"/>
  <c r="G69" i="56"/>
  <c r="A70" i="56"/>
  <c r="B70" i="56"/>
  <c r="C70" i="56"/>
  <c r="D70" i="56"/>
  <c r="E70" i="56"/>
  <c r="F70" i="56"/>
  <c r="G70" i="56"/>
  <c r="A15" i="55"/>
  <c r="B15" i="55"/>
  <c r="C15" i="55"/>
  <c r="D15" i="55"/>
  <c r="E15" i="55"/>
  <c r="F15" i="55"/>
  <c r="G15" i="55"/>
  <c r="A16" i="55"/>
  <c r="B16" i="55"/>
  <c r="C16" i="55"/>
  <c r="D16" i="55"/>
  <c r="E16" i="55"/>
  <c r="F16" i="55"/>
  <c r="G16" i="55"/>
  <c r="A17" i="55"/>
  <c r="B17" i="55"/>
  <c r="C17" i="55"/>
  <c r="D17" i="55"/>
  <c r="E17" i="55"/>
  <c r="F17" i="55"/>
  <c r="G17" i="55"/>
  <c r="A18" i="55"/>
  <c r="B18" i="55"/>
  <c r="C18" i="55"/>
  <c r="D18" i="55"/>
  <c r="E18" i="55"/>
  <c r="F18" i="55"/>
  <c r="G18" i="55"/>
  <c r="A19" i="55"/>
  <c r="B19" i="55"/>
  <c r="C19" i="55"/>
  <c r="D19" i="55"/>
  <c r="E19" i="55"/>
  <c r="F19" i="55"/>
  <c r="G19" i="55"/>
  <c r="A20" i="55"/>
  <c r="B20" i="55"/>
  <c r="C20" i="55"/>
  <c r="D20" i="55"/>
  <c r="E20" i="55"/>
  <c r="F20" i="55"/>
  <c r="G20" i="55"/>
  <c r="A21" i="55"/>
  <c r="B21" i="55"/>
  <c r="C21" i="55"/>
  <c r="D21" i="55"/>
  <c r="E21" i="55"/>
  <c r="F21" i="55"/>
  <c r="G21" i="55"/>
  <c r="A22" i="55"/>
  <c r="B22" i="55"/>
  <c r="C22" i="55"/>
  <c r="D22" i="55"/>
  <c r="E22" i="55"/>
  <c r="F22" i="55"/>
  <c r="G22" i="55"/>
  <c r="A23" i="55"/>
  <c r="B23" i="55"/>
  <c r="C23" i="55"/>
  <c r="D23" i="55"/>
  <c r="E23" i="55"/>
  <c r="F23" i="55"/>
  <c r="G23" i="55"/>
  <c r="A24" i="55"/>
  <c r="B24" i="55"/>
  <c r="C24" i="55"/>
  <c r="D24" i="55"/>
  <c r="E24" i="55"/>
  <c r="F24" i="55"/>
  <c r="G24" i="55"/>
  <c r="A25" i="55"/>
  <c r="B25" i="55"/>
  <c r="C25" i="55"/>
  <c r="D25" i="55"/>
  <c r="E25" i="55"/>
  <c r="F25" i="55"/>
  <c r="G25" i="55"/>
  <c r="A26" i="55"/>
  <c r="B26" i="55"/>
  <c r="C26" i="55"/>
  <c r="D26" i="55"/>
  <c r="E26" i="55"/>
  <c r="F26" i="55"/>
  <c r="G26" i="55"/>
  <c r="A27" i="55"/>
  <c r="B27" i="55"/>
  <c r="C27" i="55"/>
  <c r="D27" i="55"/>
  <c r="E27" i="55"/>
  <c r="F27" i="55"/>
  <c r="G27" i="55"/>
  <c r="A28" i="55"/>
  <c r="B28" i="55"/>
  <c r="C28" i="55"/>
  <c r="D28" i="55"/>
  <c r="E28" i="55"/>
  <c r="F28" i="55"/>
  <c r="G28" i="55"/>
  <c r="A29" i="55"/>
  <c r="B29" i="55"/>
  <c r="C29" i="55"/>
  <c r="D29" i="55"/>
  <c r="E29" i="55"/>
  <c r="F29" i="55"/>
  <c r="G29" i="55"/>
  <c r="A30" i="55"/>
  <c r="B30" i="55"/>
  <c r="C30" i="55"/>
  <c r="D30" i="55"/>
  <c r="E30" i="55"/>
  <c r="F30" i="55"/>
  <c r="G30" i="55"/>
  <c r="A31" i="55"/>
  <c r="B31" i="55"/>
  <c r="C31" i="55"/>
  <c r="D31" i="55"/>
  <c r="E31" i="55"/>
  <c r="F31" i="55"/>
  <c r="G31" i="55"/>
  <c r="A32" i="55"/>
  <c r="B32" i="55"/>
  <c r="C32" i="55"/>
  <c r="D32" i="55"/>
  <c r="E32" i="55"/>
  <c r="F32" i="55"/>
  <c r="G32" i="55"/>
  <c r="A33" i="55"/>
  <c r="B33" i="55"/>
  <c r="C33" i="55"/>
  <c r="D33" i="55"/>
  <c r="E33" i="55"/>
  <c r="F33" i="55"/>
  <c r="G33" i="55"/>
  <c r="A34" i="55"/>
  <c r="B34" i="55"/>
  <c r="C34" i="55"/>
  <c r="D34" i="55"/>
  <c r="E34" i="55"/>
  <c r="F34" i="55"/>
  <c r="G34" i="55"/>
  <c r="A35" i="55"/>
  <c r="B35" i="55"/>
  <c r="C35" i="55"/>
  <c r="D35" i="55"/>
  <c r="E35" i="55"/>
  <c r="F35" i="55"/>
  <c r="G35" i="55"/>
  <c r="A36" i="55"/>
  <c r="B36" i="55"/>
  <c r="C36" i="55"/>
  <c r="D36" i="55"/>
  <c r="E36" i="55"/>
  <c r="F36" i="55"/>
  <c r="G36" i="55"/>
  <c r="A37" i="55"/>
  <c r="B37" i="55"/>
  <c r="C37" i="55"/>
  <c r="D37" i="55"/>
  <c r="E37" i="55"/>
  <c r="F37" i="55"/>
  <c r="G37" i="55"/>
  <c r="A38" i="55"/>
  <c r="B38" i="55"/>
  <c r="C38" i="55"/>
  <c r="D38" i="55"/>
  <c r="E38" i="55"/>
  <c r="F38" i="55"/>
  <c r="G38" i="55"/>
  <c r="A15" i="46"/>
  <c r="B15" i="46"/>
  <c r="C15" i="46"/>
  <c r="D15" i="46"/>
  <c r="E15" i="46"/>
  <c r="F15" i="46"/>
  <c r="G15" i="46"/>
  <c r="A16" i="46"/>
  <c r="B16" i="46"/>
  <c r="C16" i="46"/>
  <c r="D16" i="46"/>
  <c r="E16" i="46"/>
  <c r="F16" i="46"/>
  <c r="G16" i="46"/>
  <c r="A17" i="46"/>
  <c r="B17" i="46"/>
  <c r="C17" i="46"/>
  <c r="D17" i="46"/>
  <c r="E17" i="46"/>
  <c r="F17" i="46"/>
  <c r="G17" i="46"/>
  <c r="A18" i="46"/>
  <c r="B18" i="46"/>
  <c r="C18" i="46"/>
  <c r="D18" i="46"/>
  <c r="E18" i="46"/>
  <c r="F18" i="46"/>
  <c r="G18" i="46"/>
  <c r="A19" i="46"/>
  <c r="B19" i="46"/>
  <c r="C19" i="46"/>
  <c r="D19" i="46"/>
  <c r="E19" i="46"/>
  <c r="F19" i="46"/>
  <c r="G19" i="46"/>
  <c r="A20" i="46"/>
  <c r="B20" i="46"/>
  <c r="C20" i="46"/>
  <c r="D20" i="46"/>
  <c r="E20" i="46"/>
  <c r="F20" i="46"/>
  <c r="G20" i="46"/>
  <c r="A21" i="46"/>
  <c r="B21" i="46"/>
  <c r="C21" i="46"/>
  <c r="D21" i="46"/>
  <c r="E21" i="46"/>
  <c r="F21" i="46"/>
  <c r="G21" i="46"/>
  <c r="A22" i="46"/>
  <c r="B22" i="46"/>
  <c r="C22" i="46"/>
  <c r="D22" i="46"/>
  <c r="E22" i="46"/>
  <c r="F22" i="46"/>
  <c r="G22" i="46"/>
  <c r="A23" i="46"/>
  <c r="B23" i="46"/>
  <c r="C23" i="46"/>
  <c r="D23" i="46"/>
  <c r="E23" i="46"/>
  <c r="F23" i="46"/>
  <c r="G23" i="46"/>
  <c r="A24" i="46"/>
  <c r="B24" i="46"/>
  <c r="C24" i="46"/>
  <c r="D24" i="46"/>
  <c r="E24" i="46"/>
  <c r="F24" i="46"/>
  <c r="G24" i="46"/>
  <c r="A25" i="46"/>
  <c r="B25" i="46"/>
  <c r="C25" i="46"/>
  <c r="D25" i="46"/>
  <c r="E25" i="46"/>
  <c r="F25" i="46"/>
  <c r="G25" i="46"/>
  <c r="A26" i="46"/>
  <c r="B26" i="46"/>
  <c r="C26" i="46"/>
  <c r="D26" i="46"/>
  <c r="E26" i="46"/>
  <c r="F26" i="46"/>
  <c r="G26" i="46"/>
  <c r="A27" i="46"/>
  <c r="B27" i="46"/>
  <c r="C27" i="46"/>
  <c r="D27" i="46"/>
  <c r="E27" i="46"/>
  <c r="F27" i="46"/>
  <c r="G27" i="46"/>
  <c r="A28" i="46"/>
  <c r="B28" i="46"/>
  <c r="C28" i="46"/>
  <c r="D28" i="46"/>
  <c r="E28" i="46"/>
  <c r="F28" i="46"/>
  <c r="G28" i="46"/>
  <c r="A29" i="46"/>
  <c r="B29" i="46"/>
  <c r="C29" i="46"/>
  <c r="D29" i="46"/>
  <c r="E29" i="46"/>
  <c r="F29" i="46"/>
  <c r="G29" i="46"/>
  <c r="A30" i="46"/>
  <c r="B30" i="46"/>
  <c r="C30" i="46"/>
  <c r="D30" i="46"/>
  <c r="E30" i="46"/>
  <c r="F30" i="46"/>
  <c r="G30" i="46"/>
  <c r="A31" i="46"/>
  <c r="B31" i="46"/>
  <c r="C31" i="46"/>
  <c r="D31" i="46"/>
  <c r="E31" i="46"/>
  <c r="F31" i="46"/>
  <c r="G31" i="46"/>
  <c r="A32" i="46"/>
  <c r="B32" i="46"/>
  <c r="C32" i="46"/>
  <c r="D32" i="46"/>
  <c r="E32" i="46"/>
  <c r="F32" i="46"/>
  <c r="G32" i="46"/>
  <c r="A33" i="46"/>
  <c r="B33" i="46"/>
  <c r="C33" i="46"/>
  <c r="D33" i="46"/>
  <c r="E33" i="46"/>
  <c r="F33" i="46"/>
  <c r="G33" i="46"/>
  <c r="A34" i="46"/>
  <c r="B34" i="46"/>
  <c r="C34" i="46"/>
  <c r="D34" i="46"/>
  <c r="E34" i="46"/>
  <c r="F34" i="46"/>
  <c r="G34" i="46"/>
  <c r="A35" i="46"/>
  <c r="B35" i="46"/>
  <c r="C35" i="46"/>
  <c r="D35" i="46"/>
  <c r="E35" i="46"/>
  <c r="F35" i="46"/>
  <c r="G35" i="46"/>
  <c r="A36" i="46"/>
  <c r="B36" i="46"/>
  <c r="C36" i="46"/>
  <c r="D36" i="46"/>
  <c r="E36" i="46"/>
  <c r="F36" i="46"/>
  <c r="G36" i="46"/>
  <c r="A37" i="46"/>
  <c r="B37" i="46"/>
  <c r="C37" i="46"/>
  <c r="D37" i="46"/>
  <c r="E37" i="46"/>
  <c r="F37" i="46"/>
  <c r="G37" i="46"/>
  <c r="A38" i="46"/>
  <c r="B38" i="46"/>
  <c r="C38" i="46"/>
  <c r="D38" i="46"/>
  <c r="E38" i="46"/>
  <c r="F38" i="46"/>
  <c r="G38" i="46"/>
  <c r="A39" i="46"/>
  <c r="B39" i="46"/>
  <c r="C39" i="46"/>
  <c r="D39" i="46"/>
  <c r="E39" i="46"/>
  <c r="F39" i="46"/>
  <c r="G39" i="46"/>
  <c r="A40" i="46"/>
  <c r="B40" i="46"/>
  <c r="C40" i="46"/>
  <c r="D40" i="46"/>
  <c r="E40" i="46"/>
  <c r="F40" i="46"/>
  <c r="G40" i="46"/>
  <c r="A41" i="46"/>
  <c r="B41" i="46"/>
  <c r="C41" i="46"/>
  <c r="D41" i="46"/>
  <c r="E41" i="46"/>
  <c r="F41" i="46"/>
  <c r="G41" i="46"/>
  <c r="A42" i="46"/>
  <c r="B42" i="46"/>
  <c r="C42" i="46"/>
  <c r="D42" i="46"/>
  <c r="E42" i="46"/>
  <c r="F42" i="46"/>
  <c r="G42" i="46"/>
  <c r="A43" i="46"/>
  <c r="B43" i="46"/>
  <c r="C43" i="46"/>
  <c r="D43" i="46"/>
  <c r="E43" i="46"/>
  <c r="F43" i="46"/>
  <c r="G43" i="46"/>
  <c r="A44" i="46"/>
  <c r="B44" i="46"/>
  <c r="C44" i="46"/>
  <c r="D44" i="46"/>
  <c r="E44" i="46"/>
  <c r="F44" i="46"/>
  <c r="G44" i="46"/>
  <c r="A45" i="46"/>
  <c r="B45" i="46"/>
  <c r="C45" i="46"/>
  <c r="D45" i="46"/>
  <c r="E45" i="46"/>
  <c r="F45" i="46"/>
  <c r="G45" i="46"/>
  <c r="A46" i="46"/>
  <c r="B46" i="46"/>
  <c r="C46" i="46"/>
  <c r="D46" i="46"/>
  <c r="E46" i="46"/>
  <c r="F46" i="46"/>
  <c r="G46" i="46"/>
  <c r="A47" i="46"/>
  <c r="B47" i="46"/>
  <c r="C47" i="46"/>
  <c r="D47" i="46"/>
  <c r="E47" i="46"/>
  <c r="F47" i="46"/>
  <c r="G47" i="46"/>
  <c r="A48" i="46"/>
  <c r="B48" i="46"/>
  <c r="C48" i="46"/>
  <c r="D48" i="46"/>
  <c r="E48" i="46"/>
  <c r="F48" i="46"/>
  <c r="G48" i="46"/>
  <c r="A49" i="46"/>
  <c r="B49" i="46"/>
  <c r="C49" i="46"/>
  <c r="D49" i="46"/>
  <c r="E49" i="46"/>
  <c r="F49" i="46"/>
  <c r="G49" i="46"/>
  <c r="A50" i="46"/>
  <c r="B50" i="46"/>
  <c r="C50" i="46"/>
  <c r="D50" i="46"/>
  <c r="E50" i="46"/>
  <c r="F50" i="46"/>
  <c r="G50" i="46"/>
  <c r="A51" i="46"/>
  <c r="B51" i="46"/>
  <c r="C51" i="46"/>
  <c r="D51" i="46"/>
  <c r="E51" i="46"/>
  <c r="F51" i="46"/>
  <c r="G51" i="46"/>
  <c r="A52" i="46"/>
  <c r="B52" i="46"/>
  <c r="C52" i="46"/>
  <c r="D52" i="46"/>
  <c r="E52" i="46"/>
  <c r="F52" i="46"/>
  <c r="G52" i="46"/>
  <c r="A53" i="46"/>
  <c r="B53" i="46"/>
  <c r="C53" i="46"/>
  <c r="D53" i="46"/>
  <c r="E53" i="46"/>
  <c r="F53" i="46"/>
  <c r="G53" i="46"/>
  <c r="A54" i="46"/>
  <c r="B54" i="46"/>
  <c r="C54" i="46"/>
  <c r="D54" i="46"/>
  <c r="E54" i="46"/>
  <c r="F54" i="46"/>
  <c r="G54" i="46"/>
  <c r="A55" i="46"/>
  <c r="B55" i="46"/>
  <c r="C55" i="46"/>
  <c r="D55" i="46"/>
  <c r="E55" i="46"/>
  <c r="F55" i="46"/>
  <c r="G55" i="46"/>
  <c r="A56" i="46"/>
  <c r="B56" i="46"/>
  <c r="C56" i="46"/>
  <c r="D56" i="46"/>
  <c r="E56" i="46"/>
  <c r="F56" i="46"/>
  <c r="G56" i="46"/>
  <c r="A57" i="46"/>
  <c r="B57" i="46"/>
  <c r="C57" i="46"/>
  <c r="D57" i="46"/>
  <c r="E57" i="46"/>
  <c r="F57" i="46"/>
  <c r="G57" i="46"/>
  <c r="A58" i="46"/>
  <c r="B58" i="46"/>
  <c r="C58" i="46"/>
  <c r="D58" i="46"/>
  <c r="E58" i="46"/>
  <c r="F58" i="46"/>
  <c r="G58" i="46"/>
  <c r="A59" i="46"/>
  <c r="B59" i="46"/>
  <c r="C59" i="46"/>
  <c r="D59" i="46"/>
  <c r="E59" i="46"/>
  <c r="F59" i="46"/>
  <c r="G59" i="46"/>
  <c r="A60" i="46"/>
  <c r="B60" i="46"/>
  <c r="C60" i="46"/>
  <c r="D60" i="46"/>
  <c r="E60" i="46"/>
  <c r="F60" i="46"/>
  <c r="G60" i="46"/>
  <c r="A61" i="46"/>
  <c r="B61" i="46"/>
  <c r="C61" i="46"/>
  <c r="D61" i="46"/>
  <c r="E61" i="46"/>
  <c r="F61" i="46"/>
  <c r="G61" i="46"/>
  <c r="A62" i="46"/>
  <c r="B62" i="46"/>
  <c r="C62" i="46"/>
  <c r="D62" i="46"/>
  <c r="E62" i="46"/>
  <c r="F62" i="46"/>
  <c r="G62" i="46"/>
  <c r="A63" i="46"/>
  <c r="B63" i="46"/>
  <c r="C63" i="46"/>
  <c r="D63" i="46"/>
  <c r="E63" i="46"/>
  <c r="F63" i="46"/>
  <c r="G63" i="46"/>
  <c r="A15" i="58"/>
  <c r="B15" i="58"/>
  <c r="C15" i="58"/>
  <c r="D15" i="58"/>
  <c r="E15" i="58"/>
  <c r="F15" i="58"/>
  <c r="G15" i="58"/>
  <c r="A16" i="58"/>
  <c r="B16" i="58"/>
  <c r="C16" i="58"/>
  <c r="D16" i="58"/>
  <c r="E16" i="58"/>
  <c r="F16" i="58"/>
  <c r="G16" i="58"/>
  <c r="A17" i="58"/>
  <c r="B17" i="58"/>
  <c r="C17" i="58"/>
  <c r="D17" i="58"/>
  <c r="E17" i="58"/>
  <c r="F17" i="58"/>
  <c r="G17" i="58"/>
  <c r="A18" i="58"/>
  <c r="B18" i="58"/>
  <c r="C18" i="58"/>
  <c r="D18" i="58"/>
  <c r="E18" i="58"/>
  <c r="F18" i="58"/>
  <c r="G18" i="58"/>
  <c r="A19" i="58"/>
  <c r="B19" i="58"/>
  <c r="C19" i="58"/>
  <c r="D19" i="58"/>
  <c r="E19" i="58"/>
  <c r="F19" i="58"/>
  <c r="G19" i="58"/>
  <c r="A20" i="58"/>
  <c r="B20" i="58"/>
  <c r="C20" i="58"/>
  <c r="D20" i="58"/>
  <c r="E20" i="58"/>
  <c r="F20" i="58"/>
  <c r="G20" i="58"/>
  <c r="A21" i="58"/>
  <c r="B21" i="58"/>
  <c r="C21" i="58"/>
  <c r="D21" i="58"/>
  <c r="E21" i="58"/>
  <c r="F21" i="58"/>
  <c r="G21" i="58"/>
  <c r="A22" i="58"/>
  <c r="B22" i="58"/>
  <c r="C22" i="58"/>
  <c r="D22" i="58"/>
  <c r="E22" i="58"/>
  <c r="F22" i="58"/>
  <c r="G22" i="58"/>
  <c r="A23" i="58"/>
  <c r="B23" i="58"/>
  <c r="C23" i="58"/>
  <c r="D23" i="58"/>
  <c r="E23" i="58"/>
  <c r="F23" i="58"/>
  <c r="G23" i="58"/>
  <c r="A24" i="58"/>
  <c r="B24" i="58"/>
  <c r="C24" i="58"/>
  <c r="D24" i="58"/>
  <c r="E24" i="58"/>
  <c r="F24" i="58"/>
  <c r="G24" i="58"/>
  <c r="A25" i="58"/>
  <c r="B25" i="58"/>
  <c r="C25" i="58"/>
  <c r="D25" i="58"/>
  <c r="E25" i="58"/>
  <c r="F25" i="58"/>
  <c r="G25" i="58"/>
  <c r="A26" i="58"/>
  <c r="B26" i="58"/>
  <c r="C26" i="58"/>
  <c r="D26" i="58"/>
  <c r="E26" i="58"/>
  <c r="F26" i="58"/>
  <c r="G26" i="58"/>
  <c r="A27" i="58"/>
  <c r="B27" i="58"/>
  <c r="C27" i="58"/>
  <c r="D27" i="58"/>
  <c r="E27" i="58"/>
  <c r="F27" i="58"/>
  <c r="G27" i="58"/>
  <c r="A28" i="58"/>
  <c r="B28" i="58"/>
  <c r="C28" i="58"/>
  <c r="D28" i="58"/>
  <c r="E28" i="58"/>
  <c r="F28" i="58"/>
  <c r="G28" i="58"/>
  <c r="A29" i="58"/>
  <c r="B29" i="58"/>
  <c r="C29" i="58"/>
  <c r="D29" i="58"/>
  <c r="E29" i="58"/>
  <c r="F29" i="58"/>
  <c r="G29" i="58"/>
  <c r="A30" i="58"/>
  <c r="B30" i="58"/>
  <c r="C30" i="58"/>
  <c r="D30" i="58"/>
  <c r="E30" i="58"/>
  <c r="F30" i="58"/>
  <c r="G30" i="58"/>
  <c r="A31" i="58"/>
  <c r="B31" i="58"/>
  <c r="C31" i="58"/>
  <c r="D31" i="58"/>
  <c r="E31" i="58"/>
  <c r="F31" i="58"/>
  <c r="G31" i="58"/>
  <c r="A32" i="58"/>
  <c r="B32" i="58"/>
  <c r="C32" i="58"/>
  <c r="D32" i="58"/>
  <c r="E32" i="58"/>
  <c r="F32" i="58"/>
  <c r="G32" i="58"/>
  <c r="A33" i="58"/>
  <c r="B33" i="58"/>
  <c r="C33" i="58"/>
  <c r="D33" i="58"/>
  <c r="E33" i="58"/>
  <c r="F33" i="58"/>
  <c r="G33" i="58"/>
  <c r="A34" i="58"/>
  <c r="B34" i="58"/>
  <c r="C34" i="58"/>
  <c r="D34" i="58"/>
  <c r="E34" i="58"/>
  <c r="F34" i="58"/>
  <c r="G34" i="58"/>
  <c r="A35" i="58"/>
  <c r="B35" i="58"/>
  <c r="C35" i="58"/>
  <c r="D35" i="58"/>
  <c r="E35" i="58"/>
  <c r="F35" i="58"/>
  <c r="G35" i="58"/>
  <c r="A36" i="58"/>
  <c r="B36" i="58"/>
  <c r="C36" i="58"/>
  <c r="D36" i="58"/>
  <c r="E36" i="58"/>
  <c r="F36" i="58"/>
  <c r="G36" i="58"/>
  <c r="A37" i="58"/>
  <c r="B37" i="58"/>
  <c r="C37" i="58"/>
  <c r="D37" i="58"/>
  <c r="E37" i="58"/>
  <c r="F37" i="58"/>
  <c r="G37" i="58"/>
  <c r="A38" i="58"/>
  <c r="B38" i="58"/>
  <c r="C38" i="58"/>
  <c r="D38" i="58"/>
  <c r="E38" i="58"/>
  <c r="F38" i="58"/>
  <c r="G38" i="58"/>
  <c r="A39" i="58"/>
  <c r="B39" i="58"/>
  <c r="C39" i="58"/>
  <c r="D39" i="58"/>
  <c r="E39" i="58"/>
  <c r="F39" i="58"/>
  <c r="G39" i="58"/>
  <c r="A40" i="58"/>
  <c r="B40" i="58"/>
  <c r="C40" i="58"/>
  <c r="D40" i="58"/>
  <c r="E40" i="58"/>
  <c r="F40" i="58"/>
  <c r="G40" i="58"/>
  <c r="A41" i="58"/>
  <c r="B41" i="58"/>
  <c r="C41" i="58"/>
  <c r="D41" i="58"/>
  <c r="E41" i="58"/>
  <c r="F41" i="58"/>
  <c r="G41" i="58"/>
  <c r="A42" i="58"/>
  <c r="B42" i="58"/>
  <c r="C42" i="58"/>
  <c r="D42" i="58"/>
  <c r="E42" i="58"/>
  <c r="F42" i="58"/>
  <c r="G42" i="58"/>
  <c r="A43" i="58"/>
  <c r="B43" i="58"/>
  <c r="C43" i="58"/>
  <c r="D43" i="58"/>
  <c r="E43" i="58"/>
  <c r="F43" i="58"/>
  <c r="G43" i="58"/>
  <c r="A44" i="58"/>
  <c r="B44" i="58"/>
  <c r="C44" i="58"/>
  <c r="D44" i="58"/>
  <c r="E44" i="58"/>
  <c r="F44" i="58"/>
  <c r="G44" i="58"/>
  <c r="A45" i="58"/>
  <c r="B45" i="58"/>
  <c r="C45" i="58"/>
  <c r="D45" i="58"/>
  <c r="E45" i="58"/>
  <c r="F45" i="58"/>
  <c r="G45" i="58"/>
  <c r="A46" i="58"/>
  <c r="B46" i="58"/>
  <c r="C46" i="58"/>
  <c r="D46" i="58"/>
  <c r="E46" i="58"/>
  <c r="F46" i="58"/>
  <c r="G46" i="58"/>
  <c r="A47" i="58"/>
  <c r="B47" i="58"/>
  <c r="C47" i="58"/>
  <c r="D47" i="58"/>
  <c r="E47" i="58"/>
  <c r="F47" i="58"/>
  <c r="G47" i="58"/>
  <c r="A48" i="58"/>
  <c r="B48" i="58"/>
  <c r="C48" i="58"/>
  <c r="D48" i="58"/>
  <c r="E48" i="58"/>
  <c r="F48" i="58"/>
  <c r="G48" i="58"/>
  <c r="A49" i="58"/>
  <c r="B49" i="58"/>
  <c r="C49" i="58"/>
  <c r="D49" i="58"/>
  <c r="E49" i="58"/>
  <c r="F49" i="58"/>
  <c r="G49" i="58"/>
  <c r="A50" i="58"/>
  <c r="B50" i="58"/>
  <c r="C50" i="58"/>
  <c r="D50" i="58"/>
  <c r="E50" i="58"/>
  <c r="F50" i="58"/>
  <c r="G50" i="58"/>
  <c r="A51" i="58"/>
  <c r="B51" i="58"/>
  <c r="C51" i="58"/>
  <c r="D51" i="58"/>
  <c r="E51" i="58"/>
  <c r="F51" i="58"/>
  <c r="G51" i="58"/>
  <c r="A52" i="58"/>
  <c r="B52" i="58"/>
  <c r="C52" i="58"/>
  <c r="D52" i="58"/>
  <c r="E52" i="58"/>
  <c r="F52" i="58"/>
  <c r="G52" i="58"/>
  <c r="A53" i="58"/>
  <c r="B53" i="58"/>
  <c r="C53" i="58"/>
  <c r="D53" i="58"/>
  <c r="E53" i="58"/>
  <c r="F53" i="58"/>
  <c r="G53" i="58"/>
  <c r="A54" i="58"/>
  <c r="B54" i="58"/>
  <c r="C54" i="58"/>
  <c r="D54" i="58"/>
  <c r="E54" i="58"/>
  <c r="F54" i="58"/>
  <c r="G54" i="58"/>
  <c r="A55" i="58"/>
  <c r="B55" i="58"/>
  <c r="C55" i="58"/>
  <c r="D55" i="58"/>
  <c r="E55" i="58"/>
  <c r="F55" i="58"/>
  <c r="G55" i="58"/>
  <c r="A56" i="58"/>
  <c r="B56" i="58"/>
  <c r="C56" i="58"/>
  <c r="D56" i="58"/>
  <c r="E56" i="58"/>
  <c r="F56" i="58"/>
  <c r="G56" i="58"/>
  <c r="A15" i="42"/>
  <c r="B15" i="42"/>
  <c r="C15" i="42"/>
  <c r="D15" i="42"/>
  <c r="E15" i="42"/>
  <c r="F15" i="42"/>
  <c r="G15" i="42"/>
  <c r="A16" i="42"/>
  <c r="B16" i="42"/>
  <c r="C16" i="42"/>
  <c r="D16" i="42"/>
  <c r="E16" i="42"/>
  <c r="F16" i="42"/>
  <c r="G16" i="42"/>
  <c r="A17" i="42"/>
  <c r="B17" i="42"/>
  <c r="C17" i="42"/>
  <c r="D17" i="42"/>
  <c r="E17" i="42"/>
  <c r="F17" i="42"/>
  <c r="G17" i="42"/>
  <c r="A18" i="42"/>
  <c r="B18" i="42"/>
  <c r="C18" i="42"/>
  <c r="D18" i="42"/>
  <c r="E18" i="42"/>
  <c r="F18" i="42"/>
  <c r="G18" i="42"/>
  <c r="A19" i="42"/>
  <c r="B19" i="42"/>
  <c r="C19" i="42"/>
  <c r="D19" i="42"/>
  <c r="E19" i="42"/>
  <c r="F19" i="42"/>
  <c r="G19" i="42"/>
  <c r="A20" i="42"/>
  <c r="B20" i="42"/>
  <c r="C20" i="42"/>
  <c r="D20" i="42"/>
  <c r="E20" i="42"/>
  <c r="F20" i="42"/>
  <c r="G20" i="42"/>
  <c r="A21" i="42"/>
  <c r="B21" i="42"/>
  <c r="C21" i="42"/>
  <c r="D21" i="42"/>
  <c r="E21" i="42"/>
  <c r="F21" i="42"/>
  <c r="G21" i="42"/>
  <c r="A22" i="42"/>
  <c r="B22" i="42"/>
  <c r="C22" i="42"/>
  <c r="D22" i="42"/>
  <c r="E22" i="42"/>
  <c r="F22" i="42"/>
  <c r="G22" i="42"/>
  <c r="A23" i="42"/>
  <c r="B23" i="42"/>
  <c r="C23" i="42"/>
  <c r="D23" i="42"/>
  <c r="E23" i="42"/>
  <c r="F23" i="42"/>
  <c r="G23" i="42"/>
  <c r="A24" i="42"/>
  <c r="B24" i="42"/>
  <c r="C24" i="42"/>
  <c r="D24" i="42"/>
  <c r="E24" i="42"/>
  <c r="F24" i="42"/>
  <c r="G24" i="42"/>
  <c r="A25" i="42"/>
  <c r="B25" i="42"/>
  <c r="C25" i="42"/>
  <c r="D25" i="42"/>
  <c r="E25" i="42"/>
  <c r="F25" i="42"/>
  <c r="G25" i="42"/>
  <c r="A26" i="42"/>
  <c r="B26" i="42"/>
  <c r="C26" i="42"/>
  <c r="D26" i="42"/>
  <c r="E26" i="42"/>
  <c r="F26" i="42"/>
  <c r="G26" i="42"/>
  <c r="A27" i="42"/>
  <c r="B27" i="42"/>
  <c r="C27" i="42"/>
  <c r="D27" i="42"/>
  <c r="E27" i="42"/>
  <c r="F27" i="42"/>
  <c r="G27" i="42"/>
  <c r="A28" i="42"/>
  <c r="B28" i="42"/>
  <c r="C28" i="42"/>
  <c r="D28" i="42"/>
  <c r="E28" i="42"/>
  <c r="F28" i="42"/>
  <c r="G28" i="42"/>
  <c r="A29" i="42"/>
  <c r="B29" i="42"/>
  <c r="C29" i="42"/>
  <c r="D29" i="42"/>
  <c r="E29" i="42"/>
  <c r="F29" i="42"/>
  <c r="G29" i="42"/>
  <c r="A30" i="42"/>
  <c r="B30" i="42"/>
  <c r="C30" i="42"/>
  <c r="D30" i="42"/>
  <c r="E30" i="42"/>
  <c r="F30" i="42"/>
  <c r="G30" i="42"/>
  <c r="A31" i="42"/>
  <c r="B31" i="42"/>
  <c r="C31" i="42"/>
  <c r="D31" i="42"/>
  <c r="E31" i="42"/>
  <c r="F31" i="42"/>
  <c r="G31" i="42"/>
  <c r="A32" i="42"/>
  <c r="B32" i="42"/>
  <c r="C32" i="42"/>
  <c r="D32" i="42"/>
  <c r="E32" i="42"/>
  <c r="F32" i="42"/>
  <c r="G32" i="42"/>
  <c r="A33" i="42"/>
  <c r="B33" i="42"/>
  <c r="C33" i="42"/>
  <c r="D33" i="42"/>
  <c r="E33" i="42"/>
  <c r="F33" i="42"/>
  <c r="G33" i="42"/>
  <c r="A34" i="42"/>
  <c r="B34" i="42"/>
  <c r="C34" i="42"/>
  <c r="D34" i="42"/>
  <c r="E34" i="42"/>
  <c r="F34" i="42"/>
  <c r="G34" i="42"/>
  <c r="A35" i="42"/>
  <c r="B35" i="42"/>
  <c r="C35" i="42"/>
  <c r="D35" i="42"/>
  <c r="E35" i="42"/>
  <c r="F35" i="42"/>
  <c r="G35" i="42"/>
  <c r="A36" i="42"/>
  <c r="B36" i="42"/>
  <c r="C36" i="42"/>
  <c r="D36" i="42"/>
  <c r="E36" i="42"/>
  <c r="F36" i="42"/>
  <c r="G36" i="42"/>
  <c r="A37" i="42"/>
  <c r="B37" i="42"/>
  <c r="C37" i="42"/>
  <c r="D37" i="42"/>
  <c r="E37" i="42"/>
  <c r="F37" i="42"/>
  <c r="G37" i="42"/>
  <c r="A38" i="42"/>
  <c r="B38" i="42"/>
  <c r="C38" i="42"/>
  <c r="D38" i="42"/>
  <c r="E38" i="42"/>
  <c r="F38" i="42"/>
  <c r="G38" i="42"/>
  <c r="A39" i="42"/>
  <c r="B39" i="42"/>
  <c r="C39" i="42"/>
  <c r="D39" i="42"/>
  <c r="E39" i="42"/>
  <c r="F39" i="42"/>
  <c r="G39" i="42"/>
  <c r="A40" i="42"/>
  <c r="B40" i="42"/>
  <c r="C40" i="42"/>
  <c r="D40" i="42"/>
  <c r="E40" i="42"/>
  <c r="F40" i="42"/>
  <c r="G40" i="42"/>
  <c r="A41" i="42"/>
  <c r="B41" i="42"/>
  <c r="C41" i="42"/>
  <c r="D41" i="42"/>
  <c r="E41" i="42"/>
  <c r="F41" i="42"/>
  <c r="G41" i="42"/>
  <c r="A42" i="42"/>
  <c r="B42" i="42"/>
  <c r="C42" i="42"/>
  <c r="D42" i="42"/>
  <c r="E42" i="42"/>
  <c r="F42" i="42"/>
  <c r="G42" i="42"/>
  <c r="A43" i="42"/>
  <c r="B43" i="42"/>
  <c r="C43" i="42"/>
  <c r="D43" i="42"/>
  <c r="E43" i="42"/>
  <c r="F43" i="42"/>
  <c r="G43" i="42"/>
  <c r="A44" i="42"/>
  <c r="B44" i="42"/>
  <c r="C44" i="42"/>
  <c r="D44" i="42"/>
  <c r="E44" i="42"/>
  <c r="F44" i="42"/>
  <c r="G44" i="42"/>
  <c r="A45" i="42"/>
  <c r="B45" i="42"/>
  <c r="C45" i="42"/>
  <c r="D45" i="42"/>
  <c r="E45" i="42"/>
  <c r="F45" i="42"/>
  <c r="G45" i="42"/>
  <c r="A46" i="42"/>
  <c r="B46" i="42"/>
  <c r="C46" i="42"/>
  <c r="D46" i="42"/>
  <c r="E46" i="42"/>
  <c r="F46" i="42"/>
  <c r="G46" i="42"/>
  <c r="A47" i="42"/>
  <c r="B47" i="42"/>
  <c r="C47" i="42"/>
  <c r="D47" i="42"/>
  <c r="E47" i="42"/>
  <c r="F47" i="42"/>
  <c r="G47" i="42"/>
  <c r="A48" i="42"/>
  <c r="B48" i="42"/>
  <c r="C48" i="42"/>
  <c r="D48" i="42"/>
  <c r="E48" i="42"/>
  <c r="F48" i="42"/>
  <c r="G48" i="42"/>
  <c r="A49" i="42"/>
  <c r="B49" i="42"/>
  <c r="C49" i="42"/>
  <c r="D49" i="42"/>
  <c r="E49" i="42"/>
  <c r="F49" i="42"/>
  <c r="G49" i="42"/>
  <c r="A50" i="42"/>
  <c r="B50" i="42"/>
  <c r="C50" i="42"/>
  <c r="D50" i="42"/>
  <c r="E50" i="42"/>
  <c r="F50" i="42"/>
  <c r="G50" i="42"/>
  <c r="A51" i="42"/>
  <c r="B51" i="42"/>
  <c r="C51" i="42"/>
  <c r="D51" i="42"/>
  <c r="E51" i="42"/>
  <c r="F51" i="42"/>
  <c r="G51" i="42"/>
  <c r="A52" i="42"/>
  <c r="B52" i="42"/>
  <c r="C52" i="42"/>
  <c r="D52" i="42"/>
  <c r="E52" i="42"/>
  <c r="F52" i="42"/>
  <c r="G52" i="42"/>
  <c r="A53" i="42"/>
  <c r="B53" i="42"/>
  <c r="C53" i="42"/>
  <c r="D53" i="42"/>
  <c r="E53" i="42"/>
  <c r="F53" i="42"/>
  <c r="G53" i="42"/>
  <c r="A54" i="42"/>
  <c r="B54" i="42"/>
  <c r="C54" i="42"/>
  <c r="D54" i="42"/>
  <c r="E54" i="42"/>
  <c r="F54" i="42"/>
  <c r="G54" i="42"/>
  <c r="A55" i="42"/>
  <c r="B55" i="42"/>
  <c r="C55" i="42"/>
  <c r="D55" i="42"/>
  <c r="E55" i="42"/>
  <c r="F55" i="42"/>
  <c r="G55" i="42"/>
  <c r="A56" i="42"/>
  <c r="B56" i="42"/>
  <c r="C56" i="42"/>
  <c r="D56" i="42"/>
  <c r="E56" i="42"/>
  <c r="F56" i="42"/>
  <c r="G56" i="42"/>
  <c r="A57" i="42"/>
  <c r="B57" i="42"/>
  <c r="C57" i="42"/>
  <c r="D57" i="42"/>
  <c r="E57" i="42"/>
  <c r="F57" i="42"/>
  <c r="G57" i="42"/>
  <c r="A58" i="42"/>
  <c r="B58" i="42"/>
  <c r="C58" i="42"/>
  <c r="D58" i="42"/>
  <c r="E58" i="42"/>
  <c r="F58" i="42"/>
  <c r="G58" i="42"/>
  <c r="A59" i="42"/>
  <c r="B59" i="42"/>
  <c r="C59" i="42"/>
  <c r="D59" i="42"/>
  <c r="E59" i="42"/>
  <c r="F59" i="42"/>
  <c r="G59" i="42"/>
  <c r="A60" i="42"/>
  <c r="B60" i="42"/>
  <c r="C60" i="42"/>
  <c r="D60" i="42"/>
  <c r="E60" i="42"/>
  <c r="F60" i="42"/>
  <c r="G60" i="42"/>
  <c r="A61" i="42"/>
  <c r="B61" i="42"/>
  <c r="C61" i="42"/>
  <c r="D61" i="42"/>
  <c r="E61" i="42"/>
  <c r="F61" i="42"/>
  <c r="G61" i="42"/>
  <c r="A62" i="42"/>
  <c r="B62" i="42"/>
  <c r="C62" i="42"/>
  <c r="D62" i="42"/>
  <c r="E62" i="42"/>
  <c r="F62" i="42"/>
  <c r="G62" i="42"/>
  <c r="A63" i="42"/>
  <c r="B63" i="42"/>
  <c r="C63" i="42"/>
  <c r="D63" i="42"/>
  <c r="E63" i="42"/>
  <c r="F63" i="42"/>
  <c r="G63" i="42"/>
  <c r="A64" i="42"/>
  <c r="B64" i="42"/>
  <c r="C64" i="42"/>
  <c r="D64" i="42"/>
  <c r="E64" i="42"/>
  <c r="F64" i="42"/>
  <c r="G64" i="42"/>
  <c r="A65" i="42"/>
  <c r="B65" i="42"/>
  <c r="C65" i="42"/>
  <c r="D65" i="42"/>
  <c r="E65" i="42"/>
  <c r="F65" i="42"/>
  <c r="G65" i="42"/>
  <c r="A66" i="42"/>
  <c r="B66" i="42"/>
  <c r="C66" i="42"/>
  <c r="D66" i="42"/>
  <c r="E66" i="42"/>
  <c r="F66" i="42"/>
  <c r="G66" i="42"/>
  <c r="A67" i="42"/>
  <c r="B67" i="42"/>
  <c r="C67" i="42"/>
  <c r="D67" i="42"/>
  <c r="E67" i="42"/>
  <c r="F67" i="42"/>
  <c r="G67" i="42"/>
  <c r="A68" i="42"/>
  <c r="B68" i="42"/>
  <c r="C68" i="42"/>
  <c r="D68" i="42"/>
  <c r="E68" i="42"/>
  <c r="F68" i="42"/>
  <c r="G68" i="42"/>
  <c r="A69" i="42"/>
  <c r="B69" i="42"/>
  <c r="C69" i="42"/>
  <c r="D69" i="42"/>
  <c r="E69" i="42"/>
  <c r="F69" i="42"/>
  <c r="G69" i="42"/>
  <c r="A15" i="44"/>
  <c r="B15" i="44"/>
  <c r="C15" i="44"/>
  <c r="D15" i="44"/>
  <c r="E15" i="44"/>
  <c r="F15" i="44"/>
  <c r="G15" i="44"/>
  <c r="A16" i="44"/>
  <c r="B16" i="44"/>
  <c r="C16" i="44"/>
  <c r="D16" i="44"/>
  <c r="E16" i="44"/>
  <c r="F16" i="44"/>
  <c r="G16" i="44"/>
  <c r="A17" i="44"/>
  <c r="B17" i="44"/>
  <c r="C17" i="44"/>
  <c r="D17" i="44"/>
  <c r="E17" i="44"/>
  <c r="F17" i="44"/>
  <c r="G17" i="44"/>
  <c r="A18" i="44"/>
  <c r="B18" i="44"/>
  <c r="C18" i="44"/>
  <c r="D18" i="44"/>
  <c r="E18" i="44"/>
  <c r="F18" i="44"/>
  <c r="G18" i="44"/>
  <c r="A19" i="44"/>
  <c r="B19" i="44"/>
  <c r="C19" i="44"/>
  <c r="D19" i="44"/>
  <c r="E19" i="44"/>
  <c r="F19" i="44"/>
  <c r="G19" i="44"/>
  <c r="A20" i="44"/>
  <c r="B20" i="44"/>
  <c r="C20" i="44"/>
  <c r="D20" i="44"/>
  <c r="E20" i="44"/>
  <c r="F20" i="44"/>
  <c r="G20" i="44"/>
  <c r="A21" i="44"/>
  <c r="B21" i="44"/>
  <c r="C21" i="44"/>
  <c r="D21" i="44"/>
  <c r="E21" i="44"/>
  <c r="F21" i="44"/>
  <c r="G21" i="44"/>
  <c r="A22" i="44"/>
  <c r="B22" i="44"/>
  <c r="C22" i="44"/>
  <c r="D22" i="44"/>
  <c r="E22" i="44"/>
  <c r="F22" i="44"/>
  <c r="G22" i="44"/>
  <c r="A23" i="44"/>
  <c r="B23" i="44"/>
  <c r="C23" i="44"/>
  <c r="D23" i="44"/>
  <c r="E23" i="44"/>
  <c r="F23" i="44"/>
  <c r="G23" i="44"/>
  <c r="A24" i="44"/>
  <c r="B24" i="44"/>
  <c r="C24" i="44"/>
  <c r="D24" i="44"/>
  <c r="E24" i="44"/>
  <c r="F24" i="44"/>
  <c r="G24" i="44"/>
  <c r="A25" i="44"/>
  <c r="B25" i="44"/>
  <c r="C25" i="44"/>
  <c r="D25" i="44"/>
  <c r="E25" i="44"/>
  <c r="F25" i="44"/>
  <c r="G25" i="44"/>
  <c r="A26" i="44"/>
  <c r="B26" i="44"/>
  <c r="C26" i="44"/>
  <c r="D26" i="44"/>
  <c r="E26" i="44"/>
  <c r="F26" i="44"/>
  <c r="G26" i="44"/>
  <c r="A27" i="44"/>
  <c r="B27" i="44"/>
  <c r="C27" i="44"/>
  <c r="D27" i="44"/>
  <c r="E27" i="44"/>
  <c r="F27" i="44"/>
  <c r="G27" i="44"/>
  <c r="A28" i="44"/>
  <c r="B28" i="44"/>
  <c r="C28" i="44"/>
  <c r="D28" i="44"/>
  <c r="E28" i="44"/>
  <c r="F28" i="44"/>
  <c r="G28" i="44"/>
  <c r="A29" i="44"/>
  <c r="B29" i="44"/>
  <c r="C29" i="44"/>
  <c r="D29" i="44"/>
  <c r="E29" i="44"/>
  <c r="F29" i="44"/>
  <c r="G29" i="44"/>
  <c r="A30" i="44"/>
  <c r="B30" i="44"/>
  <c r="C30" i="44"/>
  <c r="D30" i="44"/>
  <c r="E30" i="44"/>
  <c r="F30" i="44"/>
  <c r="G30" i="44"/>
  <c r="A31" i="44"/>
  <c r="B31" i="44"/>
  <c r="C31" i="44"/>
  <c r="D31" i="44"/>
  <c r="E31" i="44"/>
  <c r="F31" i="44"/>
  <c r="G31" i="44"/>
  <c r="A32" i="44"/>
  <c r="B32" i="44"/>
  <c r="C32" i="44"/>
  <c r="D32" i="44"/>
  <c r="E32" i="44"/>
  <c r="F32" i="44"/>
  <c r="G32" i="44"/>
  <c r="A33" i="44"/>
  <c r="B33" i="44"/>
  <c r="C33" i="44"/>
  <c r="D33" i="44"/>
  <c r="E33" i="44"/>
  <c r="F33" i="44"/>
  <c r="G33" i="44"/>
  <c r="A34" i="44"/>
  <c r="B34" i="44"/>
  <c r="C34" i="44"/>
  <c r="D34" i="44"/>
  <c r="E34" i="44"/>
  <c r="F34" i="44"/>
  <c r="G34" i="44"/>
  <c r="A35" i="44"/>
  <c r="B35" i="44"/>
  <c r="C35" i="44"/>
  <c r="D35" i="44"/>
  <c r="E35" i="44"/>
  <c r="F35" i="44"/>
  <c r="G35" i="44"/>
  <c r="A36" i="44"/>
  <c r="B36" i="44"/>
  <c r="C36" i="44"/>
  <c r="D36" i="44"/>
  <c r="E36" i="44"/>
  <c r="F36" i="44"/>
  <c r="G36" i="44"/>
  <c r="A37" i="44"/>
  <c r="B37" i="44"/>
  <c r="C37" i="44"/>
  <c r="D37" i="44"/>
  <c r="E37" i="44"/>
  <c r="F37" i="44"/>
  <c r="G37" i="44"/>
  <c r="A38" i="44"/>
  <c r="B38" i="44"/>
  <c r="C38" i="44"/>
  <c r="D38" i="44"/>
  <c r="E38" i="44"/>
  <c r="F38" i="44"/>
  <c r="G38" i="44"/>
  <c r="A39" i="44"/>
  <c r="B39" i="44"/>
  <c r="C39" i="44"/>
  <c r="D39" i="44"/>
  <c r="E39" i="44"/>
  <c r="F39" i="44"/>
  <c r="G39" i="44"/>
  <c r="A40" i="44"/>
  <c r="B40" i="44"/>
  <c r="C40" i="44"/>
  <c r="D40" i="44"/>
  <c r="E40" i="44"/>
  <c r="F40" i="44"/>
  <c r="G40" i="44"/>
  <c r="A41" i="44"/>
  <c r="B41" i="44"/>
  <c r="C41" i="44"/>
  <c r="D41" i="44"/>
  <c r="E41" i="44"/>
  <c r="F41" i="44"/>
  <c r="G41" i="44"/>
  <c r="A42" i="44"/>
  <c r="B42" i="44"/>
  <c r="C42" i="44"/>
  <c r="D42" i="44"/>
  <c r="E42" i="44"/>
  <c r="F42" i="44"/>
  <c r="G42" i="44"/>
  <c r="A43" i="44"/>
  <c r="B43" i="44"/>
  <c r="C43" i="44"/>
  <c r="D43" i="44"/>
  <c r="E43" i="44"/>
  <c r="F43" i="44"/>
  <c r="G43" i="44"/>
  <c r="A44" i="44"/>
  <c r="B44" i="44"/>
  <c r="C44" i="44"/>
  <c r="D44" i="44"/>
  <c r="E44" i="44"/>
  <c r="F44" i="44"/>
  <c r="G44" i="44"/>
  <c r="A45" i="44"/>
  <c r="B45" i="44"/>
  <c r="C45" i="44"/>
  <c r="D45" i="44"/>
  <c r="E45" i="44"/>
  <c r="F45" i="44"/>
  <c r="G45" i="44"/>
  <c r="A46" i="44"/>
  <c r="B46" i="44"/>
  <c r="C46" i="44"/>
  <c r="D46" i="44"/>
  <c r="E46" i="44"/>
  <c r="F46" i="44"/>
  <c r="G46" i="44"/>
  <c r="A47" i="44"/>
  <c r="B47" i="44"/>
  <c r="C47" i="44"/>
  <c r="D47" i="44"/>
  <c r="E47" i="44"/>
  <c r="F47" i="44"/>
  <c r="G47" i="44"/>
  <c r="A48" i="44"/>
  <c r="B48" i="44"/>
  <c r="C48" i="44"/>
  <c r="D48" i="44"/>
  <c r="E48" i="44"/>
  <c r="F48" i="44"/>
  <c r="G48" i="44"/>
  <c r="A49" i="44"/>
  <c r="B49" i="44"/>
  <c r="C49" i="44"/>
  <c r="D49" i="44"/>
  <c r="E49" i="44"/>
  <c r="F49" i="44"/>
  <c r="G49" i="44"/>
  <c r="A50" i="44"/>
  <c r="B50" i="44"/>
  <c r="C50" i="44"/>
  <c r="D50" i="44"/>
  <c r="E50" i="44"/>
  <c r="F50" i="44"/>
  <c r="G50" i="44"/>
  <c r="A51" i="44"/>
  <c r="B51" i="44"/>
  <c r="C51" i="44"/>
  <c r="D51" i="44"/>
  <c r="E51" i="44"/>
  <c r="F51" i="44"/>
  <c r="G51" i="44"/>
  <c r="A52" i="44"/>
  <c r="B52" i="44"/>
  <c r="C52" i="44"/>
  <c r="D52" i="44"/>
  <c r="E52" i="44"/>
  <c r="F52" i="44"/>
  <c r="G52" i="44"/>
  <c r="A53" i="44"/>
  <c r="B53" i="44"/>
  <c r="C53" i="44"/>
  <c r="D53" i="44"/>
  <c r="E53" i="44"/>
  <c r="F53" i="44"/>
  <c r="G53" i="44"/>
  <c r="A54" i="44"/>
  <c r="B54" i="44"/>
  <c r="C54" i="44"/>
  <c r="D54" i="44"/>
  <c r="E54" i="44"/>
  <c r="F54" i="44"/>
  <c r="G54" i="44"/>
  <c r="A55" i="44"/>
  <c r="B55" i="44"/>
  <c r="C55" i="44"/>
  <c r="D55" i="44"/>
  <c r="E55" i="44"/>
  <c r="F55" i="44"/>
  <c r="G55" i="44"/>
  <c r="A56" i="44"/>
  <c r="B56" i="44"/>
  <c r="C56" i="44"/>
  <c r="D56" i="44"/>
  <c r="E56" i="44"/>
  <c r="F56" i="44"/>
  <c r="G56" i="44"/>
  <c r="A57" i="44"/>
  <c r="B57" i="44"/>
  <c r="C57" i="44"/>
  <c r="D57" i="44"/>
  <c r="E57" i="44"/>
  <c r="F57" i="44"/>
  <c r="G57" i="44"/>
  <c r="A58" i="44"/>
  <c r="B58" i="44"/>
  <c r="C58" i="44"/>
  <c r="D58" i="44"/>
  <c r="E58" i="44"/>
  <c r="F58" i="44"/>
  <c r="G58" i="44"/>
  <c r="A59" i="44"/>
  <c r="B59" i="44"/>
  <c r="C59" i="44"/>
  <c r="D59" i="44"/>
  <c r="E59" i="44"/>
  <c r="F59" i="44"/>
  <c r="G59" i="44"/>
  <c r="A15" i="31"/>
  <c r="B15" i="31"/>
  <c r="C15" i="31"/>
  <c r="D15" i="31"/>
  <c r="E15" i="31"/>
  <c r="F15" i="31"/>
  <c r="G15" i="31"/>
  <c r="A16" i="31"/>
  <c r="B16" i="31"/>
  <c r="C16" i="31"/>
  <c r="D16" i="31"/>
  <c r="E16" i="31"/>
  <c r="F16" i="31"/>
  <c r="G16" i="31"/>
  <c r="A17" i="31"/>
  <c r="B17" i="31"/>
  <c r="C17" i="31"/>
  <c r="D17" i="31"/>
  <c r="E17" i="31"/>
  <c r="F17" i="31"/>
  <c r="G17" i="31"/>
  <c r="A18" i="31"/>
  <c r="B18" i="31"/>
  <c r="C18" i="31"/>
  <c r="D18" i="31"/>
  <c r="E18" i="31"/>
  <c r="F18" i="31"/>
  <c r="G18" i="31"/>
  <c r="A19" i="31"/>
  <c r="B19" i="31"/>
  <c r="C19" i="31"/>
  <c r="D19" i="31"/>
  <c r="E19" i="31"/>
  <c r="F19" i="31"/>
  <c r="G19" i="31"/>
  <c r="A20" i="31"/>
  <c r="B20" i="31"/>
  <c r="C20" i="31"/>
  <c r="D20" i="31"/>
  <c r="E20" i="31"/>
  <c r="F20" i="31"/>
  <c r="G20" i="31"/>
  <c r="A21" i="31"/>
  <c r="B21" i="31"/>
  <c r="C21" i="31"/>
  <c r="D21" i="31"/>
  <c r="E21" i="31"/>
  <c r="F21" i="31"/>
  <c r="G21" i="31"/>
  <c r="A22" i="31"/>
  <c r="B22" i="31"/>
  <c r="C22" i="31"/>
  <c r="D22" i="31"/>
  <c r="E22" i="31"/>
  <c r="F22" i="31"/>
  <c r="G22" i="31"/>
  <c r="A23" i="31"/>
  <c r="B23" i="31"/>
  <c r="C23" i="31"/>
  <c r="D23" i="31"/>
  <c r="E23" i="31"/>
  <c r="F23" i="31"/>
  <c r="G23" i="31"/>
  <c r="A24" i="31"/>
  <c r="B24" i="31"/>
  <c r="C24" i="31"/>
  <c r="D24" i="31"/>
  <c r="E24" i="31"/>
  <c r="F24" i="31"/>
  <c r="G24" i="31"/>
  <c r="A25" i="31"/>
  <c r="B25" i="31"/>
  <c r="C25" i="31"/>
  <c r="D25" i="31"/>
  <c r="E25" i="31"/>
  <c r="F25" i="31"/>
  <c r="G25" i="31"/>
  <c r="A26" i="31"/>
  <c r="B26" i="31"/>
  <c r="C26" i="31"/>
  <c r="D26" i="31"/>
  <c r="E26" i="31"/>
  <c r="F26" i="31"/>
  <c r="G26" i="31"/>
  <c r="A27" i="31"/>
  <c r="B27" i="31"/>
  <c r="C27" i="31"/>
  <c r="D27" i="31"/>
  <c r="E27" i="31"/>
  <c r="F27" i="31"/>
  <c r="G27" i="31"/>
  <c r="A28" i="31"/>
  <c r="B28" i="31"/>
  <c r="C28" i="31"/>
  <c r="D28" i="31"/>
  <c r="E28" i="31"/>
  <c r="F28" i="31"/>
  <c r="G28" i="31"/>
  <c r="A29" i="31"/>
  <c r="B29" i="31"/>
  <c r="C29" i="31"/>
  <c r="D29" i="31"/>
  <c r="E29" i="31"/>
  <c r="F29" i="31"/>
  <c r="G29" i="31"/>
  <c r="A30" i="31"/>
  <c r="B30" i="31"/>
  <c r="C30" i="31"/>
  <c r="D30" i="31"/>
  <c r="E30" i="31"/>
  <c r="F30" i="31"/>
  <c r="G30" i="31"/>
  <c r="A31" i="31"/>
  <c r="B31" i="31"/>
  <c r="C31" i="31"/>
  <c r="D31" i="31"/>
  <c r="E31" i="31"/>
  <c r="F31" i="31"/>
  <c r="G31" i="31"/>
  <c r="A32" i="31"/>
  <c r="B32" i="31"/>
  <c r="C32" i="31"/>
  <c r="D32" i="31"/>
  <c r="E32" i="31"/>
  <c r="F32" i="31"/>
  <c r="G32" i="31"/>
  <c r="A33" i="31"/>
  <c r="B33" i="31"/>
  <c r="C33" i="31"/>
  <c r="D33" i="31"/>
  <c r="E33" i="31"/>
  <c r="F33" i="31"/>
  <c r="G33" i="31"/>
  <c r="A34" i="31"/>
  <c r="B34" i="31"/>
  <c r="C34" i="31"/>
  <c r="D34" i="31"/>
  <c r="E34" i="31"/>
  <c r="F34" i="31"/>
  <c r="G34" i="31"/>
  <c r="A35" i="31"/>
  <c r="B35" i="31"/>
  <c r="C35" i="31"/>
  <c r="D35" i="31"/>
  <c r="E35" i="31"/>
  <c r="F35" i="31"/>
  <c r="G35" i="31"/>
  <c r="A36" i="31"/>
  <c r="B36" i="31"/>
  <c r="C36" i="31"/>
  <c r="D36" i="31"/>
  <c r="E36" i="31"/>
  <c r="F36" i="31"/>
  <c r="G36" i="31"/>
  <c r="A37" i="31"/>
  <c r="B37" i="31"/>
  <c r="C37" i="31"/>
  <c r="D37" i="31"/>
  <c r="E37" i="31"/>
  <c r="F37" i="31"/>
  <c r="G37" i="31"/>
  <c r="A38" i="31"/>
  <c r="B38" i="31"/>
  <c r="C38" i="31"/>
  <c r="D38" i="31"/>
  <c r="E38" i="31"/>
  <c r="F38" i="31"/>
  <c r="G38" i="31"/>
  <c r="A39" i="31"/>
  <c r="B39" i="31"/>
  <c r="C39" i="31"/>
  <c r="D39" i="31"/>
  <c r="E39" i="31"/>
  <c r="F39" i="31"/>
  <c r="G39" i="31"/>
  <c r="A40" i="31"/>
  <c r="B40" i="31"/>
  <c r="C40" i="31"/>
  <c r="D40" i="31"/>
  <c r="E40" i="31"/>
  <c r="F40" i="31"/>
  <c r="G40" i="31"/>
  <c r="A41" i="31"/>
  <c r="B41" i="31"/>
  <c r="C41" i="31"/>
  <c r="D41" i="31"/>
  <c r="E41" i="31"/>
  <c r="F41" i="31"/>
  <c r="G41" i="31"/>
  <c r="A42" i="31"/>
  <c r="B42" i="31"/>
  <c r="C42" i="31"/>
  <c r="D42" i="31"/>
  <c r="E42" i="31"/>
  <c r="F42" i="31"/>
  <c r="G42" i="31"/>
  <c r="A43" i="31"/>
  <c r="B43" i="31"/>
  <c r="C43" i="31"/>
  <c r="D43" i="31"/>
  <c r="E43" i="31"/>
  <c r="F43" i="31"/>
  <c r="G43" i="31"/>
  <c r="A44" i="31"/>
  <c r="B44" i="31"/>
  <c r="C44" i="31"/>
  <c r="D44" i="31"/>
  <c r="E44" i="31"/>
  <c r="F44" i="31"/>
  <c r="G44" i="31"/>
  <c r="A45" i="31"/>
  <c r="B45" i="31"/>
  <c r="C45" i="31"/>
  <c r="D45" i="31"/>
  <c r="E45" i="31"/>
  <c r="F45" i="31"/>
  <c r="G45" i="31"/>
  <c r="A46" i="31"/>
  <c r="B46" i="31"/>
  <c r="C46" i="31"/>
  <c r="D46" i="31"/>
  <c r="E46" i="31"/>
  <c r="F46" i="31"/>
  <c r="G46" i="31"/>
  <c r="A47" i="31"/>
  <c r="B47" i="31"/>
  <c r="C47" i="31"/>
  <c r="D47" i="31"/>
  <c r="E47" i="31"/>
  <c r="F47" i="31"/>
  <c r="G47" i="31"/>
  <c r="A48" i="31"/>
  <c r="B48" i="31"/>
  <c r="C48" i="31"/>
  <c r="D48" i="31"/>
  <c r="E48" i="31"/>
  <c r="F48" i="31"/>
  <c r="G48" i="31"/>
  <c r="A49" i="31"/>
  <c r="B49" i="31"/>
  <c r="C49" i="31"/>
  <c r="D49" i="31"/>
  <c r="E49" i="31"/>
  <c r="F49" i="31"/>
  <c r="G49" i="31"/>
  <c r="A50" i="31"/>
  <c r="B50" i="31"/>
  <c r="C50" i="31"/>
  <c r="D50" i="31"/>
  <c r="E50" i="31"/>
  <c r="F50" i="31"/>
  <c r="G50" i="31"/>
  <c r="A51" i="31"/>
  <c r="B51" i="31"/>
  <c r="C51" i="31"/>
  <c r="D51" i="31"/>
  <c r="E51" i="31"/>
  <c r="F51" i="31"/>
  <c r="G51" i="31"/>
  <c r="A15" i="21"/>
  <c r="B15" i="21"/>
  <c r="C15" i="21"/>
  <c r="D15" i="21"/>
  <c r="E15" i="21"/>
  <c r="F15" i="21"/>
  <c r="G15" i="21"/>
  <c r="A16" i="21"/>
  <c r="B16" i="21"/>
  <c r="C16" i="21"/>
  <c r="D16" i="21"/>
  <c r="E16" i="21"/>
  <c r="F16" i="21"/>
  <c r="G16" i="21"/>
  <c r="A17" i="21"/>
  <c r="B17" i="21"/>
  <c r="C17" i="21"/>
  <c r="D17" i="21"/>
  <c r="E17" i="21"/>
  <c r="F17" i="21"/>
  <c r="G17" i="21"/>
  <c r="A18" i="21"/>
  <c r="B18" i="21"/>
  <c r="C18" i="21"/>
  <c r="D18" i="21"/>
  <c r="E18" i="21"/>
  <c r="F18" i="21"/>
  <c r="G18" i="21"/>
  <c r="A19" i="21"/>
  <c r="B19" i="21"/>
  <c r="C19" i="21"/>
  <c r="D19" i="21"/>
  <c r="E19" i="21"/>
  <c r="F19" i="21"/>
  <c r="G19" i="21"/>
  <c r="A20" i="21"/>
  <c r="B20" i="21"/>
  <c r="C20" i="21"/>
  <c r="D20" i="21"/>
  <c r="E20" i="21"/>
  <c r="F20" i="21"/>
  <c r="G20" i="21"/>
  <c r="A21" i="21"/>
  <c r="B21" i="21"/>
  <c r="C21" i="21"/>
  <c r="D21" i="21"/>
  <c r="E21" i="21"/>
  <c r="F21" i="21"/>
  <c r="G21" i="21"/>
  <c r="A22" i="21"/>
  <c r="B22" i="21"/>
  <c r="C22" i="21"/>
  <c r="D22" i="21"/>
  <c r="E22" i="21"/>
  <c r="F22" i="21"/>
  <c r="G22" i="21"/>
  <c r="A23" i="21"/>
  <c r="B23" i="21"/>
  <c r="C23" i="21"/>
  <c r="D23" i="21"/>
  <c r="E23" i="21"/>
  <c r="F23" i="21"/>
  <c r="G23" i="21"/>
  <c r="A24" i="21"/>
  <c r="B24" i="21"/>
  <c r="C24" i="21"/>
  <c r="D24" i="21"/>
  <c r="E24" i="21"/>
  <c r="F24" i="21"/>
  <c r="G24" i="21"/>
  <c r="A25" i="21"/>
  <c r="B25" i="21"/>
  <c r="C25" i="21"/>
  <c r="D25" i="21"/>
  <c r="E25" i="21"/>
  <c r="F25" i="21"/>
  <c r="G25" i="21"/>
  <c r="A26" i="21"/>
  <c r="B26" i="21"/>
  <c r="C26" i="21"/>
  <c r="D26" i="21"/>
  <c r="E26" i="21"/>
  <c r="F26" i="21"/>
  <c r="G26" i="21"/>
  <c r="A27" i="21"/>
  <c r="B27" i="21"/>
  <c r="C27" i="21"/>
  <c r="D27" i="21"/>
  <c r="E27" i="21"/>
  <c r="F27" i="21"/>
  <c r="G27" i="21"/>
  <c r="A28" i="21"/>
  <c r="B28" i="21"/>
  <c r="C28" i="21"/>
  <c r="D28" i="21"/>
  <c r="E28" i="21"/>
  <c r="F28" i="21"/>
  <c r="G28" i="21"/>
  <c r="A29" i="21"/>
  <c r="B29" i="21"/>
  <c r="C29" i="21"/>
  <c r="D29" i="21"/>
  <c r="E29" i="21"/>
  <c r="F29" i="21"/>
  <c r="G29" i="21"/>
  <c r="A30" i="21"/>
  <c r="B30" i="21"/>
  <c r="C30" i="21"/>
  <c r="D30" i="21"/>
  <c r="E30" i="21"/>
  <c r="F30" i="21"/>
  <c r="G30" i="21"/>
  <c r="A31" i="21"/>
  <c r="B31" i="21"/>
  <c r="C31" i="21"/>
  <c r="D31" i="21"/>
  <c r="E31" i="21"/>
  <c r="F31" i="21"/>
  <c r="G31" i="21"/>
  <c r="A32" i="21"/>
  <c r="B32" i="21"/>
  <c r="C32" i="21"/>
  <c r="D32" i="21"/>
  <c r="E32" i="21"/>
  <c r="F32" i="21"/>
  <c r="G32" i="21"/>
  <c r="A33" i="21"/>
  <c r="B33" i="21"/>
  <c r="C33" i="21"/>
  <c r="D33" i="21"/>
  <c r="E33" i="21"/>
  <c r="F33" i="21"/>
  <c r="G33" i="21"/>
  <c r="A34" i="21"/>
  <c r="B34" i="21"/>
  <c r="C34" i="21"/>
  <c r="D34" i="21"/>
  <c r="E34" i="21"/>
  <c r="F34" i="21"/>
  <c r="G34" i="21"/>
  <c r="A35" i="21"/>
  <c r="B35" i="21"/>
  <c r="C35" i="21"/>
  <c r="D35" i="21"/>
  <c r="E35" i="21"/>
  <c r="F35" i="21"/>
  <c r="G35" i="21"/>
  <c r="A36" i="21"/>
  <c r="B36" i="21"/>
  <c r="C36" i="21"/>
  <c r="D36" i="21"/>
  <c r="E36" i="21"/>
  <c r="F36" i="21"/>
  <c r="G36" i="21"/>
  <c r="A37" i="21"/>
  <c r="B37" i="21"/>
  <c r="C37" i="21"/>
  <c r="D37" i="21"/>
  <c r="E37" i="21"/>
  <c r="F37" i="21"/>
  <c r="G37" i="21"/>
  <c r="A38" i="21"/>
  <c r="B38" i="21"/>
  <c r="C38" i="21"/>
  <c r="D38" i="21"/>
  <c r="E38" i="21"/>
  <c r="F38" i="21"/>
  <c r="G38" i="21"/>
  <c r="A39" i="21"/>
  <c r="B39" i="21"/>
  <c r="C39" i="21"/>
  <c r="D39" i="21"/>
  <c r="E39" i="21"/>
  <c r="F39" i="21"/>
  <c r="G39" i="21"/>
  <c r="A40" i="21"/>
  <c r="B40" i="21"/>
  <c r="C40" i="21"/>
  <c r="D40" i="21"/>
  <c r="E40" i="21"/>
  <c r="F40" i="21"/>
  <c r="G40" i="21"/>
  <c r="A41" i="21"/>
  <c r="B41" i="21"/>
  <c r="C41" i="21"/>
  <c r="D41" i="21"/>
  <c r="E41" i="21"/>
  <c r="F41" i="21"/>
  <c r="G41" i="21"/>
  <c r="A42" i="21"/>
  <c r="B42" i="21"/>
  <c r="C42" i="21"/>
  <c r="D42" i="21"/>
  <c r="E42" i="21"/>
  <c r="F42" i="21"/>
  <c r="G42" i="21"/>
  <c r="A15" i="27"/>
  <c r="B15" i="27"/>
  <c r="C15" i="27"/>
  <c r="D15" i="27"/>
  <c r="E15" i="27"/>
  <c r="F15" i="27"/>
  <c r="G15" i="27"/>
  <c r="A16" i="27"/>
  <c r="B16" i="27"/>
  <c r="C16" i="27"/>
  <c r="D16" i="27"/>
  <c r="E16" i="27"/>
  <c r="F16" i="27"/>
  <c r="G16" i="27"/>
  <c r="A17" i="27"/>
  <c r="B17" i="27"/>
  <c r="C17" i="27"/>
  <c r="D17" i="27"/>
  <c r="E17" i="27"/>
  <c r="F17" i="27"/>
  <c r="G17" i="27"/>
  <c r="A18" i="27"/>
  <c r="B18" i="27"/>
  <c r="C18" i="27"/>
  <c r="D18" i="27"/>
  <c r="E18" i="27"/>
  <c r="F18" i="27"/>
  <c r="G18" i="27"/>
  <c r="A19" i="27"/>
  <c r="B19" i="27"/>
  <c r="C19" i="27"/>
  <c r="D19" i="27"/>
  <c r="E19" i="27"/>
  <c r="F19" i="27"/>
  <c r="G19" i="27"/>
  <c r="A20" i="27"/>
  <c r="B20" i="27"/>
  <c r="C20" i="27"/>
  <c r="D20" i="27"/>
  <c r="E20" i="27"/>
  <c r="F20" i="27"/>
  <c r="G20" i="27"/>
  <c r="A21" i="27"/>
  <c r="B21" i="27"/>
  <c r="C21" i="27"/>
  <c r="D21" i="27"/>
  <c r="E21" i="27"/>
  <c r="F21" i="27"/>
  <c r="G21" i="27"/>
  <c r="A22" i="27"/>
  <c r="B22" i="27"/>
  <c r="C22" i="27"/>
  <c r="D22" i="27"/>
  <c r="E22" i="27"/>
  <c r="F22" i="27"/>
  <c r="G22" i="27"/>
  <c r="A23" i="27"/>
  <c r="B23" i="27"/>
  <c r="C23" i="27"/>
  <c r="D23" i="27"/>
  <c r="E23" i="27"/>
  <c r="F23" i="27"/>
  <c r="G23" i="27"/>
  <c r="A24" i="27"/>
  <c r="B24" i="27"/>
  <c r="C24" i="27"/>
  <c r="D24" i="27"/>
  <c r="E24" i="27"/>
  <c r="F24" i="27"/>
  <c r="G24" i="27"/>
  <c r="A25" i="27"/>
  <c r="B25" i="27"/>
  <c r="C25" i="27"/>
  <c r="D25" i="27"/>
  <c r="E25" i="27"/>
  <c r="F25" i="27"/>
  <c r="G25" i="27"/>
  <c r="A26" i="27"/>
  <c r="B26" i="27"/>
  <c r="C26" i="27"/>
  <c r="D26" i="27"/>
  <c r="E26" i="27"/>
  <c r="F26" i="27"/>
  <c r="G26" i="27"/>
  <c r="A27" i="27"/>
  <c r="B27" i="27"/>
  <c r="C27" i="27"/>
  <c r="D27" i="27"/>
  <c r="E27" i="27"/>
  <c r="F27" i="27"/>
  <c r="G27" i="27"/>
  <c r="A28" i="27"/>
  <c r="B28" i="27"/>
  <c r="C28" i="27"/>
  <c r="D28" i="27"/>
  <c r="E28" i="27"/>
  <c r="F28" i="27"/>
  <c r="G28" i="27"/>
  <c r="A29" i="27"/>
  <c r="B29" i="27"/>
  <c r="C29" i="27"/>
  <c r="D29" i="27"/>
  <c r="E29" i="27"/>
  <c r="F29" i="27"/>
  <c r="G29" i="27"/>
  <c r="A30" i="27"/>
  <c r="B30" i="27"/>
  <c r="C30" i="27"/>
  <c r="D30" i="27"/>
  <c r="E30" i="27"/>
  <c r="F30" i="27"/>
  <c r="G30" i="27"/>
  <c r="A31" i="27"/>
  <c r="B31" i="27"/>
  <c r="C31" i="27"/>
  <c r="D31" i="27"/>
  <c r="E31" i="27"/>
  <c r="F31" i="27"/>
  <c r="G31" i="27"/>
  <c r="A32" i="27"/>
  <c r="B32" i="27"/>
  <c r="C32" i="27"/>
  <c r="D32" i="27"/>
  <c r="E32" i="27"/>
  <c r="F32" i="27"/>
  <c r="G32" i="27"/>
  <c r="A33" i="27"/>
  <c r="B33" i="27"/>
  <c r="C33" i="27"/>
  <c r="D33" i="27"/>
  <c r="E33" i="27"/>
  <c r="F33" i="27"/>
  <c r="G33" i="27"/>
  <c r="A34" i="27"/>
  <c r="B34" i="27"/>
  <c r="C34" i="27"/>
  <c r="D34" i="27"/>
  <c r="E34" i="27"/>
  <c r="F34" i="27"/>
  <c r="G34" i="27"/>
  <c r="A35" i="27"/>
  <c r="B35" i="27"/>
  <c r="C35" i="27"/>
  <c r="D35" i="27"/>
  <c r="E35" i="27"/>
  <c r="F35" i="27"/>
  <c r="G35" i="27"/>
  <c r="A36" i="27"/>
  <c r="B36" i="27"/>
  <c r="C36" i="27"/>
  <c r="D36" i="27"/>
  <c r="E36" i="27"/>
  <c r="F36" i="27"/>
  <c r="G36" i="27"/>
  <c r="J83" i="37"/>
  <c r="M83" i="37"/>
  <c r="P83" i="37"/>
  <c r="S83" i="37"/>
  <c r="J84" i="37"/>
  <c r="M84" i="37"/>
  <c r="P84" i="37"/>
  <c r="S84" i="37"/>
  <c r="J85" i="37"/>
  <c r="M85" i="37"/>
  <c r="P85" i="37"/>
  <c r="S85" i="37"/>
  <c r="J86" i="37"/>
  <c r="M86" i="37"/>
  <c r="P86" i="37"/>
  <c r="S86" i="37"/>
  <c r="J87" i="37"/>
  <c r="M87" i="37"/>
  <c r="P87" i="37"/>
  <c r="S87" i="37"/>
  <c r="J88" i="37"/>
  <c r="M88" i="37"/>
  <c r="P88" i="37"/>
  <c r="S88" i="37"/>
  <c r="J89" i="37"/>
  <c r="M89" i="37"/>
  <c r="P89" i="37"/>
  <c r="S89" i="37"/>
  <c r="J90" i="37"/>
  <c r="M90" i="37"/>
  <c r="P90" i="37"/>
  <c r="S90" i="37"/>
  <c r="J91" i="37"/>
  <c r="M91" i="37"/>
  <c r="P91" i="37"/>
  <c r="S91" i="37"/>
  <c r="J92" i="37"/>
  <c r="M92" i="37"/>
  <c r="P92" i="37"/>
  <c r="S92" i="37"/>
  <c r="J93" i="37"/>
  <c r="M93" i="37"/>
  <c r="P93" i="37"/>
  <c r="S93" i="37"/>
  <c r="J94" i="37"/>
  <c r="M94" i="37"/>
  <c r="P94" i="37"/>
  <c r="S94" i="37"/>
  <c r="J95" i="37"/>
  <c r="M95" i="37"/>
  <c r="P95" i="37"/>
  <c r="S95" i="37"/>
  <c r="J96" i="37"/>
  <c r="M96" i="37"/>
  <c r="P96" i="37"/>
  <c r="S96" i="37"/>
  <c r="J97" i="37"/>
  <c r="M97" i="37"/>
  <c r="P97" i="37"/>
  <c r="S97" i="37"/>
  <c r="J98" i="37"/>
  <c r="M98" i="37"/>
  <c r="P98" i="37"/>
  <c r="S98" i="37"/>
  <c r="J99" i="37"/>
  <c r="M99" i="37"/>
  <c r="P99" i="37"/>
  <c r="S99" i="37"/>
  <c r="J100" i="37"/>
  <c r="M100" i="37"/>
  <c r="P100" i="37"/>
  <c r="S100" i="37"/>
  <c r="A74" i="42"/>
  <c r="B74" i="42"/>
  <c r="C74" i="42"/>
  <c r="D74" i="42"/>
  <c r="E74" i="42"/>
  <c r="F74" i="42"/>
  <c r="G74" i="42"/>
  <c r="A75" i="42"/>
  <c r="B75" i="42"/>
  <c r="C75" i="42"/>
  <c r="D75" i="42"/>
  <c r="E75" i="42"/>
  <c r="F75" i="42"/>
  <c r="G75" i="42"/>
  <c r="A76" i="42"/>
  <c r="B76" i="42"/>
  <c r="C76" i="42"/>
  <c r="D76" i="42"/>
  <c r="E76" i="42"/>
  <c r="F76" i="42"/>
  <c r="G76" i="42"/>
  <c r="A77" i="42"/>
  <c r="B77" i="42"/>
  <c r="C77" i="42"/>
  <c r="D77" i="42"/>
  <c r="E77" i="42"/>
  <c r="F77" i="42"/>
  <c r="G77" i="42"/>
  <c r="A78" i="42"/>
  <c r="B78" i="42"/>
  <c r="C78" i="42"/>
  <c r="D78" i="42"/>
  <c r="E78" i="42"/>
  <c r="F78" i="42"/>
  <c r="G78" i="42"/>
  <c r="A79" i="42"/>
  <c r="B79" i="42"/>
  <c r="C79" i="42"/>
  <c r="D79" i="42"/>
  <c r="E79" i="42"/>
  <c r="F79" i="42"/>
  <c r="G79" i="42"/>
  <c r="A80" i="42"/>
  <c r="B80" i="42"/>
  <c r="C80" i="42"/>
  <c r="D80" i="42"/>
  <c r="E80" i="42"/>
  <c r="F80" i="42"/>
  <c r="G80" i="42"/>
  <c r="A81" i="42"/>
  <c r="B81" i="42"/>
  <c r="C81" i="42"/>
  <c r="D81" i="42"/>
  <c r="E81" i="42"/>
  <c r="F81" i="42"/>
  <c r="G81" i="42"/>
  <c r="A82" i="42"/>
  <c r="B82" i="42"/>
  <c r="C82" i="42"/>
  <c r="D82" i="42"/>
  <c r="E82" i="42"/>
  <c r="F82" i="42"/>
  <c r="G82" i="42"/>
  <c r="A83" i="42"/>
  <c r="B83" i="42"/>
  <c r="C83" i="42"/>
  <c r="D83" i="42"/>
  <c r="E83" i="42"/>
  <c r="F83" i="42"/>
  <c r="G83" i="42"/>
  <c r="A84" i="42"/>
  <c r="B84" i="42"/>
  <c r="C84" i="42"/>
  <c r="D84" i="42"/>
  <c r="E84" i="42"/>
  <c r="F84" i="42"/>
  <c r="G84" i="42"/>
  <c r="A85" i="42"/>
  <c r="B85" i="42"/>
  <c r="C85" i="42"/>
  <c r="D85" i="42"/>
  <c r="E85" i="42"/>
  <c r="F85" i="42"/>
  <c r="G85" i="42"/>
  <c r="J74" i="37"/>
  <c r="M74" i="37"/>
  <c r="P74" i="37"/>
  <c r="S74" i="37"/>
  <c r="J75" i="37"/>
  <c r="M75" i="37"/>
  <c r="P75" i="37"/>
  <c r="S75" i="37"/>
  <c r="J76" i="37"/>
  <c r="M76" i="37"/>
  <c r="P76" i="37"/>
  <c r="S76" i="37"/>
  <c r="J77" i="37"/>
  <c r="M77" i="37"/>
  <c r="P77" i="37"/>
  <c r="S77" i="37"/>
  <c r="J78" i="37"/>
  <c r="M78" i="37"/>
  <c r="P78" i="37"/>
  <c r="S78" i="37"/>
  <c r="J79" i="37"/>
  <c r="M79" i="37"/>
  <c r="P79" i="37"/>
  <c r="S79" i="37"/>
  <c r="J80" i="37"/>
  <c r="M80" i="37"/>
  <c r="P80" i="37"/>
  <c r="S80" i="37"/>
  <c r="J81" i="37"/>
  <c r="M81" i="37"/>
  <c r="P81" i="37"/>
  <c r="S81" i="37"/>
  <c r="J82" i="37"/>
  <c r="M82" i="37"/>
  <c r="P82" i="37"/>
  <c r="S82" i="37"/>
  <c r="D8" i="58" l="1"/>
  <c r="D6" i="67" s="1"/>
  <c r="A43" i="21"/>
  <c r="B43" i="21"/>
  <c r="C43" i="21"/>
  <c r="D43" i="21"/>
  <c r="E43" i="21"/>
  <c r="F43" i="21"/>
  <c r="G43" i="21"/>
  <c r="A44" i="21"/>
  <c r="B44" i="21"/>
  <c r="C44" i="21"/>
  <c r="D44" i="21"/>
  <c r="E44" i="21"/>
  <c r="F44" i="21"/>
  <c r="G44" i="21"/>
  <c r="A45" i="21"/>
  <c r="B45" i="21"/>
  <c r="C45" i="21"/>
  <c r="D45" i="21"/>
  <c r="E45" i="21"/>
  <c r="F45" i="21"/>
  <c r="G45" i="21"/>
  <c r="A46" i="21"/>
  <c r="B46" i="21"/>
  <c r="C46" i="21"/>
  <c r="D46" i="21"/>
  <c r="E46" i="21"/>
  <c r="F46" i="21"/>
  <c r="G46" i="21"/>
  <c r="A47" i="21"/>
  <c r="B47" i="21"/>
  <c r="C47" i="21"/>
  <c r="D47" i="21"/>
  <c r="E47" i="21"/>
  <c r="F47" i="21"/>
  <c r="G47" i="21"/>
  <c r="A48" i="21"/>
  <c r="B48" i="21"/>
  <c r="C48" i="21"/>
  <c r="D48" i="21"/>
  <c r="E48" i="21"/>
  <c r="F48" i="21"/>
  <c r="G48" i="21"/>
  <c r="A49" i="21"/>
  <c r="B49" i="21"/>
  <c r="C49" i="21"/>
  <c r="D49" i="21"/>
  <c r="E49" i="21"/>
  <c r="F49" i="21"/>
  <c r="G49" i="21"/>
  <c r="A50" i="21"/>
  <c r="B50" i="21"/>
  <c r="C50" i="21"/>
  <c r="D50" i="21"/>
  <c r="E50" i="21"/>
  <c r="F50" i="21"/>
  <c r="G50" i="21"/>
  <c r="A51" i="21"/>
  <c r="B51" i="21"/>
  <c r="C51" i="21"/>
  <c r="D51" i="21"/>
  <c r="E51" i="21"/>
  <c r="F51" i="21"/>
  <c r="G51" i="21"/>
  <c r="A52" i="21"/>
  <c r="B52" i="21"/>
  <c r="C52" i="21"/>
  <c r="D52" i="21"/>
  <c r="E52" i="21"/>
  <c r="F52" i="21"/>
  <c r="G52" i="21"/>
  <c r="A53" i="21"/>
  <c r="B53" i="21"/>
  <c r="C53" i="21"/>
  <c r="D53" i="21"/>
  <c r="E53" i="21"/>
  <c r="F53" i="21"/>
  <c r="G53" i="21"/>
  <c r="A54" i="21"/>
  <c r="B54" i="21"/>
  <c r="C54" i="21"/>
  <c r="D54" i="21"/>
  <c r="E54" i="21"/>
  <c r="F54" i="21"/>
  <c r="G54" i="21"/>
  <c r="A55" i="21"/>
  <c r="B55" i="21"/>
  <c r="C55" i="21"/>
  <c r="D55" i="21"/>
  <c r="E55" i="21"/>
  <c r="F55" i="21"/>
  <c r="G55" i="21"/>
  <c r="A56" i="21"/>
  <c r="B56" i="21"/>
  <c r="C56" i="21"/>
  <c r="D56" i="21"/>
  <c r="E56" i="21"/>
  <c r="F56" i="21"/>
  <c r="G56" i="21"/>
  <c r="A57" i="21"/>
  <c r="B57" i="21"/>
  <c r="C57" i="21"/>
  <c r="D57" i="21"/>
  <c r="E57" i="21"/>
  <c r="F57" i="21"/>
  <c r="G57" i="21"/>
  <c r="A58" i="21"/>
  <c r="B58" i="21"/>
  <c r="C58" i="21"/>
  <c r="D58" i="21"/>
  <c r="E58" i="21"/>
  <c r="F58" i="21"/>
  <c r="G58" i="21"/>
  <c r="A70" i="42"/>
  <c r="B70" i="42"/>
  <c r="C70" i="42"/>
  <c r="D70" i="42"/>
  <c r="E70" i="42"/>
  <c r="F70" i="42"/>
  <c r="G70" i="42"/>
  <c r="A71" i="42"/>
  <c r="B71" i="42"/>
  <c r="C71" i="42"/>
  <c r="D71" i="42"/>
  <c r="E71" i="42"/>
  <c r="F71" i="42"/>
  <c r="G71" i="42"/>
  <c r="A72" i="42"/>
  <c r="B72" i="42"/>
  <c r="C72" i="42"/>
  <c r="D72" i="42"/>
  <c r="E72" i="42"/>
  <c r="F72" i="42"/>
  <c r="G72" i="42"/>
  <c r="A73" i="42"/>
  <c r="B73" i="42"/>
  <c r="C73" i="42"/>
  <c r="D73" i="42"/>
  <c r="E73" i="42"/>
  <c r="F73" i="42"/>
  <c r="G73" i="42"/>
  <c r="A37" i="27"/>
  <c r="B37" i="27"/>
  <c r="C37" i="27"/>
  <c r="D37" i="27"/>
  <c r="E37" i="27"/>
  <c r="F37" i="27"/>
  <c r="G37" i="27"/>
  <c r="A38" i="27"/>
  <c r="B38" i="27"/>
  <c r="C38" i="27"/>
  <c r="D38" i="27"/>
  <c r="E38" i="27"/>
  <c r="F38" i="27"/>
  <c r="G38" i="27"/>
  <c r="A39" i="27"/>
  <c r="B39" i="27"/>
  <c r="C39" i="27"/>
  <c r="D39" i="27"/>
  <c r="E39" i="27"/>
  <c r="F39" i="27"/>
  <c r="G39" i="27"/>
  <c r="A40" i="27"/>
  <c r="B40" i="27"/>
  <c r="C40" i="27"/>
  <c r="D40" i="27"/>
  <c r="E40" i="27"/>
  <c r="F40" i="27"/>
  <c r="G40" i="27"/>
  <c r="A41" i="27"/>
  <c r="B41" i="27"/>
  <c r="C41" i="27"/>
  <c r="D41" i="27"/>
  <c r="E41" i="27"/>
  <c r="F41" i="27"/>
  <c r="G41" i="27"/>
  <c r="A42" i="27"/>
  <c r="B42" i="27"/>
  <c r="C42" i="27"/>
  <c r="D42" i="27"/>
  <c r="E42" i="27"/>
  <c r="F42" i="27"/>
  <c r="G42" i="27"/>
  <c r="A43" i="27"/>
  <c r="B43" i="27"/>
  <c r="C43" i="27"/>
  <c r="D43" i="27"/>
  <c r="E43" i="27"/>
  <c r="F43" i="27"/>
  <c r="G43" i="27"/>
  <c r="C14" i="27"/>
  <c r="D14" i="27"/>
  <c r="E14" i="27"/>
  <c r="F14" i="27"/>
  <c r="G14" i="27"/>
  <c r="A14" i="27"/>
  <c r="B14" i="27"/>
  <c r="A14" i="60"/>
  <c r="B14" i="60"/>
  <c r="C14" i="60"/>
  <c r="D14" i="60"/>
  <c r="E14" i="60"/>
  <c r="F14" i="60"/>
  <c r="G14" i="60"/>
  <c r="A14" i="56"/>
  <c r="B14" i="56"/>
  <c r="C14" i="56"/>
  <c r="D14" i="56"/>
  <c r="E14" i="56"/>
  <c r="F14" i="56"/>
  <c r="G14" i="56"/>
  <c r="A14" i="55"/>
  <c r="B14" i="55"/>
  <c r="C14" i="55"/>
  <c r="D14" i="55"/>
  <c r="E14" i="55"/>
  <c r="F14" i="55"/>
  <c r="G14" i="55"/>
  <c r="A14" i="46"/>
  <c r="B14" i="46"/>
  <c r="C14" i="46"/>
  <c r="D14" i="46"/>
  <c r="E14" i="46"/>
  <c r="F14" i="46"/>
  <c r="G14" i="46"/>
  <c r="A14" i="58"/>
  <c r="B14" i="58"/>
  <c r="C14" i="58"/>
  <c r="D14" i="58"/>
  <c r="E14" i="58"/>
  <c r="F14" i="58"/>
  <c r="G14" i="58"/>
  <c r="A14" i="42"/>
  <c r="B14" i="42"/>
  <c r="C14" i="42"/>
  <c r="D14" i="42"/>
  <c r="E14" i="42"/>
  <c r="F14" i="42"/>
  <c r="G14" i="42"/>
  <c r="A14" i="44"/>
  <c r="B14" i="44"/>
  <c r="C14" i="44"/>
  <c r="D14" i="44"/>
  <c r="E14" i="44"/>
  <c r="F14" i="44"/>
  <c r="G14" i="44"/>
  <c r="A14" i="31"/>
  <c r="B14" i="31"/>
  <c r="C14" i="31"/>
  <c r="D14" i="31"/>
  <c r="E14" i="31"/>
  <c r="F14" i="31"/>
  <c r="G14" i="31"/>
  <c r="A14" i="21"/>
  <c r="B14" i="21"/>
  <c r="C14" i="21"/>
  <c r="D14" i="21"/>
  <c r="E14" i="21"/>
  <c r="F14" i="21"/>
  <c r="G14" i="21"/>
  <c r="S14" i="32" l="1"/>
  <c r="P14" i="32"/>
  <c r="M14" i="32"/>
  <c r="J14" i="32"/>
  <c r="A67" i="60" l="1"/>
  <c r="B67" i="60"/>
  <c r="C67" i="60"/>
  <c r="E67" i="60"/>
  <c r="G67" i="60"/>
  <c r="A68" i="60"/>
  <c r="B68" i="60"/>
  <c r="C68" i="60"/>
  <c r="E68" i="60"/>
  <c r="G68" i="60"/>
  <c r="A69" i="60"/>
  <c r="B69" i="60"/>
  <c r="C69" i="60"/>
  <c r="E69" i="60"/>
  <c r="G69" i="60"/>
  <c r="A70" i="60"/>
  <c r="B70" i="60"/>
  <c r="C70" i="60"/>
  <c r="E70" i="60"/>
  <c r="G70" i="60"/>
  <c r="A71" i="60"/>
  <c r="B71" i="60"/>
  <c r="C71" i="60"/>
  <c r="E71" i="60"/>
  <c r="G71" i="60"/>
  <c r="A72" i="60"/>
  <c r="B72" i="60"/>
  <c r="C72" i="60"/>
  <c r="E72" i="60"/>
  <c r="G72" i="60"/>
  <c r="A73" i="60"/>
  <c r="B73" i="60"/>
  <c r="C73" i="60"/>
  <c r="E73" i="60"/>
  <c r="G73" i="60"/>
  <c r="F10" i="60"/>
  <c r="F9" i="60"/>
  <c r="D10" i="60"/>
  <c r="D9" i="60"/>
  <c r="B8" i="60"/>
  <c r="B6" i="71" s="1"/>
  <c r="S72" i="59" l="1"/>
  <c r="P72" i="59"/>
  <c r="M72" i="59"/>
  <c r="J72" i="59"/>
  <c r="F73" i="60"/>
  <c r="D73" i="60"/>
  <c r="S71" i="59"/>
  <c r="P71" i="59"/>
  <c r="M71" i="59"/>
  <c r="J71" i="59"/>
  <c r="F72" i="60"/>
  <c r="D72" i="60"/>
  <c r="S70" i="59"/>
  <c r="P70" i="59"/>
  <c r="M70" i="59"/>
  <c r="J70" i="59"/>
  <c r="F71" i="60"/>
  <c r="D71" i="60"/>
  <c r="S69" i="59"/>
  <c r="P69" i="59"/>
  <c r="M69" i="59"/>
  <c r="J69" i="59"/>
  <c r="F70" i="60"/>
  <c r="D70" i="60"/>
  <c r="S68" i="59"/>
  <c r="P68" i="59"/>
  <c r="M68" i="59"/>
  <c r="J68" i="59"/>
  <c r="F69" i="60"/>
  <c r="D69" i="60"/>
  <c r="S67" i="59"/>
  <c r="P67" i="59"/>
  <c r="M67" i="59"/>
  <c r="J67" i="59"/>
  <c r="F68" i="60"/>
  <c r="D68" i="60"/>
  <c r="S66" i="59"/>
  <c r="P66" i="59"/>
  <c r="M66" i="59"/>
  <c r="J66" i="59"/>
  <c r="F67" i="60"/>
  <c r="D67" i="60"/>
  <c r="S65" i="59"/>
  <c r="P65" i="59"/>
  <c r="M65" i="59"/>
  <c r="J65" i="59"/>
  <c r="S64" i="59"/>
  <c r="P64" i="59"/>
  <c r="M64" i="59"/>
  <c r="J64" i="59"/>
  <c r="S63" i="59"/>
  <c r="P63" i="59"/>
  <c r="M63" i="59"/>
  <c r="J63" i="59"/>
  <c r="S62" i="59"/>
  <c r="P62" i="59"/>
  <c r="M62" i="59"/>
  <c r="J62" i="59"/>
  <c r="S61" i="59"/>
  <c r="P61" i="59"/>
  <c r="M61" i="59"/>
  <c r="J61" i="59"/>
  <c r="S60" i="59"/>
  <c r="P60" i="59"/>
  <c r="M60" i="59"/>
  <c r="J60" i="59"/>
  <c r="S59" i="59"/>
  <c r="P59" i="59"/>
  <c r="M59" i="59"/>
  <c r="J59" i="59"/>
  <c r="S58" i="59"/>
  <c r="P58" i="59"/>
  <c r="M58" i="59"/>
  <c r="J58" i="59"/>
  <c r="S57" i="59"/>
  <c r="P57" i="59"/>
  <c r="M57" i="59"/>
  <c r="J57" i="59"/>
  <c r="S56" i="59"/>
  <c r="P56" i="59"/>
  <c r="M56" i="59"/>
  <c r="J56" i="59"/>
  <c r="S55" i="59"/>
  <c r="P55" i="59"/>
  <c r="M55" i="59"/>
  <c r="J55" i="59"/>
  <c r="S54" i="59"/>
  <c r="P54" i="59"/>
  <c r="M54" i="59"/>
  <c r="J54" i="59"/>
  <c r="S53" i="59"/>
  <c r="P53" i="59"/>
  <c r="M53" i="59"/>
  <c r="J53" i="59"/>
  <c r="S52" i="59"/>
  <c r="P52" i="59"/>
  <c r="M52" i="59"/>
  <c r="J52" i="59"/>
  <c r="S51" i="59"/>
  <c r="P51" i="59"/>
  <c r="M51" i="59"/>
  <c r="J51" i="59"/>
  <c r="S50" i="59"/>
  <c r="P50" i="59"/>
  <c r="M50" i="59"/>
  <c r="J50" i="59"/>
  <c r="S49" i="59"/>
  <c r="P49" i="59"/>
  <c r="M49" i="59"/>
  <c r="J49" i="59"/>
  <c r="S48" i="59"/>
  <c r="P48" i="59"/>
  <c r="M48" i="59"/>
  <c r="J48" i="59"/>
  <c r="S47" i="59"/>
  <c r="P47" i="59"/>
  <c r="M47" i="59"/>
  <c r="J47" i="59"/>
  <c r="S46" i="59"/>
  <c r="P46" i="59"/>
  <c r="M46" i="59"/>
  <c r="J46" i="59"/>
  <c r="S45" i="59"/>
  <c r="P45" i="59"/>
  <c r="M45" i="59"/>
  <c r="J45" i="59"/>
  <c r="S44" i="59"/>
  <c r="P44" i="59"/>
  <c r="M44" i="59"/>
  <c r="J44" i="59"/>
  <c r="S43" i="59"/>
  <c r="P43" i="59"/>
  <c r="M43" i="59"/>
  <c r="J43" i="59"/>
  <c r="S42" i="59"/>
  <c r="P42" i="59"/>
  <c r="M42" i="59"/>
  <c r="J42" i="59"/>
  <c r="S41" i="59"/>
  <c r="P41" i="59"/>
  <c r="M41" i="59"/>
  <c r="J41" i="59"/>
  <c r="S40" i="59"/>
  <c r="P40" i="59"/>
  <c r="M40" i="59"/>
  <c r="J40" i="59"/>
  <c r="S39" i="59"/>
  <c r="P39" i="59"/>
  <c r="M39" i="59"/>
  <c r="J39" i="59"/>
  <c r="S38" i="59"/>
  <c r="P38" i="59"/>
  <c r="M38" i="59"/>
  <c r="J38" i="59"/>
  <c r="S37" i="59"/>
  <c r="P37" i="59"/>
  <c r="M37" i="59"/>
  <c r="J37" i="59"/>
  <c r="S36" i="59"/>
  <c r="P36" i="59"/>
  <c r="M36" i="59"/>
  <c r="J36" i="59"/>
  <c r="S29" i="59"/>
  <c r="P29" i="59"/>
  <c r="M29" i="59"/>
  <c r="J29" i="59"/>
  <c r="S18" i="59"/>
  <c r="P18" i="59"/>
  <c r="M18" i="59"/>
  <c r="J18" i="59"/>
  <c r="S28" i="59"/>
  <c r="P28" i="59"/>
  <c r="M28" i="59"/>
  <c r="J28" i="59"/>
  <c r="S19" i="59"/>
  <c r="P19" i="59"/>
  <c r="M19" i="59"/>
  <c r="J19" i="59"/>
  <c r="S27" i="59"/>
  <c r="P27" i="59"/>
  <c r="M27" i="59"/>
  <c r="J27" i="59"/>
  <c r="S33" i="59"/>
  <c r="P33" i="59"/>
  <c r="M33" i="59"/>
  <c r="J33" i="59"/>
  <c r="S23" i="59"/>
  <c r="P23" i="59"/>
  <c r="M23" i="59"/>
  <c r="J23" i="59"/>
  <c r="S26" i="59"/>
  <c r="P26" i="59"/>
  <c r="M26" i="59"/>
  <c r="J26" i="59"/>
  <c r="S31" i="59"/>
  <c r="P31" i="59"/>
  <c r="M31" i="59"/>
  <c r="J31" i="59"/>
  <c r="S35" i="59"/>
  <c r="P35" i="59"/>
  <c r="M35" i="59"/>
  <c r="J35" i="59"/>
  <c r="S17" i="59"/>
  <c r="P17" i="59"/>
  <c r="M17" i="59"/>
  <c r="J17" i="59"/>
  <c r="S15" i="59"/>
  <c r="P15" i="59"/>
  <c r="M15" i="59"/>
  <c r="J15" i="59"/>
  <c r="S34" i="59"/>
  <c r="P34" i="59"/>
  <c r="M34" i="59"/>
  <c r="J34" i="59"/>
  <c r="S25" i="59"/>
  <c r="P25" i="59"/>
  <c r="M25" i="59"/>
  <c r="J25" i="59"/>
  <c r="S16" i="59"/>
  <c r="P16" i="59"/>
  <c r="M16" i="59"/>
  <c r="J16" i="59"/>
  <c r="S32" i="59"/>
  <c r="P32" i="59"/>
  <c r="M32" i="59"/>
  <c r="J32" i="59"/>
  <c r="S20" i="59"/>
  <c r="P20" i="59"/>
  <c r="M20" i="59"/>
  <c r="J20" i="59"/>
  <c r="S14" i="59"/>
  <c r="P14" i="59"/>
  <c r="M14" i="59"/>
  <c r="J14" i="59"/>
  <c r="S21" i="59"/>
  <c r="P21" i="59"/>
  <c r="M21" i="59"/>
  <c r="J21" i="59"/>
  <c r="S24" i="59"/>
  <c r="P24" i="59"/>
  <c r="M24" i="59"/>
  <c r="J24" i="59"/>
  <c r="S22" i="59"/>
  <c r="P22" i="59"/>
  <c r="M22" i="59"/>
  <c r="J22" i="59"/>
  <c r="S30" i="59"/>
  <c r="P30" i="59"/>
  <c r="M30" i="59"/>
  <c r="J30" i="59"/>
  <c r="W11" i="59"/>
  <c r="V11" i="59"/>
  <c r="D8" i="60"/>
  <c r="D6" i="71" s="1"/>
  <c r="C7" i="60"/>
  <c r="A4" i="71" s="1"/>
  <c r="C6" i="60"/>
  <c r="A57" i="58" l="1"/>
  <c r="B57" i="58"/>
  <c r="C57" i="58"/>
  <c r="E57" i="58"/>
  <c r="G57" i="58"/>
  <c r="A58" i="58"/>
  <c r="B58" i="58"/>
  <c r="C58" i="58"/>
  <c r="E58" i="58"/>
  <c r="G58" i="58"/>
  <c r="A59" i="58"/>
  <c r="B59" i="58"/>
  <c r="C59" i="58"/>
  <c r="E59" i="58"/>
  <c r="G59" i="58"/>
  <c r="A60" i="58"/>
  <c r="B60" i="58"/>
  <c r="C60" i="58"/>
  <c r="E60" i="58"/>
  <c r="G60" i="58"/>
  <c r="A61" i="58"/>
  <c r="B61" i="58"/>
  <c r="C61" i="58"/>
  <c r="E61" i="58"/>
  <c r="G61" i="58"/>
  <c r="A62" i="58"/>
  <c r="B62" i="58"/>
  <c r="C62" i="58"/>
  <c r="E62" i="58"/>
  <c r="G62" i="58"/>
  <c r="A63" i="58"/>
  <c r="B63" i="58"/>
  <c r="C63" i="58"/>
  <c r="E63" i="58"/>
  <c r="G63" i="58"/>
  <c r="A64" i="58"/>
  <c r="B64" i="58"/>
  <c r="C64" i="58"/>
  <c r="E64" i="58"/>
  <c r="G64" i="58"/>
  <c r="A65" i="58"/>
  <c r="B65" i="58"/>
  <c r="C65" i="58"/>
  <c r="E65" i="58"/>
  <c r="G65" i="58"/>
  <c r="A66" i="58"/>
  <c r="B66" i="58"/>
  <c r="C66" i="58"/>
  <c r="E66" i="58"/>
  <c r="G66" i="58"/>
  <c r="A67" i="58"/>
  <c r="B67" i="58"/>
  <c r="C67" i="58"/>
  <c r="E67" i="58"/>
  <c r="G67" i="58"/>
  <c r="A68" i="58"/>
  <c r="B68" i="58"/>
  <c r="C68" i="58"/>
  <c r="E68" i="58"/>
  <c r="G68" i="58"/>
  <c r="A69" i="58"/>
  <c r="B69" i="58"/>
  <c r="C69" i="58"/>
  <c r="E69" i="58"/>
  <c r="G69" i="58"/>
  <c r="A70" i="58"/>
  <c r="B70" i="58"/>
  <c r="C70" i="58"/>
  <c r="E70" i="58"/>
  <c r="G70" i="58"/>
  <c r="A71" i="58"/>
  <c r="B71" i="58"/>
  <c r="C71" i="58"/>
  <c r="E71" i="58"/>
  <c r="G71" i="58"/>
  <c r="A72" i="58"/>
  <c r="B72" i="58"/>
  <c r="C72" i="58"/>
  <c r="E72" i="58"/>
  <c r="G72" i="58"/>
  <c r="A73" i="58"/>
  <c r="B73" i="58"/>
  <c r="C73" i="58"/>
  <c r="E73" i="58"/>
  <c r="G73" i="58"/>
  <c r="F10" i="58"/>
  <c r="F9" i="58"/>
  <c r="D10" i="58"/>
  <c r="D9" i="58"/>
  <c r="B8" i="58"/>
  <c r="B6" i="67" s="1"/>
  <c r="S72" i="57"/>
  <c r="P72" i="57"/>
  <c r="M72" i="57"/>
  <c r="J72" i="57"/>
  <c r="F73" i="58"/>
  <c r="D73" i="58"/>
  <c r="S71" i="57"/>
  <c r="P71" i="57"/>
  <c r="M71" i="57"/>
  <c r="J71" i="57"/>
  <c r="F72" i="58"/>
  <c r="D72" i="58"/>
  <c r="S70" i="57"/>
  <c r="P70" i="57"/>
  <c r="M70" i="57"/>
  <c r="J70" i="57"/>
  <c r="F71" i="58"/>
  <c r="D71" i="58"/>
  <c r="S69" i="57"/>
  <c r="P69" i="57"/>
  <c r="M69" i="57"/>
  <c r="J69" i="57"/>
  <c r="F70" i="58"/>
  <c r="D70" i="58"/>
  <c r="S68" i="57"/>
  <c r="P68" i="57"/>
  <c r="M68" i="57"/>
  <c r="J68" i="57"/>
  <c r="F69" i="58"/>
  <c r="D69" i="58"/>
  <c r="S67" i="57"/>
  <c r="P67" i="57"/>
  <c r="M67" i="57"/>
  <c r="J67" i="57"/>
  <c r="F68" i="58"/>
  <c r="D68" i="58"/>
  <c r="S66" i="57"/>
  <c r="P66" i="57"/>
  <c r="M66" i="57"/>
  <c r="J66" i="57"/>
  <c r="F67" i="58"/>
  <c r="D67" i="58"/>
  <c r="S65" i="57"/>
  <c r="P65" i="57"/>
  <c r="M65" i="57"/>
  <c r="J65" i="57"/>
  <c r="F66" i="58"/>
  <c r="D66" i="58"/>
  <c r="S64" i="57"/>
  <c r="P64" i="57"/>
  <c r="M64" i="57"/>
  <c r="J64" i="57"/>
  <c r="F65" i="58"/>
  <c r="D65" i="58"/>
  <c r="S63" i="57"/>
  <c r="P63" i="57"/>
  <c r="M63" i="57"/>
  <c r="J63" i="57"/>
  <c r="F64" i="58"/>
  <c r="D64" i="58"/>
  <c r="S62" i="57"/>
  <c r="P62" i="57"/>
  <c r="M62" i="57"/>
  <c r="J62" i="57"/>
  <c r="F63" i="58"/>
  <c r="D63" i="58"/>
  <c r="S61" i="57"/>
  <c r="P61" i="57"/>
  <c r="M61" i="57"/>
  <c r="J61" i="57"/>
  <c r="F62" i="58"/>
  <c r="D62" i="58"/>
  <c r="S60" i="57"/>
  <c r="P60" i="57"/>
  <c r="M60" i="57"/>
  <c r="J60" i="57"/>
  <c r="F61" i="58"/>
  <c r="D61" i="58"/>
  <c r="S59" i="57"/>
  <c r="P59" i="57"/>
  <c r="M59" i="57"/>
  <c r="J59" i="57"/>
  <c r="F60" i="58"/>
  <c r="D60" i="58"/>
  <c r="S58" i="57"/>
  <c r="P58" i="57"/>
  <c r="M58" i="57"/>
  <c r="J58" i="57"/>
  <c r="F59" i="58"/>
  <c r="D59" i="58"/>
  <c r="S57" i="57"/>
  <c r="P57" i="57"/>
  <c r="M57" i="57"/>
  <c r="J57" i="57"/>
  <c r="F58" i="58"/>
  <c r="D58" i="58"/>
  <c r="S56" i="57"/>
  <c r="P56" i="57"/>
  <c r="M56" i="57"/>
  <c r="J56" i="57"/>
  <c r="F57" i="58"/>
  <c r="D57" i="58"/>
  <c r="S55" i="57"/>
  <c r="P55" i="57"/>
  <c r="M55" i="57"/>
  <c r="J55" i="57"/>
  <c r="S54" i="57"/>
  <c r="P54" i="57"/>
  <c r="M54" i="57"/>
  <c r="J54" i="57"/>
  <c r="S53" i="57"/>
  <c r="P53" i="57"/>
  <c r="M53" i="57"/>
  <c r="J53" i="57"/>
  <c r="S52" i="57"/>
  <c r="P52" i="57"/>
  <c r="M52" i="57"/>
  <c r="J52" i="57"/>
  <c r="S51" i="57"/>
  <c r="P51" i="57"/>
  <c r="M51" i="57"/>
  <c r="J51" i="57"/>
  <c r="S50" i="57"/>
  <c r="P50" i="57"/>
  <c r="M50" i="57"/>
  <c r="J50" i="57"/>
  <c r="S49" i="57"/>
  <c r="P49" i="57"/>
  <c r="M49" i="57"/>
  <c r="J49" i="57"/>
  <c r="S48" i="57"/>
  <c r="P48" i="57"/>
  <c r="M48" i="57"/>
  <c r="J48" i="57"/>
  <c r="S47" i="57"/>
  <c r="P47" i="57"/>
  <c r="M47" i="57"/>
  <c r="J47" i="57"/>
  <c r="S46" i="57"/>
  <c r="P46" i="57"/>
  <c r="M46" i="57"/>
  <c r="J46" i="57"/>
  <c r="S45" i="57"/>
  <c r="P45" i="57"/>
  <c r="M45" i="57"/>
  <c r="J45" i="57"/>
  <c r="S44" i="57"/>
  <c r="P44" i="57"/>
  <c r="M44" i="57"/>
  <c r="J44" i="57"/>
  <c r="S43" i="57"/>
  <c r="P43" i="57"/>
  <c r="M43" i="57"/>
  <c r="J43" i="57"/>
  <c r="S42" i="57"/>
  <c r="P42" i="57"/>
  <c r="M42" i="57"/>
  <c r="J42" i="57"/>
  <c r="S41" i="57"/>
  <c r="P41" i="57"/>
  <c r="M41" i="57"/>
  <c r="J41" i="57"/>
  <c r="S40" i="57"/>
  <c r="P40" i="57"/>
  <c r="M40" i="57"/>
  <c r="J40" i="57"/>
  <c r="S39" i="57"/>
  <c r="P39" i="57"/>
  <c r="M39" i="57"/>
  <c r="J39" i="57"/>
  <c r="S38" i="57"/>
  <c r="P38" i="57"/>
  <c r="M38" i="57"/>
  <c r="J38" i="57"/>
  <c r="S37" i="57"/>
  <c r="P37" i="57"/>
  <c r="M37" i="57"/>
  <c r="J37" i="57"/>
  <c r="S36" i="57"/>
  <c r="P36" i="57"/>
  <c r="M36" i="57"/>
  <c r="J36" i="57"/>
  <c r="S35" i="57"/>
  <c r="P35" i="57"/>
  <c r="M35" i="57"/>
  <c r="J35" i="57"/>
  <c r="S34" i="57"/>
  <c r="P34" i="57"/>
  <c r="M34" i="57"/>
  <c r="J34" i="57"/>
  <c r="S33" i="57"/>
  <c r="P33" i="57"/>
  <c r="M33" i="57"/>
  <c r="J33" i="57"/>
  <c r="S32" i="57"/>
  <c r="P32" i="57"/>
  <c r="M32" i="57"/>
  <c r="J32" i="57"/>
  <c r="S31" i="57"/>
  <c r="P31" i="57"/>
  <c r="M31" i="57"/>
  <c r="J31" i="57"/>
  <c r="S30" i="57"/>
  <c r="P30" i="57"/>
  <c r="M30" i="57"/>
  <c r="J30" i="57"/>
  <c r="S29" i="57"/>
  <c r="P29" i="57"/>
  <c r="M29" i="57"/>
  <c r="J29" i="57"/>
  <c r="S28" i="57"/>
  <c r="P28" i="57"/>
  <c r="M28" i="57"/>
  <c r="J28" i="57"/>
  <c r="S27" i="57"/>
  <c r="P27" i="57"/>
  <c r="M27" i="57"/>
  <c r="J27" i="57"/>
  <c r="S26" i="57"/>
  <c r="P26" i="57"/>
  <c r="M26" i="57"/>
  <c r="J26" i="57"/>
  <c r="S25" i="57"/>
  <c r="P25" i="57"/>
  <c r="M25" i="57"/>
  <c r="J25" i="57"/>
  <c r="S24" i="57"/>
  <c r="P24" i="57"/>
  <c r="M24" i="57"/>
  <c r="J24" i="57"/>
  <c r="S14" i="57"/>
  <c r="P14" i="57"/>
  <c r="M14" i="57"/>
  <c r="J14" i="57"/>
  <c r="S18" i="57"/>
  <c r="P18" i="57"/>
  <c r="M18" i="57"/>
  <c r="J18" i="57"/>
  <c r="S23" i="57"/>
  <c r="P23" i="57"/>
  <c r="M23" i="57"/>
  <c r="J23" i="57"/>
  <c r="S19" i="57"/>
  <c r="P19" i="57"/>
  <c r="M19" i="57"/>
  <c r="J19" i="57"/>
  <c r="S20" i="57"/>
  <c r="P20" i="57"/>
  <c r="M20" i="57"/>
  <c r="J20" i="57"/>
  <c r="S16" i="57"/>
  <c r="P16" i="57"/>
  <c r="M16" i="57"/>
  <c r="J16" i="57"/>
  <c r="S17" i="57"/>
  <c r="P17" i="57"/>
  <c r="M17" i="57"/>
  <c r="J17" i="57"/>
  <c r="S15" i="57"/>
  <c r="P15" i="57"/>
  <c r="M15" i="57"/>
  <c r="J15" i="57"/>
  <c r="S22" i="57"/>
  <c r="P22" i="57"/>
  <c r="M22" i="57"/>
  <c r="J22" i="57"/>
  <c r="S21" i="57"/>
  <c r="P21" i="57"/>
  <c r="M21" i="57"/>
  <c r="J21" i="57"/>
  <c r="C7" i="58"/>
  <c r="A4" i="67" s="1"/>
  <c r="C6" i="58"/>
  <c r="A71" i="56"/>
  <c r="B71" i="56"/>
  <c r="C71" i="56"/>
  <c r="E71" i="56"/>
  <c r="G71" i="56"/>
  <c r="A72" i="56"/>
  <c r="B72" i="56"/>
  <c r="C72" i="56"/>
  <c r="E72" i="56"/>
  <c r="G72" i="56"/>
  <c r="A73" i="56"/>
  <c r="B73" i="56"/>
  <c r="C73" i="56"/>
  <c r="E73" i="56"/>
  <c r="G73" i="56"/>
  <c r="F10" i="56"/>
  <c r="F9" i="56"/>
  <c r="D10" i="56"/>
  <c r="D9" i="56"/>
  <c r="B8" i="56"/>
  <c r="B6" i="70" s="1"/>
  <c r="A39" i="55"/>
  <c r="B39" i="55"/>
  <c r="C39" i="55"/>
  <c r="E39" i="55"/>
  <c r="G39" i="55"/>
  <c r="A40" i="55"/>
  <c r="B40" i="55"/>
  <c r="C40" i="55"/>
  <c r="E40" i="55"/>
  <c r="G40" i="55"/>
  <c r="A41" i="55"/>
  <c r="B41" i="55"/>
  <c r="C41" i="55"/>
  <c r="E41" i="55"/>
  <c r="G41" i="55"/>
  <c r="A42" i="55"/>
  <c r="B42" i="55"/>
  <c r="C42" i="55"/>
  <c r="E42" i="55"/>
  <c r="G42" i="55"/>
  <c r="A43" i="55"/>
  <c r="B43" i="55"/>
  <c r="C43" i="55"/>
  <c r="E43" i="55"/>
  <c r="G43" i="55"/>
  <c r="A44" i="55"/>
  <c r="B44" i="55"/>
  <c r="C44" i="55"/>
  <c r="E44" i="55"/>
  <c r="G44" i="55"/>
  <c r="A45" i="55"/>
  <c r="B45" i="55"/>
  <c r="C45" i="55"/>
  <c r="E45" i="55"/>
  <c r="G45" i="55"/>
  <c r="A46" i="55"/>
  <c r="B46" i="55"/>
  <c r="C46" i="55"/>
  <c r="E46" i="55"/>
  <c r="G46" i="55"/>
  <c r="A47" i="55"/>
  <c r="B47" i="55"/>
  <c r="C47" i="55"/>
  <c r="E47" i="55"/>
  <c r="G47" i="55"/>
  <c r="A48" i="55"/>
  <c r="B48" i="55"/>
  <c r="C48" i="55"/>
  <c r="E48" i="55"/>
  <c r="G48" i="55"/>
  <c r="A49" i="55"/>
  <c r="B49" i="55"/>
  <c r="C49" i="55"/>
  <c r="E49" i="55"/>
  <c r="G49" i="55"/>
  <c r="A50" i="55"/>
  <c r="B50" i="55"/>
  <c r="C50" i="55"/>
  <c r="E50" i="55"/>
  <c r="G50" i="55"/>
  <c r="A51" i="55"/>
  <c r="B51" i="55"/>
  <c r="C51" i="55"/>
  <c r="E51" i="55"/>
  <c r="G51" i="55"/>
  <c r="A52" i="55"/>
  <c r="B52" i="55"/>
  <c r="C52" i="55"/>
  <c r="E52" i="55"/>
  <c r="G52" i="55"/>
  <c r="A53" i="55"/>
  <c r="B53" i="55"/>
  <c r="C53" i="55"/>
  <c r="E53" i="55"/>
  <c r="G53" i="55"/>
  <c r="A54" i="55"/>
  <c r="B54" i="55"/>
  <c r="C54" i="55"/>
  <c r="E54" i="55"/>
  <c r="G54" i="55"/>
  <c r="A55" i="55"/>
  <c r="B55" i="55"/>
  <c r="C55" i="55"/>
  <c r="E55" i="55"/>
  <c r="G55" i="55"/>
  <c r="A56" i="55"/>
  <c r="B56" i="55"/>
  <c r="C56" i="55"/>
  <c r="E56" i="55"/>
  <c r="G56" i="55"/>
  <c r="A57" i="55"/>
  <c r="B57" i="55"/>
  <c r="C57" i="55"/>
  <c r="E57" i="55"/>
  <c r="G57" i="55"/>
  <c r="A58" i="55"/>
  <c r="B58" i="55"/>
  <c r="C58" i="55"/>
  <c r="E58" i="55"/>
  <c r="G58" i="55"/>
  <c r="A59" i="55"/>
  <c r="B59" i="55"/>
  <c r="C59" i="55"/>
  <c r="E59" i="55"/>
  <c r="G59" i="55"/>
  <c r="A60" i="55"/>
  <c r="B60" i="55"/>
  <c r="C60" i="55"/>
  <c r="E60" i="55"/>
  <c r="G60" i="55"/>
  <c r="A61" i="55"/>
  <c r="B61" i="55"/>
  <c r="C61" i="55"/>
  <c r="E61" i="55"/>
  <c r="G61" i="55"/>
  <c r="A62" i="55"/>
  <c r="B62" i="55"/>
  <c r="C62" i="55"/>
  <c r="E62" i="55"/>
  <c r="G62" i="55"/>
  <c r="A63" i="55"/>
  <c r="B63" i="55"/>
  <c r="C63" i="55"/>
  <c r="E63" i="55"/>
  <c r="G63" i="55"/>
  <c r="A64" i="55"/>
  <c r="B64" i="55"/>
  <c r="C64" i="55"/>
  <c r="E64" i="55"/>
  <c r="G64" i="55"/>
  <c r="A65" i="55"/>
  <c r="B65" i="55"/>
  <c r="C65" i="55"/>
  <c r="E65" i="55"/>
  <c r="G65" i="55"/>
  <c r="A66" i="55"/>
  <c r="B66" i="55"/>
  <c r="C66" i="55"/>
  <c r="E66" i="55"/>
  <c r="G66" i="55"/>
  <c r="A67" i="55"/>
  <c r="B67" i="55"/>
  <c r="C67" i="55"/>
  <c r="E67" i="55"/>
  <c r="G67" i="55"/>
  <c r="A68" i="55"/>
  <c r="B68" i="55"/>
  <c r="C68" i="55"/>
  <c r="E68" i="55"/>
  <c r="G68" i="55"/>
  <c r="A69" i="55"/>
  <c r="B69" i="55"/>
  <c r="C69" i="55"/>
  <c r="E69" i="55"/>
  <c r="G69" i="55"/>
  <c r="A70" i="55"/>
  <c r="B70" i="55"/>
  <c r="C70" i="55"/>
  <c r="E70" i="55"/>
  <c r="G70" i="55"/>
  <c r="A71" i="55"/>
  <c r="B71" i="55"/>
  <c r="C71" i="55"/>
  <c r="E71" i="55"/>
  <c r="G71" i="55"/>
  <c r="A72" i="55"/>
  <c r="B72" i="55"/>
  <c r="C72" i="55"/>
  <c r="E72" i="55"/>
  <c r="G72" i="55"/>
  <c r="A73" i="55"/>
  <c r="B73" i="55"/>
  <c r="C73" i="55"/>
  <c r="E73" i="55"/>
  <c r="G73" i="55"/>
  <c r="F9" i="55"/>
  <c r="F10" i="55"/>
  <c r="D10" i="55"/>
  <c r="D9" i="55"/>
  <c r="B8" i="55"/>
  <c r="B6" i="69" s="1"/>
  <c r="S73" i="54"/>
  <c r="P73" i="54"/>
  <c r="M73" i="54"/>
  <c r="J73" i="54"/>
  <c r="F73" i="56"/>
  <c r="D73" i="56"/>
  <c r="S72" i="54"/>
  <c r="P72" i="54"/>
  <c r="M72" i="54"/>
  <c r="J72" i="54"/>
  <c r="F72" i="56"/>
  <c r="D72" i="56"/>
  <c r="S71" i="54"/>
  <c r="P71" i="54"/>
  <c r="M71" i="54"/>
  <c r="J71" i="54"/>
  <c r="F71" i="56"/>
  <c r="D71" i="56"/>
  <c r="S70" i="54"/>
  <c r="P70" i="54"/>
  <c r="M70" i="54"/>
  <c r="J70" i="54"/>
  <c r="S69" i="54"/>
  <c r="P69" i="54"/>
  <c r="M69" i="54"/>
  <c r="J69" i="54"/>
  <c r="S68" i="54"/>
  <c r="P68" i="54"/>
  <c r="M68" i="54"/>
  <c r="J68" i="54"/>
  <c r="S67" i="54"/>
  <c r="P67" i="54"/>
  <c r="M67" i="54"/>
  <c r="J67" i="54"/>
  <c r="S66" i="54"/>
  <c r="P66" i="54"/>
  <c r="M66" i="54"/>
  <c r="J66" i="54"/>
  <c r="S65" i="54"/>
  <c r="P65" i="54"/>
  <c r="M65" i="54"/>
  <c r="J65" i="54"/>
  <c r="S64" i="54"/>
  <c r="P64" i="54"/>
  <c r="M64" i="54"/>
  <c r="J64" i="54"/>
  <c r="S63" i="54"/>
  <c r="P63" i="54"/>
  <c r="M63" i="54"/>
  <c r="J63" i="54"/>
  <c r="S62" i="54"/>
  <c r="P62" i="54"/>
  <c r="M62" i="54"/>
  <c r="J62" i="54"/>
  <c r="S61" i="54"/>
  <c r="P61" i="54"/>
  <c r="M61" i="54"/>
  <c r="J61" i="54"/>
  <c r="S60" i="54"/>
  <c r="P60" i="54"/>
  <c r="M60" i="54"/>
  <c r="J60" i="54"/>
  <c r="S59" i="54"/>
  <c r="P59" i="54"/>
  <c r="M59" i="54"/>
  <c r="J59" i="54"/>
  <c r="S58" i="54"/>
  <c r="P58" i="54"/>
  <c r="M58" i="54"/>
  <c r="J58" i="54"/>
  <c r="S57" i="54"/>
  <c r="P57" i="54"/>
  <c r="M57" i="54"/>
  <c r="J57" i="54"/>
  <c r="S56" i="54"/>
  <c r="P56" i="54"/>
  <c r="M56" i="54"/>
  <c r="J56" i="54"/>
  <c r="S55" i="54"/>
  <c r="P55" i="54"/>
  <c r="M55" i="54"/>
  <c r="J55" i="54"/>
  <c r="S54" i="54"/>
  <c r="P54" i="54"/>
  <c r="M54" i="54"/>
  <c r="J54" i="54"/>
  <c r="S53" i="54"/>
  <c r="P53" i="54"/>
  <c r="M53" i="54"/>
  <c r="J53" i="54"/>
  <c r="S52" i="54"/>
  <c r="P52" i="54"/>
  <c r="M52" i="54"/>
  <c r="J52" i="54"/>
  <c r="S51" i="54"/>
  <c r="P51" i="54"/>
  <c r="M51" i="54"/>
  <c r="J51" i="54"/>
  <c r="S50" i="54"/>
  <c r="P50" i="54"/>
  <c r="M50" i="54"/>
  <c r="J50" i="54"/>
  <c r="S49" i="54"/>
  <c r="P49" i="54"/>
  <c r="M49" i="54"/>
  <c r="J49" i="54"/>
  <c r="S48" i="54"/>
  <c r="P48" i="54"/>
  <c r="M48" i="54"/>
  <c r="J48" i="54"/>
  <c r="S47" i="54"/>
  <c r="P47" i="54"/>
  <c r="M47" i="54"/>
  <c r="J47" i="54"/>
  <c r="S46" i="54"/>
  <c r="P46" i="54"/>
  <c r="M46" i="54"/>
  <c r="J46" i="54"/>
  <c r="S16" i="54"/>
  <c r="P16" i="54"/>
  <c r="M16" i="54"/>
  <c r="J16" i="54"/>
  <c r="S17" i="54"/>
  <c r="P17" i="54"/>
  <c r="M17" i="54"/>
  <c r="J17" i="54"/>
  <c r="S35" i="54"/>
  <c r="P35" i="54"/>
  <c r="M35" i="54"/>
  <c r="J35" i="54"/>
  <c r="S22" i="54"/>
  <c r="P22" i="54"/>
  <c r="M22" i="54"/>
  <c r="J22" i="54"/>
  <c r="S45" i="54"/>
  <c r="P45" i="54"/>
  <c r="M45" i="54"/>
  <c r="J45" i="54"/>
  <c r="S37" i="54"/>
  <c r="P37" i="54"/>
  <c r="M37" i="54"/>
  <c r="J37" i="54"/>
  <c r="S42" i="54"/>
  <c r="P42" i="54"/>
  <c r="M42" i="54"/>
  <c r="J42" i="54"/>
  <c r="S40" i="54"/>
  <c r="P40" i="54"/>
  <c r="M40" i="54"/>
  <c r="J40" i="54"/>
  <c r="S32" i="54"/>
  <c r="P32" i="54"/>
  <c r="M32" i="54"/>
  <c r="J32" i="54"/>
  <c r="S26" i="54"/>
  <c r="P26" i="54"/>
  <c r="M26" i="54"/>
  <c r="J26" i="54"/>
  <c r="S18" i="54"/>
  <c r="P18" i="54"/>
  <c r="M18" i="54"/>
  <c r="J18" i="54"/>
  <c r="S25" i="54"/>
  <c r="P25" i="54"/>
  <c r="M25" i="54"/>
  <c r="J25" i="54"/>
  <c r="S30" i="54"/>
  <c r="P30" i="54"/>
  <c r="M30" i="54"/>
  <c r="J30" i="54"/>
  <c r="S14" i="54"/>
  <c r="P14" i="54"/>
  <c r="M14" i="54"/>
  <c r="J14" i="54"/>
  <c r="S28" i="54"/>
  <c r="P28" i="54"/>
  <c r="M28" i="54"/>
  <c r="J28" i="54"/>
  <c r="S20" i="54"/>
  <c r="P20" i="54"/>
  <c r="M20" i="54"/>
  <c r="J20" i="54"/>
  <c r="S44" i="54"/>
  <c r="P44" i="54"/>
  <c r="M44" i="54"/>
  <c r="J44" i="54"/>
  <c r="S21" i="54"/>
  <c r="P21" i="54"/>
  <c r="M21" i="54"/>
  <c r="J21" i="54"/>
  <c r="S24" i="54"/>
  <c r="P24" i="54"/>
  <c r="M24" i="54"/>
  <c r="J24" i="54"/>
  <c r="S23" i="54"/>
  <c r="P23" i="54"/>
  <c r="M23" i="54"/>
  <c r="J23" i="54"/>
  <c r="S15" i="54"/>
  <c r="P15" i="54"/>
  <c r="M15" i="54"/>
  <c r="J15" i="54"/>
  <c r="S19" i="54"/>
  <c r="P19" i="54"/>
  <c r="M19" i="54"/>
  <c r="J19" i="54"/>
  <c r="S34" i="54"/>
  <c r="P34" i="54"/>
  <c r="M34" i="54"/>
  <c r="J34" i="54"/>
  <c r="S36" i="54"/>
  <c r="P36" i="54"/>
  <c r="M36" i="54"/>
  <c r="J36" i="54"/>
  <c r="S43" i="54"/>
  <c r="P43" i="54"/>
  <c r="M43" i="54"/>
  <c r="J43" i="54"/>
  <c r="S31" i="54"/>
  <c r="P31" i="54"/>
  <c r="M31" i="54"/>
  <c r="J31" i="54"/>
  <c r="S38" i="54"/>
  <c r="P38" i="54"/>
  <c r="M38" i="54"/>
  <c r="J38" i="54"/>
  <c r="S29" i="54"/>
  <c r="P29" i="54"/>
  <c r="M29" i="54"/>
  <c r="J29" i="54"/>
  <c r="S33" i="54"/>
  <c r="P33" i="54"/>
  <c r="M33" i="54"/>
  <c r="J33" i="54"/>
  <c r="S27" i="54"/>
  <c r="P27" i="54"/>
  <c r="M27" i="54"/>
  <c r="J27" i="54"/>
  <c r="S41" i="54"/>
  <c r="P41" i="54"/>
  <c r="M41" i="54"/>
  <c r="J41" i="54"/>
  <c r="S39" i="54"/>
  <c r="P39" i="54"/>
  <c r="M39" i="54"/>
  <c r="J39" i="54"/>
  <c r="W11" i="54"/>
  <c r="V11" i="54"/>
  <c r="C7" i="56"/>
  <c r="A4" i="70" s="1"/>
  <c r="C6" i="56"/>
  <c r="S73" i="53"/>
  <c r="P73" i="53"/>
  <c r="M73" i="53"/>
  <c r="J73" i="53"/>
  <c r="F73" i="55"/>
  <c r="D73" i="55"/>
  <c r="S72" i="53"/>
  <c r="P72" i="53"/>
  <c r="M72" i="53"/>
  <c r="J72" i="53"/>
  <c r="F72" i="55"/>
  <c r="D72" i="55"/>
  <c r="S71" i="53"/>
  <c r="P71" i="53"/>
  <c r="M71" i="53"/>
  <c r="J71" i="53"/>
  <c r="F71" i="55"/>
  <c r="D71" i="55"/>
  <c r="S70" i="53"/>
  <c r="P70" i="53"/>
  <c r="M70" i="53"/>
  <c r="J70" i="53"/>
  <c r="F70" i="55"/>
  <c r="D70" i="55"/>
  <c r="S69" i="53"/>
  <c r="P69" i="53"/>
  <c r="M69" i="53"/>
  <c r="J69" i="53"/>
  <c r="F69" i="55"/>
  <c r="D69" i="55"/>
  <c r="S68" i="53"/>
  <c r="P68" i="53"/>
  <c r="M68" i="53"/>
  <c r="J68" i="53"/>
  <c r="F68" i="55"/>
  <c r="D68" i="55"/>
  <c r="S67" i="53"/>
  <c r="P67" i="53"/>
  <c r="M67" i="53"/>
  <c r="J67" i="53"/>
  <c r="F67" i="55"/>
  <c r="D67" i="55"/>
  <c r="S66" i="53"/>
  <c r="P66" i="53"/>
  <c r="M66" i="53"/>
  <c r="J66" i="53"/>
  <c r="F66" i="55"/>
  <c r="D66" i="55"/>
  <c r="S65" i="53"/>
  <c r="P65" i="53"/>
  <c r="M65" i="53"/>
  <c r="J65" i="53"/>
  <c r="F65" i="55"/>
  <c r="D65" i="55"/>
  <c r="S64" i="53"/>
  <c r="P64" i="53"/>
  <c r="M64" i="53"/>
  <c r="J64" i="53"/>
  <c r="F64" i="55"/>
  <c r="D64" i="55"/>
  <c r="S63" i="53"/>
  <c r="P63" i="53"/>
  <c r="M63" i="53"/>
  <c r="J63" i="53"/>
  <c r="F63" i="55"/>
  <c r="D63" i="55"/>
  <c r="S62" i="53"/>
  <c r="P62" i="53"/>
  <c r="M62" i="53"/>
  <c r="J62" i="53"/>
  <c r="F62" i="55"/>
  <c r="D62" i="55"/>
  <c r="S61" i="53"/>
  <c r="P61" i="53"/>
  <c r="M61" i="53"/>
  <c r="J61" i="53"/>
  <c r="F61" i="55"/>
  <c r="D61" i="55"/>
  <c r="S60" i="53"/>
  <c r="P60" i="53"/>
  <c r="M60" i="53"/>
  <c r="J60" i="53"/>
  <c r="F60" i="55"/>
  <c r="D60" i="55"/>
  <c r="S59" i="53"/>
  <c r="P59" i="53"/>
  <c r="M59" i="53"/>
  <c r="J59" i="53"/>
  <c r="F59" i="55"/>
  <c r="D59" i="55"/>
  <c r="S58" i="53"/>
  <c r="P58" i="53"/>
  <c r="M58" i="53"/>
  <c r="J58" i="53"/>
  <c r="F58" i="55"/>
  <c r="D58" i="55"/>
  <c r="S57" i="53"/>
  <c r="P57" i="53"/>
  <c r="M57" i="53"/>
  <c r="J57" i="53"/>
  <c r="F57" i="55"/>
  <c r="D57" i="55"/>
  <c r="S56" i="53"/>
  <c r="P56" i="53"/>
  <c r="M56" i="53"/>
  <c r="J56" i="53"/>
  <c r="F56" i="55"/>
  <c r="D56" i="55"/>
  <c r="S55" i="53"/>
  <c r="P55" i="53"/>
  <c r="M55" i="53"/>
  <c r="J55" i="53"/>
  <c r="F55" i="55"/>
  <c r="D55" i="55"/>
  <c r="S54" i="53"/>
  <c r="P54" i="53"/>
  <c r="M54" i="53"/>
  <c r="J54" i="53"/>
  <c r="F54" i="55"/>
  <c r="D54" i="55"/>
  <c r="S53" i="53"/>
  <c r="P53" i="53"/>
  <c r="M53" i="53"/>
  <c r="J53" i="53"/>
  <c r="F53" i="55"/>
  <c r="D53" i="55"/>
  <c r="S52" i="53"/>
  <c r="P52" i="53"/>
  <c r="M52" i="53"/>
  <c r="J52" i="53"/>
  <c r="F52" i="55"/>
  <c r="D52" i="55"/>
  <c r="S51" i="53"/>
  <c r="P51" i="53"/>
  <c r="M51" i="53"/>
  <c r="J51" i="53"/>
  <c r="F51" i="55"/>
  <c r="D51" i="55"/>
  <c r="S50" i="53"/>
  <c r="P50" i="53"/>
  <c r="M50" i="53"/>
  <c r="J50" i="53"/>
  <c r="F50" i="55"/>
  <c r="D50" i="55"/>
  <c r="S49" i="53"/>
  <c r="P49" i="53"/>
  <c r="M49" i="53"/>
  <c r="J49" i="53"/>
  <c r="F49" i="55"/>
  <c r="D49" i="55"/>
  <c r="S48" i="53"/>
  <c r="P48" i="53"/>
  <c r="M48" i="53"/>
  <c r="J48" i="53"/>
  <c r="F48" i="55"/>
  <c r="D48" i="55"/>
  <c r="S47" i="53"/>
  <c r="P47" i="53"/>
  <c r="M47" i="53"/>
  <c r="J47" i="53"/>
  <c r="F47" i="55"/>
  <c r="D47" i="55"/>
  <c r="S46" i="53"/>
  <c r="P46" i="53"/>
  <c r="M46" i="53"/>
  <c r="J46" i="53"/>
  <c r="F46" i="55"/>
  <c r="D46" i="55"/>
  <c r="S45" i="53"/>
  <c r="P45" i="53"/>
  <c r="M45" i="53"/>
  <c r="J45" i="53"/>
  <c r="F45" i="55"/>
  <c r="D45" i="55"/>
  <c r="S44" i="53"/>
  <c r="P44" i="53"/>
  <c r="M44" i="53"/>
  <c r="J44" i="53"/>
  <c r="F44" i="55"/>
  <c r="D44" i="55"/>
  <c r="S43" i="53"/>
  <c r="P43" i="53"/>
  <c r="M43" i="53"/>
  <c r="J43" i="53"/>
  <c r="F43" i="55"/>
  <c r="D43" i="55"/>
  <c r="S42" i="53"/>
  <c r="P42" i="53"/>
  <c r="M42" i="53"/>
  <c r="J42" i="53"/>
  <c r="F42" i="55"/>
  <c r="D42" i="55"/>
  <c r="S41" i="53"/>
  <c r="P41" i="53"/>
  <c r="M41" i="53"/>
  <c r="J41" i="53"/>
  <c r="F41" i="55"/>
  <c r="D41" i="55"/>
  <c r="S40" i="53"/>
  <c r="P40" i="53"/>
  <c r="M40" i="53"/>
  <c r="J40" i="53"/>
  <c r="F40" i="55"/>
  <c r="D40" i="55"/>
  <c r="S39" i="53"/>
  <c r="P39" i="53"/>
  <c r="M39" i="53"/>
  <c r="J39" i="53"/>
  <c r="F39" i="55"/>
  <c r="D39" i="55"/>
  <c r="S38" i="53"/>
  <c r="P38" i="53"/>
  <c r="M38" i="53"/>
  <c r="J38" i="53"/>
  <c r="S37" i="53"/>
  <c r="P37" i="53"/>
  <c r="M37" i="53"/>
  <c r="J37" i="53"/>
  <c r="S36" i="53"/>
  <c r="P36" i="53"/>
  <c r="M36" i="53"/>
  <c r="J36" i="53"/>
  <c r="S35" i="53"/>
  <c r="P35" i="53"/>
  <c r="M35" i="53"/>
  <c r="J35" i="53"/>
  <c r="S34" i="53"/>
  <c r="P34" i="53"/>
  <c r="M34" i="53"/>
  <c r="J34" i="53"/>
  <c r="S33" i="53"/>
  <c r="P33" i="53"/>
  <c r="M33" i="53"/>
  <c r="J33" i="53"/>
  <c r="S32" i="53"/>
  <c r="P32" i="53"/>
  <c r="M32" i="53"/>
  <c r="J32" i="53"/>
  <c r="S31" i="53"/>
  <c r="P31" i="53"/>
  <c r="M31" i="53"/>
  <c r="J31" i="53"/>
  <c r="S30" i="53"/>
  <c r="P30" i="53"/>
  <c r="M30" i="53"/>
  <c r="J30" i="53"/>
  <c r="S29" i="53"/>
  <c r="P29" i="53"/>
  <c r="M29" i="53"/>
  <c r="J29" i="53"/>
  <c r="S28" i="53"/>
  <c r="P28" i="53"/>
  <c r="M28" i="53"/>
  <c r="J28" i="53"/>
  <c r="S27" i="53"/>
  <c r="P27" i="53"/>
  <c r="M27" i="53"/>
  <c r="J27" i="53"/>
  <c r="S26" i="53"/>
  <c r="P26" i="53"/>
  <c r="M26" i="53"/>
  <c r="J26" i="53"/>
  <c r="S25" i="53"/>
  <c r="P25" i="53"/>
  <c r="M25" i="53"/>
  <c r="J25" i="53"/>
  <c r="S24" i="53"/>
  <c r="P24" i="53"/>
  <c r="M24" i="53"/>
  <c r="J24" i="53"/>
  <c r="S23" i="53"/>
  <c r="P23" i="53"/>
  <c r="M23" i="53"/>
  <c r="J23" i="53"/>
  <c r="S22" i="53"/>
  <c r="P22" i="53"/>
  <c r="M22" i="53"/>
  <c r="J22" i="53"/>
  <c r="S21" i="53"/>
  <c r="P21" i="53"/>
  <c r="M21" i="53"/>
  <c r="J21" i="53"/>
  <c r="S20" i="53"/>
  <c r="P20" i="53"/>
  <c r="M20" i="53"/>
  <c r="J20" i="53"/>
  <c r="S19" i="53"/>
  <c r="P19" i="53"/>
  <c r="M19" i="53"/>
  <c r="J19" i="53"/>
  <c r="S15" i="53"/>
  <c r="P15" i="53"/>
  <c r="M15" i="53"/>
  <c r="J15" i="53"/>
  <c r="S18" i="53"/>
  <c r="P18" i="53"/>
  <c r="M18" i="53"/>
  <c r="J18" i="53"/>
  <c r="S14" i="53"/>
  <c r="P14" i="53"/>
  <c r="M14" i="53"/>
  <c r="J14" i="53"/>
  <c r="S16" i="53"/>
  <c r="P16" i="53"/>
  <c r="M16" i="53"/>
  <c r="J16" i="53"/>
  <c r="S17" i="53"/>
  <c r="P17" i="53"/>
  <c r="M17" i="53"/>
  <c r="J17" i="53"/>
  <c r="W11" i="53"/>
  <c r="V11" i="53"/>
  <c r="D8" i="55"/>
  <c r="D6" i="69" s="1"/>
  <c r="C7" i="55"/>
  <c r="A4" i="69" s="1"/>
  <c r="C6" i="55"/>
  <c r="A64" i="46"/>
  <c r="B64" i="46"/>
  <c r="C64" i="46"/>
  <c r="E64" i="46"/>
  <c r="G64" i="46"/>
  <c r="A65" i="46"/>
  <c r="B65" i="46"/>
  <c r="C65" i="46"/>
  <c r="E65" i="46"/>
  <c r="G65" i="46"/>
  <c r="A66" i="46"/>
  <c r="B66" i="46"/>
  <c r="C66" i="46"/>
  <c r="E66" i="46"/>
  <c r="G66" i="46"/>
  <c r="A67" i="46"/>
  <c r="B67" i="46"/>
  <c r="C67" i="46"/>
  <c r="E67" i="46"/>
  <c r="G67" i="46"/>
  <c r="A68" i="46"/>
  <c r="B68" i="46"/>
  <c r="C68" i="46"/>
  <c r="E68" i="46"/>
  <c r="G68" i="46"/>
  <c r="A69" i="46"/>
  <c r="B69" i="46"/>
  <c r="C69" i="46"/>
  <c r="E69" i="46"/>
  <c r="G69" i="46"/>
  <c r="A70" i="46"/>
  <c r="B70" i="46"/>
  <c r="C70" i="46"/>
  <c r="E70" i="46"/>
  <c r="G70" i="46"/>
  <c r="A71" i="46"/>
  <c r="B71" i="46"/>
  <c r="C71" i="46"/>
  <c r="E71" i="46"/>
  <c r="G71" i="46"/>
  <c r="A72" i="46"/>
  <c r="B72" i="46"/>
  <c r="C72" i="46"/>
  <c r="E72" i="46"/>
  <c r="G72" i="46"/>
  <c r="A73" i="46"/>
  <c r="B73" i="46"/>
  <c r="C73" i="46"/>
  <c r="E73" i="46"/>
  <c r="G73" i="46"/>
  <c r="F10" i="46"/>
  <c r="F9" i="46"/>
  <c r="D10" i="46"/>
  <c r="D9" i="46"/>
  <c r="B8" i="46"/>
  <c r="B6" i="68" s="1"/>
  <c r="F73" i="21"/>
  <c r="D73" i="21"/>
  <c r="F72" i="21"/>
  <c r="D72" i="21"/>
  <c r="F71" i="21"/>
  <c r="D71" i="21"/>
  <c r="F70" i="21"/>
  <c r="D70" i="21"/>
  <c r="F69" i="21"/>
  <c r="F68" i="21"/>
  <c r="D68" i="21"/>
  <c r="F67" i="21"/>
  <c r="F66" i="21"/>
  <c r="D66" i="21"/>
  <c r="F64" i="21"/>
  <c r="D64" i="21"/>
  <c r="F63" i="21"/>
  <c r="D63" i="21"/>
  <c r="F62" i="21"/>
  <c r="D62" i="21"/>
  <c r="F60" i="21"/>
  <c r="D60" i="21"/>
  <c r="F59" i="21"/>
  <c r="D59" i="21"/>
  <c r="F72" i="31"/>
  <c r="F71" i="31"/>
  <c r="D71" i="31"/>
  <c r="F70" i="31"/>
  <c r="F68" i="31"/>
  <c r="D68" i="31"/>
  <c r="F67" i="31"/>
  <c r="D67" i="31"/>
  <c r="F66" i="31"/>
  <c r="F64" i="31"/>
  <c r="D64" i="31"/>
  <c r="F63" i="31"/>
  <c r="F62" i="31"/>
  <c r="F61" i="31"/>
  <c r="D61" i="31"/>
  <c r="F60" i="31"/>
  <c r="D60" i="31"/>
  <c r="F58" i="31"/>
  <c r="F57" i="31"/>
  <c r="D57" i="31"/>
  <c r="F55" i="31"/>
  <c r="F54" i="31"/>
  <c r="D54" i="31"/>
  <c r="F53" i="31"/>
  <c r="D53" i="31"/>
  <c r="F52" i="31"/>
  <c r="F73" i="44"/>
  <c r="F72" i="44"/>
  <c r="D72" i="44"/>
  <c r="F71" i="44"/>
  <c r="D71" i="44"/>
  <c r="F70" i="44"/>
  <c r="D70" i="44"/>
  <c r="F69" i="44"/>
  <c r="D69" i="44"/>
  <c r="D68" i="44"/>
  <c r="F67" i="44"/>
  <c r="D67" i="44"/>
  <c r="F66" i="44"/>
  <c r="D66" i="44"/>
  <c r="F65" i="44"/>
  <c r="D65" i="44"/>
  <c r="F64" i="44"/>
  <c r="D64" i="44"/>
  <c r="F63" i="44"/>
  <c r="D63" i="44"/>
  <c r="F62" i="44"/>
  <c r="D62" i="44"/>
  <c r="F61" i="44"/>
  <c r="F60" i="44"/>
  <c r="D60" i="44"/>
  <c r="F73" i="46"/>
  <c r="D73" i="46"/>
  <c r="F72" i="46"/>
  <c r="D72" i="46"/>
  <c r="F71" i="46"/>
  <c r="D71" i="46"/>
  <c r="F70" i="46"/>
  <c r="D70" i="46"/>
  <c r="F69" i="46"/>
  <c r="D69" i="46"/>
  <c r="F68" i="46"/>
  <c r="D68" i="46"/>
  <c r="F67" i="46"/>
  <c r="D67" i="46"/>
  <c r="F66" i="46"/>
  <c r="D66" i="46"/>
  <c r="F65" i="46"/>
  <c r="D65" i="46"/>
  <c r="F64" i="46"/>
  <c r="D64" i="46"/>
  <c r="D73" i="27"/>
  <c r="F72" i="27"/>
  <c r="F71" i="27"/>
  <c r="D71" i="27"/>
  <c r="F70" i="27"/>
  <c r="D70" i="27"/>
  <c r="F69" i="27"/>
  <c r="F68" i="27"/>
  <c r="D68" i="27"/>
  <c r="F67" i="27"/>
  <c r="D67" i="27"/>
  <c r="F65" i="27"/>
  <c r="D65" i="27"/>
  <c r="F64" i="27"/>
  <c r="D64" i="27"/>
  <c r="F63" i="27"/>
  <c r="D63" i="27"/>
  <c r="F62" i="27"/>
  <c r="D62" i="27"/>
  <c r="F61" i="27"/>
  <c r="F60" i="27"/>
  <c r="D60" i="27"/>
  <c r="F59" i="27"/>
  <c r="D59" i="27"/>
  <c r="F58" i="27"/>
  <c r="D58" i="27"/>
  <c r="F57" i="27"/>
  <c r="D57" i="27"/>
  <c r="F56" i="27"/>
  <c r="F55" i="27"/>
  <c r="D55" i="27"/>
  <c r="F54" i="27"/>
  <c r="F53" i="27"/>
  <c r="D53" i="27"/>
  <c r="F52" i="27"/>
  <c r="D52" i="27"/>
  <c r="F51" i="27"/>
  <c r="D51" i="27"/>
  <c r="F50" i="27"/>
  <c r="F49" i="27"/>
  <c r="D49" i="27"/>
  <c r="F48" i="27"/>
  <c r="D47" i="27"/>
  <c r="F46" i="27"/>
  <c r="D46" i="27"/>
  <c r="F45" i="27"/>
  <c r="D45" i="27"/>
  <c r="F44" i="27"/>
  <c r="W11" i="51"/>
  <c r="V11" i="51"/>
  <c r="D8" i="44"/>
  <c r="D6" i="65" s="1"/>
  <c r="C7" i="44"/>
  <c r="A4" i="65" s="1"/>
  <c r="C6" i="44"/>
  <c r="A60" i="44"/>
  <c r="B60" i="44"/>
  <c r="C60" i="44"/>
  <c r="E60" i="44"/>
  <c r="G60" i="44"/>
  <c r="A61" i="44"/>
  <c r="B61" i="44"/>
  <c r="C61" i="44"/>
  <c r="D61" i="44"/>
  <c r="E61" i="44"/>
  <c r="G61" i="44"/>
  <c r="A62" i="44"/>
  <c r="B62" i="44"/>
  <c r="C62" i="44"/>
  <c r="E62" i="44"/>
  <c r="G62" i="44"/>
  <c r="A63" i="44"/>
  <c r="B63" i="44"/>
  <c r="C63" i="44"/>
  <c r="E63" i="44"/>
  <c r="G63" i="44"/>
  <c r="A64" i="44"/>
  <c r="B64" i="44"/>
  <c r="C64" i="44"/>
  <c r="E64" i="44"/>
  <c r="G64" i="44"/>
  <c r="A65" i="44"/>
  <c r="B65" i="44"/>
  <c r="C65" i="44"/>
  <c r="E65" i="44"/>
  <c r="G65" i="44"/>
  <c r="A66" i="44"/>
  <c r="B66" i="44"/>
  <c r="C66" i="44"/>
  <c r="E66" i="44"/>
  <c r="G66" i="44"/>
  <c r="A67" i="44"/>
  <c r="B67" i="44"/>
  <c r="C67" i="44"/>
  <c r="E67" i="44"/>
  <c r="G67" i="44"/>
  <c r="A68" i="44"/>
  <c r="B68" i="44"/>
  <c r="C68" i="44"/>
  <c r="E68" i="44"/>
  <c r="F68" i="44"/>
  <c r="G68" i="44"/>
  <c r="A69" i="44"/>
  <c r="B69" i="44"/>
  <c r="C69" i="44"/>
  <c r="E69" i="44"/>
  <c r="G69" i="44"/>
  <c r="A70" i="44"/>
  <c r="B70" i="44"/>
  <c r="C70" i="44"/>
  <c r="E70" i="44"/>
  <c r="G70" i="44"/>
  <c r="A71" i="44"/>
  <c r="B71" i="44"/>
  <c r="C71" i="44"/>
  <c r="E71" i="44"/>
  <c r="G71" i="44"/>
  <c r="A72" i="44"/>
  <c r="B72" i="44"/>
  <c r="C72" i="44"/>
  <c r="E72" i="44"/>
  <c r="G72" i="44"/>
  <c r="A73" i="44"/>
  <c r="B73" i="44"/>
  <c r="C73" i="44"/>
  <c r="D73" i="44"/>
  <c r="E73" i="44"/>
  <c r="G73" i="44"/>
  <c r="F10" i="44"/>
  <c r="F9" i="44"/>
  <c r="D10" i="44"/>
  <c r="D9" i="44"/>
  <c r="B8" i="44"/>
  <c r="B6" i="65" s="1"/>
  <c r="B8" i="42"/>
  <c r="B6" i="66" s="1"/>
  <c r="S73" i="51"/>
  <c r="P73" i="51"/>
  <c r="M73" i="51"/>
  <c r="J73" i="51"/>
  <c r="S72" i="51"/>
  <c r="P72" i="51"/>
  <c r="M72" i="51"/>
  <c r="J72" i="51"/>
  <c r="S71" i="51"/>
  <c r="P71" i="51"/>
  <c r="M71" i="51"/>
  <c r="J71" i="51"/>
  <c r="S70" i="51"/>
  <c r="P70" i="51"/>
  <c r="M70" i="51"/>
  <c r="J70" i="51"/>
  <c r="S69" i="51"/>
  <c r="P69" i="51"/>
  <c r="M69" i="51"/>
  <c r="J69" i="51"/>
  <c r="S68" i="51"/>
  <c r="P68" i="51"/>
  <c r="M68" i="51"/>
  <c r="J68" i="51"/>
  <c r="S67" i="51"/>
  <c r="P67" i="51"/>
  <c r="M67" i="51"/>
  <c r="J67" i="51"/>
  <c r="S66" i="51"/>
  <c r="P66" i="51"/>
  <c r="M66" i="51"/>
  <c r="J66" i="51"/>
  <c r="S65" i="51"/>
  <c r="P65" i="51"/>
  <c r="M65" i="51"/>
  <c r="J65" i="51"/>
  <c r="S64" i="51"/>
  <c r="P64" i="51"/>
  <c r="M64" i="51"/>
  <c r="J64" i="51"/>
  <c r="S63" i="51"/>
  <c r="P63" i="51"/>
  <c r="M63" i="51"/>
  <c r="J63" i="51"/>
  <c r="S62" i="51"/>
  <c r="P62" i="51"/>
  <c r="M62" i="51"/>
  <c r="J62" i="51"/>
  <c r="S61" i="51"/>
  <c r="P61" i="51"/>
  <c r="M61" i="51"/>
  <c r="J61" i="51"/>
  <c r="S60" i="51"/>
  <c r="P60" i="51"/>
  <c r="M60" i="51"/>
  <c r="J60" i="51"/>
  <c r="S59" i="51"/>
  <c r="P59" i="51"/>
  <c r="M59" i="51"/>
  <c r="J59" i="51"/>
  <c r="S58" i="51"/>
  <c r="P58" i="51"/>
  <c r="M58" i="51"/>
  <c r="J58" i="51"/>
  <c r="S57" i="51"/>
  <c r="P57" i="51"/>
  <c r="M57" i="51"/>
  <c r="J57" i="51"/>
  <c r="S56" i="51"/>
  <c r="P56" i="51"/>
  <c r="M56" i="51"/>
  <c r="J56" i="51"/>
  <c r="S55" i="51"/>
  <c r="P55" i="51"/>
  <c r="M55" i="51"/>
  <c r="J55" i="51"/>
  <c r="S54" i="51"/>
  <c r="P54" i="51"/>
  <c r="M54" i="51"/>
  <c r="J54" i="51"/>
  <c r="S53" i="51"/>
  <c r="P53" i="51"/>
  <c r="M53" i="51"/>
  <c r="J53" i="51"/>
  <c r="S52" i="51"/>
  <c r="P52" i="51"/>
  <c r="M52" i="51"/>
  <c r="J52" i="51"/>
  <c r="S51" i="51"/>
  <c r="P51" i="51"/>
  <c r="M51" i="51"/>
  <c r="J51" i="51"/>
  <c r="S50" i="51"/>
  <c r="P50" i="51"/>
  <c r="M50" i="51"/>
  <c r="J50" i="51"/>
  <c r="S49" i="51"/>
  <c r="P49" i="51"/>
  <c r="M49" i="51"/>
  <c r="J49" i="51"/>
  <c r="S48" i="51"/>
  <c r="P48" i="51"/>
  <c r="M48" i="51"/>
  <c r="J48" i="51"/>
  <c r="S47" i="51"/>
  <c r="P47" i="51"/>
  <c r="M47" i="51"/>
  <c r="J47" i="51"/>
  <c r="S46" i="51"/>
  <c r="P46" i="51"/>
  <c r="M46" i="51"/>
  <c r="J46" i="51"/>
  <c r="S45" i="51"/>
  <c r="P45" i="51"/>
  <c r="M45" i="51"/>
  <c r="J45" i="51"/>
  <c r="S44" i="51"/>
  <c r="P44" i="51"/>
  <c r="M44" i="51"/>
  <c r="J44" i="51"/>
  <c r="S43" i="51"/>
  <c r="P43" i="51"/>
  <c r="M43" i="51"/>
  <c r="J43" i="51"/>
  <c r="S42" i="51"/>
  <c r="P42" i="51"/>
  <c r="M42" i="51"/>
  <c r="J42" i="51"/>
  <c r="S41" i="51"/>
  <c r="P41" i="51"/>
  <c r="M41" i="51"/>
  <c r="J41" i="51"/>
  <c r="S40" i="51"/>
  <c r="P40" i="51"/>
  <c r="M40" i="51"/>
  <c r="J40" i="51"/>
  <c r="S39" i="51"/>
  <c r="P39" i="51"/>
  <c r="M39" i="51"/>
  <c r="J39" i="51"/>
  <c r="S38" i="51"/>
  <c r="P38" i="51"/>
  <c r="M38" i="51"/>
  <c r="J38" i="51"/>
  <c r="S37" i="51"/>
  <c r="P37" i="51"/>
  <c r="M37" i="51"/>
  <c r="J37" i="51"/>
  <c r="S36" i="51"/>
  <c r="P36" i="51"/>
  <c r="M36" i="51"/>
  <c r="J36" i="51"/>
  <c r="S35" i="51"/>
  <c r="P35" i="51"/>
  <c r="M35" i="51"/>
  <c r="J35" i="51"/>
  <c r="S34" i="51"/>
  <c r="P34" i="51"/>
  <c r="M34" i="51"/>
  <c r="J34" i="51"/>
  <c r="S33" i="51"/>
  <c r="P33" i="51"/>
  <c r="M33" i="51"/>
  <c r="J33" i="51"/>
  <c r="S32" i="51"/>
  <c r="P32" i="51"/>
  <c r="M32" i="51"/>
  <c r="J32" i="51"/>
  <c r="S31" i="51"/>
  <c r="P31" i="51"/>
  <c r="M31" i="51"/>
  <c r="J31" i="51"/>
  <c r="S30" i="51"/>
  <c r="P30" i="51"/>
  <c r="M30" i="51"/>
  <c r="J30" i="51"/>
  <c r="S29" i="51"/>
  <c r="P29" i="51"/>
  <c r="M29" i="51"/>
  <c r="J29" i="51"/>
  <c r="S21" i="51"/>
  <c r="P21" i="51"/>
  <c r="M21" i="51"/>
  <c r="J21" i="51"/>
  <c r="S25" i="51"/>
  <c r="P25" i="51"/>
  <c r="M25" i="51"/>
  <c r="J25" i="51"/>
  <c r="S20" i="51"/>
  <c r="P20" i="51"/>
  <c r="M20" i="51"/>
  <c r="J20" i="51"/>
  <c r="S18" i="51"/>
  <c r="P18" i="51"/>
  <c r="M18" i="51"/>
  <c r="J18" i="51"/>
  <c r="S22" i="51"/>
  <c r="P22" i="51"/>
  <c r="M22" i="51"/>
  <c r="J22" i="51"/>
  <c r="S23" i="51"/>
  <c r="P23" i="51"/>
  <c r="M23" i="51"/>
  <c r="J23" i="51"/>
  <c r="S24" i="51"/>
  <c r="P24" i="51"/>
  <c r="M24" i="51"/>
  <c r="J24" i="51"/>
  <c r="S15" i="51"/>
  <c r="P15" i="51"/>
  <c r="M15" i="51"/>
  <c r="J15" i="51"/>
  <c r="S26" i="51"/>
  <c r="P26" i="51"/>
  <c r="M26" i="51"/>
  <c r="J26" i="51"/>
  <c r="S14" i="51"/>
  <c r="P14" i="51"/>
  <c r="M14" i="51"/>
  <c r="J14" i="51"/>
  <c r="S17" i="51"/>
  <c r="P17" i="51"/>
  <c r="M17" i="51"/>
  <c r="J17" i="51"/>
  <c r="S19" i="51"/>
  <c r="P19" i="51"/>
  <c r="M19" i="51"/>
  <c r="J19" i="51"/>
  <c r="S27" i="51"/>
  <c r="P27" i="51"/>
  <c r="M27" i="51"/>
  <c r="J27" i="51"/>
  <c r="S16" i="51"/>
  <c r="P16" i="51"/>
  <c r="M16" i="51"/>
  <c r="J16" i="51"/>
  <c r="S28" i="51"/>
  <c r="P28" i="51"/>
  <c r="M28" i="51"/>
  <c r="J28" i="51"/>
  <c r="F10" i="42"/>
  <c r="F9" i="42"/>
  <c r="D10" i="42"/>
  <c r="D9" i="42"/>
  <c r="S73" i="39"/>
  <c r="P73" i="39"/>
  <c r="M73" i="39"/>
  <c r="J73" i="39"/>
  <c r="S72" i="39"/>
  <c r="P72" i="39"/>
  <c r="M72" i="39"/>
  <c r="J72" i="39"/>
  <c r="S71" i="39"/>
  <c r="P71" i="39"/>
  <c r="M71" i="39"/>
  <c r="J71" i="39"/>
  <c r="S70" i="39"/>
  <c r="P70" i="39"/>
  <c r="M70" i="39"/>
  <c r="J70" i="39"/>
  <c r="S69" i="39"/>
  <c r="P69" i="39"/>
  <c r="M69" i="39"/>
  <c r="J69" i="39"/>
  <c r="S68" i="39"/>
  <c r="P68" i="39"/>
  <c r="M68" i="39"/>
  <c r="J68" i="39"/>
  <c r="S67" i="39"/>
  <c r="P67" i="39"/>
  <c r="M67" i="39"/>
  <c r="J67" i="39"/>
  <c r="S66" i="39"/>
  <c r="P66" i="39"/>
  <c r="M66" i="39"/>
  <c r="J66" i="39"/>
  <c r="S65" i="39"/>
  <c r="P65" i="39"/>
  <c r="M65" i="39"/>
  <c r="J65" i="39"/>
  <c r="S64" i="39"/>
  <c r="P64" i="39"/>
  <c r="M64" i="39"/>
  <c r="J64" i="39"/>
  <c r="S63" i="39"/>
  <c r="P63" i="39"/>
  <c r="M63" i="39"/>
  <c r="J63" i="39"/>
  <c r="S62" i="39"/>
  <c r="P62" i="39"/>
  <c r="M62" i="39"/>
  <c r="J62" i="39"/>
  <c r="S61" i="39"/>
  <c r="P61" i="39"/>
  <c r="M61" i="39"/>
  <c r="J61" i="39"/>
  <c r="S60" i="39"/>
  <c r="P60" i="39"/>
  <c r="M60" i="39"/>
  <c r="J60" i="39"/>
  <c r="S59" i="39"/>
  <c r="P59" i="39"/>
  <c r="M59" i="39"/>
  <c r="J59" i="39"/>
  <c r="S58" i="39"/>
  <c r="P58" i="39"/>
  <c r="M58" i="39"/>
  <c r="J58" i="39"/>
  <c r="S57" i="39"/>
  <c r="P57" i="39"/>
  <c r="M57" i="39"/>
  <c r="J57" i="39"/>
  <c r="S56" i="39"/>
  <c r="P56" i="39"/>
  <c r="M56" i="39"/>
  <c r="J56" i="39"/>
  <c r="S55" i="39"/>
  <c r="P55" i="39"/>
  <c r="M55" i="39"/>
  <c r="J55" i="39"/>
  <c r="S54" i="39"/>
  <c r="P54" i="39"/>
  <c r="M54" i="39"/>
  <c r="J54" i="39"/>
  <c r="S53" i="39"/>
  <c r="P53" i="39"/>
  <c r="M53" i="39"/>
  <c r="J53" i="39"/>
  <c r="S52" i="39"/>
  <c r="P52" i="39"/>
  <c r="M52" i="39"/>
  <c r="J52" i="39"/>
  <c r="S51" i="39"/>
  <c r="P51" i="39"/>
  <c r="M51" i="39"/>
  <c r="J51" i="39"/>
  <c r="S50" i="39"/>
  <c r="P50" i="39"/>
  <c r="M50" i="39"/>
  <c r="J50" i="39"/>
  <c r="S49" i="39"/>
  <c r="P49" i="39"/>
  <c r="M49" i="39"/>
  <c r="J49" i="39"/>
  <c r="S48" i="39"/>
  <c r="P48" i="39"/>
  <c r="M48" i="39"/>
  <c r="J48" i="39"/>
  <c r="S47" i="39"/>
  <c r="P47" i="39"/>
  <c r="M47" i="39"/>
  <c r="J47" i="39"/>
  <c r="S46" i="39"/>
  <c r="P46" i="39"/>
  <c r="M46" i="39"/>
  <c r="J46" i="39"/>
  <c r="S45" i="39"/>
  <c r="P45" i="39"/>
  <c r="M45" i="39"/>
  <c r="J45" i="39"/>
  <c r="S44" i="39"/>
  <c r="P44" i="39"/>
  <c r="M44" i="39"/>
  <c r="J44" i="39"/>
  <c r="S42" i="39"/>
  <c r="P42" i="39"/>
  <c r="M42" i="39"/>
  <c r="J42" i="39"/>
  <c r="S29" i="39"/>
  <c r="P29" i="39"/>
  <c r="M29" i="39"/>
  <c r="J29" i="39"/>
  <c r="S41" i="39"/>
  <c r="P41" i="39"/>
  <c r="M41" i="39"/>
  <c r="J41" i="39"/>
  <c r="S30" i="39"/>
  <c r="P30" i="39"/>
  <c r="M30" i="39"/>
  <c r="J30" i="39"/>
  <c r="S38" i="39"/>
  <c r="P38" i="39"/>
  <c r="M38" i="39"/>
  <c r="J38" i="39"/>
  <c r="S20" i="39"/>
  <c r="P20" i="39"/>
  <c r="M20" i="39"/>
  <c r="J20" i="39"/>
  <c r="S27" i="39"/>
  <c r="P27" i="39"/>
  <c r="M27" i="39"/>
  <c r="J27" i="39"/>
  <c r="S22" i="39"/>
  <c r="P22" i="39"/>
  <c r="M22" i="39"/>
  <c r="J22" i="39"/>
  <c r="S15" i="39"/>
  <c r="P15" i="39"/>
  <c r="M15" i="39"/>
  <c r="J15" i="39"/>
  <c r="S17" i="39"/>
  <c r="P17" i="39"/>
  <c r="M17" i="39"/>
  <c r="J17" i="39"/>
  <c r="S21" i="39"/>
  <c r="P21" i="39"/>
  <c r="M21" i="39"/>
  <c r="J21" i="39"/>
  <c r="S26" i="39"/>
  <c r="P26" i="39"/>
  <c r="M26" i="39"/>
  <c r="J26" i="39"/>
  <c r="S25" i="39"/>
  <c r="P25" i="39"/>
  <c r="M25" i="39"/>
  <c r="J25" i="39"/>
  <c r="S43" i="39"/>
  <c r="P43" i="39"/>
  <c r="M43" i="39"/>
  <c r="J43" i="39"/>
  <c r="S16" i="39"/>
  <c r="P16" i="39"/>
  <c r="M16" i="39"/>
  <c r="J16" i="39"/>
  <c r="S19" i="39"/>
  <c r="P19" i="39"/>
  <c r="M19" i="39"/>
  <c r="J19" i="39"/>
  <c r="S24" i="39"/>
  <c r="P24" i="39"/>
  <c r="M24" i="39"/>
  <c r="J24" i="39"/>
  <c r="S39" i="39"/>
  <c r="P39" i="39"/>
  <c r="M39" i="39"/>
  <c r="J39" i="39"/>
  <c r="S14" i="39"/>
  <c r="P14" i="39"/>
  <c r="M14" i="39"/>
  <c r="J14" i="39"/>
  <c r="S32" i="39"/>
  <c r="P32" i="39"/>
  <c r="M32" i="39"/>
  <c r="J32" i="39"/>
  <c r="S34" i="39"/>
  <c r="P34" i="39"/>
  <c r="M34" i="39"/>
  <c r="J34" i="39"/>
  <c r="S28" i="39"/>
  <c r="P28" i="39"/>
  <c r="M28" i="39"/>
  <c r="J28" i="39"/>
  <c r="S35" i="39"/>
  <c r="P35" i="39"/>
  <c r="M35" i="39"/>
  <c r="J35" i="39"/>
  <c r="S31" i="39"/>
  <c r="P31" i="39"/>
  <c r="M31" i="39"/>
  <c r="J31" i="39"/>
  <c r="S33" i="39"/>
  <c r="P33" i="39"/>
  <c r="M33" i="39"/>
  <c r="J33" i="39"/>
  <c r="S23" i="39"/>
  <c r="P23" i="39"/>
  <c r="M23" i="39"/>
  <c r="J23" i="39"/>
  <c r="S36" i="39"/>
  <c r="P36" i="39"/>
  <c r="M36" i="39"/>
  <c r="J36" i="39"/>
  <c r="S40" i="39"/>
  <c r="P40" i="39"/>
  <c r="M40" i="39"/>
  <c r="J40" i="39"/>
  <c r="S18" i="39"/>
  <c r="P18" i="39"/>
  <c r="M18" i="39"/>
  <c r="J18" i="39"/>
  <c r="S37" i="39"/>
  <c r="P37" i="39"/>
  <c r="M37" i="39"/>
  <c r="J37" i="39"/>
  <c r="D8" i="46"/>
  <c r="D6" i="68" s="1"/>
  <c r="C7" i="46"/>
  <c r="A4" i="68" s="1"/>
  <c r="C6" i="46"/>
  <c r="S73" i="37"/>
  <c r="P73" i="37"/>
  <c r="M73" i="37"/>
  <c r="J73" i="37"/>
  <c r="S29" i="37"/>
  <c r="P29" i="37"/>
  <c r="M29" i="37"/>
  <c r="J29" i="37"/>
  <c r="S43" i="37"/>
  <c r="P43" i="37"/>
  <c r="M43" i="37"/>
  <c r="J43" i="37"/>
  <c r="S39" i="37"/>
  <c r="P39" i="37"/>
  <c r="M39" i="37"/>
  <c r="J39" i="37"/>
  <c r="S25" i="37"/>
  <c r="P25" i="37"/>
  <c r="M25" i="37"/>
  <c r="J25" i="37"/>
  <c r="S33" i="37"/>
  <c r="P33" i="37"/>
  <c r="M33" i="37"/>
  <c r="J33" i="37"/>
  <c r="S32" i="37"/>
  <c r="P32" i="37"/>
  <c r="M32" i="37"/>
  <c r="J32" i="37"/>
  <c r="S70" i="37"/>
  <c r="P70" i="37"/>
  <c r="M70" i="37"/>
  <c r="J70" i="37"/>
  <c r="S48" i="37"/>
  <c r="P48" i="37"/>
  <c r="M48" i="37"/>
  <c r="J48" i="37"/>
  <c r="S17" i="37"/>
  <c r="P17" i="37"/>
  <c r="M17" i="37"/>
  <c r="J17" i="37"/>
  <c r="S72" i="37"/>
  <c r="P72" i="37"/>
  <c r="M72" i="37"/>
  <c r="J72" i="37"/>
  <c r="S34" i="37"/>
  <c r="P34" i="37"/>
  <c r="M34" i="37"/>
  <c r="J34" i="37"/>
  <c r="S42" i="37"/>
  <c r="P42" i="37"/>
  <c r="M42" i="37"/>
  <c r="J42" i="37"/>
  <c r="S59" i="37"/>
  <c r="P59" i="37"/>
  <c r="M59" i="37"/>
  <c r="J59" i="37"/>
  <c r="S61" i="37"/>
  <c r="P61" i="37"/>
  <c r="M61" i="37"/>
  <c r="J61" i="37"/>
  <c r="S51" i="37"/>
  <c r="P51" i="37"/>
  <c r="M51" i="37"/>
  <c r="J51" i="37"/>
  <c r="S62" i="37"/>
  <c r="P62" i="37"/>
  <c r="M62" i="37"/>
  <c r="J62" i="37"/>
  <c r="S54" i="37"/>
  <c r="P54" i="37"/>
  <c r="M54" i="37"/>
  <c r="J54" i="37"/>
  <c r="S50" i="37"/>
  <c r="P50" i="37"/>
  <c r="M50" i="37"/>
  <c r="J50" i="37"/>
  <c r="S45" i="37"/>
  <c r="P45" i="37"/>
  <c r="M45" i="37"/>
  <c r="J45" i="37"/>
  <c r="S69" i="37"/>
  <c r="P69" i="37"/>
  <c r="M69" i="37"/>
  <c r="J69" i="37"/>
  <c r="S55" i="37"/>
  <c r="P55" i="37"/>
  <c r="M55" i="37"/>
  <c r="J55" i="37"/>
  <c r="S68" i="37"/>
  <c r="P68" i="37"/>
  <c r="M68" i="37"/>
  <c r="J68" i="37"/>
  <c r="S26" i="37"/>
  <c r="P26" i="37"/>
  <c r="M26" i="37"/>
  <c r="J26" i="37"/>
  <c r="S23" i="37"/>
  <c r="P23" i="37"/>
  <c r="M23" i="37"/>
  <c r="J23" i="37"/>
  <c r="S31" i="37"/>
  <c r="P31" i="37"/>
  <c r="M31" i="37"/>
  <c r="J31" i="37"/>
  <c r="S71" i="37"/>
  <c r="P71" i="37"/>
  <c r="M71" i="37"/>
  <c r="J71" i="37"/>
  <c r="S28" i="37"/>
  <c r="P28" i="37"/>
  <c r="M28" i="37"/>
  <c r="J28" i="37"/>
  <c r="S56" i="37"/>
  <c r="P56" i="37"/>
  <c r="M56" i="37"/>
  <c r="J56" i="37"/>
  <c r="S52" i="37"/>
  <c r="P52" i="37"/>
  <c r="M52" i="37"/>
  <c r="J52" i="37"/>
  <c r="S19" i="37"/>
  <c r="P19" i="37"/>
  <c r="M19" i="37"/>
  <c r="J19" i="37"/>
  <c r="S37" i="37"/>
  <c r="P37" i="37"/>
  <c r="M37" i="37"/>
  <c r="J37" i="37"/>
  <c r="S36" i="37"/>
  <c r="P36" i="37"/>
  <c r="M36" i="37"/>
  <c r="J36" i="37"/>
  <c r="S20" i="37"/>
  <c r="P20" i="37"/>
  <c r="M20" i="37"/>
  <c r="J20" i="37"/>
  <c r="S14" i="37"/>
  <c r="P14" i="37"/>
  <c r="M14" i="37"/>
  <c r="J14" i="37"/>
  <c r="S64" i="37"/>
  <c r="P64" i="37"/>
  <c r="M64" i="37"/>
  <c r="J64" i="37"/>
  <c r="S41" i="37"/>
  <c r="P41" i="37"/>
  <c r="M41" i="37"/>
  <c r="J41" i="37"/>
  <c r="S16" i="37"/>
  <c r="P16" i="37"/>
  <c r="M16" i="37"/>
  <c r="J16" i="37"/>
  <c r="S58" i="37"/>
  <c r="P58" i="37"/>
  <c r="M58" i="37"/>
  <c r="J58" i="37"/>
  <c r="S49" i="37"/>
  <c r="P49" i="37"/>
  <c r="M49" i="37"/>
  <c r="J49" i="37"/>
  <c r="S67" i="37"/>
  <c r="P67" i="37"/>
  <c r="M67" i="37"/>
  <c r="J67" i="37"/>
  <c r="S22" i="37"/>
  <c r="P22" i="37"/>
  <c r="M22" i="37"/>
  <c r="J22" i="37"/>
  <c r="S38" i="37"/>
  <c r="P38" i="37"/>
  <c r="M38" i="37"/>
  <c r="J38" i="37"/>
  <c r="S21" i="37"/>
  <c r="P21" i="37"/>
  <c r="M21" i="37"/>
  <c r="J21" i="37"/>
  <c r="S18" i="37"/>
  <c r="P18" i="37"/>
  <c r="M18" i="37"/>
  <c r="J18" i="37"/>
  <c r="S53" i="37"/>
  <c r="P53" i="37"/>
  <c r="M53" i="37"/>
  <c r="J53" i="37"/>
  <c r="S44" i="37"/>
  <c r="P44" i="37"/>
  <c r="M44" i="37"/>
  <c r="J44" i="37"/>
  <c r="S46" i="37"/>
  <c r="P46" i="37"/>
  <c r="M46" i="37"/>
  <c r="J46" i="37"/>
  <c r="S57" i="37"/>
  <c r="P57" i="37"/>
  <c r="M57" i="37"/>
  <c r="J57" i="37"/>
  <c r="S40" i="37"/>
  <c r="P40" i="37"/>
  <c r="M40" i="37"/>
  <c r="J40" i="37"/>
  <c r="S65" i="37"/>
  <c r="P65" i="37"/>
  <c r="M65" i="37"/>
  <c r="J65" i="37"/>
  <c r="S66" i="37"/>
  <c r="P66" i="37"/>
  <c r="M66" i="37"/>
  <c r="J66" i="37"/>
  <c r="S27" i="37"/>
  <c r="P27" i="37"/>
  <c r="M27" i="37"/>
  <c r="J27" i="37"/>
  <c r="S30" i="37"/>
  <c r="P30" i="37"/>
  <c r="M30" i="37"/>
  <c r="J30" i="37"/>
  <c r="S35" i="37"/>
  <c r="P35" i="37"/>
  <c r="M35" i="37"/>
  <c r="J35" i="37"/>
  <c r="S63" i="37"/>
  <c r="P63" i="37"/>
  <c r="M63" i="37"/>
  <c r="J63" i="37"/>
  <c r="S60" i="37"/>
  <c r="P60" i="37"/>
  <c r="M60" i="37"/>
  <c r="J60" i="37"/>
  <c r="S15" i="37"/>
  <c r="P15" i="37"/>
  <c r="M15" i="37"/>
  <c r="J15" i="37"/>
  <c r="S47" i="37"/>
  <c r="P47" i="37"/>
  <c r="M47" i="37"/>
  <c r="J47" i="37"/>
  <c r="S24" i="37"/>
  <c r="P24" i="37"/>
  <c r="M24" i="37"/>
  <c r="J24" i="37"/>
  <c r="D8" i="42"/>
  <c r="D6" i="66" s="1"/>
  <c r="C7" i="42"/>
  <c r="A4" i="66" s="1"/>
  <c r="C6" i="42"/>
  <c r="D8" i="21"/>
  <c r="D6" i="63" s="1"/>
  <c r="D8" i="27"/>
  <c r="D6" i="62" s="1"/>
  <c r="D8" i="31"/>
  <c r="D6" i="64" s="1"/>
  <c r="C6" i="31"/>
  <c r="C7" i="31"/>
  <c r="A4" i="64" s="1"/>
  <c r="J16" i="32"/>
  <c r="M16" i="32"/>
  <c r="P16" i="32"/>
  <c r="S16" i="32"/>
  <c r="J34" i="32"/>
  <c r="M34" i="32"/>
  <c r="P34" i="32"/>
  <c r="S34" i="32"/>
  <c r="J18" i="32"/>
  <c r="M18" i="32"/>
  <c r="P18" i="32"/>
  <c r="S18" i="32"/>
  <c r="J29" i="32"/>
  <c r="M29" i="32"/>
  <c r="P29" i="32"/>
  <c r="S29" i="32"/>
  <c r="J20" i="32"/>
  <c r="M20" i="32"/>
  <c r="P20" i="32"/>
  <c r="S20" i="32"/>
  <c r="J19" i="32"/>
  <c r="M19" i="32"/>
  <c r="P19" i="32"/>
  <c r="S19" i="32"/>
  <c r="J31" i="32"/>
  <c r="M31" i="32"/>
  <c r="P31" i="32"/>
  <c r="S31" i="32"/>
  <c r="J21" i="32"/>
  <c r="M21" i="32"/>
  <c r="P21" i="32"/>
  <c r="S21" i="32"/>
  <c r="J30" i="32"/>
  <c r="M30" i="32"/>
  <c r="P30" i="32"/>
  <c r="S30" i="32"/>
  <c r="J23" i="32"/>
  <c r="M23" i="32"/>
  <c r="P23" i="32"/>
  <c r="S23" i="32"/>
  <c r="J15" i="32"/>
  <c r="M15" i="32"/>
  <c r="P15" i="32"/>
  <c r="S15" i="32"/>
  <c r="J37" i="32"/>
  <c r="M37" i="32"/>
  <c r="P37" i="32"/>
  <c r="S37" i="32"/>
  <c r="J36" i="32"/>
  <c r="M36" i="32"/>
  <c r="P36" i="32"/>
  <c r="S36" i="32"/>
  <c r="J32" i="32"/>
  <c r="M32" i="32"/>
  <c r="P32" i="32"/>
  <c r="S32" i="32"/>
  <c r="J24" i="32"/>
  <c r="M24" i="32"/>
  <c r="P24" i="32"/>
  <c r="S24" i="32"/>
  <c r="J17" i="32"/>
  <c r="M17" i="32"/>
  <c r="P17" i="32"/>
  <c r="S17" i="32"/>
  <c r="J28" i="32"/>
  <c r="M28" i="32"/>
  <c r="P28" i="32"/>
  <c r="S28" i="32"/>
  <c r="J22" i="32"/>
  <c r="M22" i="32"/>
  <c r="P22" i="32"/>
  <c r="S22" i="32"/>
  <c r="J27" i="32"/>
  <c r="M27" i="32"/>
  <c r="P27" i="32"/>
  <c r="S27" i="32"/>
  <c r="J25" i="32"/>
  <c r="M25" i="32"/>
  <c r="P25" i="32"/>
  <c r="S25" i="32"/>
  <c r="J35" i="32"/>
  <c r="M35" i="32"/>
  <c r="P35" i="32"/>
  <c r="S35" i="32"/>
  <c r="J26" i="32"/>
  <c r="M26" i="32"/>
  <c r="P26" i="32"/>
  <c r="S26" i="32"/>
  <c r="J33" i="32"/>
  <c r="M33" i="32"/>
  <c r="P33" i="32"/>
  <c r="S33" i="32"/>
  <c r="J38" i="32"/>
  <c r="M38" i="32"/>
  <c r="P38" i="32"/>
  <c r="S38" i="32"/>
  <c r="J39" i="32"/>
  <c r="M39" i="32"/>
  <c r="P39" i="32"/>
  <c r="S39" i="32"/>
  <c r="J40" i="32"/>
  <c r="M40" i="32"/>
  <c r="P40" i="32"/>
  <c r="S40" i="32"/>
  <c r="J41" i="32"/>
  <c r="M41" i="32"/>
  <c r="P41" i="32"/>
  <c r="S41" i="32"/>
  <c r="J42" i="32"/>
  <c r="M42" i="32"/>
  <c r="P42" i="32"/>
  <c r="S42" i="32"/>
  <c r="J43" i="32"/>
  <c r="M43" i="32"/>
  <c r="P43" i="32"/>
  <c r="S43" i="32"/>
  <c r="J44" i="32"/>
  <c r="M44" i="32"/>
  <c r="P44" i="32"/>
  <c r="S44" i="32"/>
  <c r="J45" i="32"/>
  <c r="M45" i="32"/>
  <c r="P45" i="32"/>
  <c r="S45" i="32"/>
  <c r="J46" i="32"/>
  <c r="M46" i="32"/>
  <c r="P46" i="32"/>
  <c r="S46" i="32"/>
  <c r="J47" i="32"/>
  <c r="M47" i="32"/>
  <c r="P47" i="32"/>
  <c r="S47" i="32"/>
  <c r="J48" i="32"/>
  <c r="M48" i="32"/>
  <c r="P48" i="32"/>
  <c r="S48" i="32"/>
  <c r="J49" i="32"/>
  <c r="M49" i="32"/>
  <c r="P49" i="32"/>
  <c r="S49" i="32"/>
  <c r="J50" i="32"/>
  <c r="M50" i="32"/>
  <c r="P50" i="32"/>
  <c r="S50" i="32"/>
  <c r="J51" i="32"/>
  <c r="M51" i="32"/>
  <c r="P51" i="32"/>
  <c r="S51" i="32"/>
  <c r="J52" i="32"/>
  <c r="M52" i="32"/>
  <c r="P52" i="32"/>
  <c r="S52" i="32"/>
  <c r="J53" i="32"/>
  <c r="M53" i="32"/>
  <c r="P53" i="32"/>
  <c r="S53" i="32"/>
  <c r="J54" i="32"/>
  <c r="M54" i="32"/>
  <c r="P54" i="32"/>
  <c r="S54" i="32"/>
  <c r="J55" i="32"/>
  <c r="M55" i="32"/>
  <c r="P55" i="32"/>
  <c r="S55" i="32"/>
  <c r="J56" i="32"/>
  <c r="M56" i="32"/>
  <c r="P56" i="32"/>
  <c r="S56" i="32"/>
  <c r="J57" i="32"/>
  <c r="M57" i="32"/>
  <c r="P57" i="32"/>
  <c r="S57" i="32"/>
  <c r="J58" i="32"/>
  <c r="M58" i="32"/>
  <c r="P58" i="32"/>
  <c r="S58" i="32"/>
  <c r="J59" i="32"/>
  <c r="M59" i="32"/>
  <c r="P59" i="32"/>
  <c r="S59" i="32"/>
  <c r="J60" i="32"/>
  <c r="M60" i="32"/>
  <c r="P60" i="32"/>
  <c r="S60" i="32"/>
  <c r="J61" i="32"/>
  <c r="M61" i="32"/>
  <c r="P61" i="32"/>
  <c r="S61" i="32"/>
  <c r="J62" i="32"/>
  <c r="M62" i="32"/>
  <c r="P62" i="32"/>
  <c r="S62" i="32"/>
  <c r="J63" i="32"/>
  <c r="M63" i="32"/>
  <c r="P63" i="32"/>
  <c r="S63" i="32"/>
  <c r="J64" i="32"/>
  <c r="M64" i="32"/>
  <c r="P64" i="32"/>
  <c r="S64" i="32"/>
  <c r="J65" i="32"/>
  <c r="M65" i="32"/>
  <c r="P65" i="32"/>
  <c r="S65" i="32"/>
  <c r="J66" i="32"/>
  <c r="M66" i="32"/>
  <c r="P66" i="32"/>
  <c r="S66" i="32"/>
  <c r="J67" i="32"/>
  <c r="M67" i="32"/>
  <c r="P67" i="32"/>
  <c r="S67" i="32"/>
  <c r="J68" i="32"/>
  <c r="M68" i="32"/>
  <c r="P68" i="32"/>
  <c r="S68" i="32"/>
  <c r="J69" i="32"/>
  <c r="M69" i="32"/>
  <c r="P69" i="32"/>
  <c r="S69" i="32"/>
  <c r="J70" i="32"/>
  <c r="M70" i="32"/>
  <c r="P70" i="32"/>
  <c r="S70" i="32"/>
  <c r="J71" i="32"/>
  <c r="M71" i="32"/>
  <c r="P71" i="32"/>
  <c r="S71" i="32"/>
  <c r="J72" i="32"/>
  <c r="M72" i="32"/>
  <c r="P72" i="32"/>
  <c r="S72" i="32"/>
  <c r="J73" i="32"/>
  <c r="M73" i="32"/>
  <c r="P73" i="32"/>
  <c r="S73" i="32"/>
  <c r="C6" i="21"/>
  <c r="C7" i="21"/>
  <c r="A4" i="63" s="1"/>
  <c r="J14" i="36"/>
  <c r="M14" i="36"/>
  <c r="P14" i="36"/>
  <c r="S14" i="36"/>
  <c r="J20" i="36"/>
  <c r="M20" i="36"/>
  <c r="P20" i="36"/>
  <c r="S20" i="36"/>
  <c r="J22" i="36"/>
  <c r="M22" i="36"/>
  <c r="P22" i="36"/>
  <c r="S22" i="36"/>
  <c r="J17" i="36"/>
  <c r="M17" i="36"/>
  <c r="P17" i="36"/>
  <c r="S17" i="36"/>
  <c r="J26" i="36"/>
  <c r="M26" i="36"/>
  <c r="P26" i="36"/>
  <c r="S26" i="36"/>
  <c r="J15" i="36"/>
  <c r="M15" i="36"/>
  <c r="P15" i="36"/>
  <c r="S15" i="36"/>
  <c r="J23" i="36"/>
  <c r="M23" i="36"/>
  <c r="P23" i="36"/>
  <c r="S23" i="36"/>
  <c r="J27" i="36"/>
  <c r="M27" i="36"/>
  <c r="P27" i="36"/>
  <c r="S27" i="36"/>
  <c r="J25" i="36"/>
  <c r="M25" i="36"/>
  <c r="P25" i="36"/>
  <c r="S25" i="36"/>
  <c r="J16" i="36"/>
  <c r="M16" i="36"/>
  <c r="P16" i="36"/>
  <c r="S16" i="36"/>
  <c r="J21" i="36"/>
  <c r="M21" i="36"/>
  <c r="P21" i="36"/>
  <c r="S21" i="36"/>
  <c r="J24" i="36"/>
  <c r="M24" i="36"/>
  <c r="P24" i="36"/>
  <c r="S24" i="36"/>
  <c r="J19" i="36"/>
  <c r="M19" i="36"/>
  <c r="P19" i="36"/>
  <c r="S19" i="36"/>
  <c r="J28" i="36"/>
  <c r="M28" i="36"/>
  <c r="P28" i="36"/>
  <c r="S28" i="36"/>
  <c r="J18" i="36"/>
  <c r="M18" i="36"/>
  <c r="P18" i="36"/>
  <c r="S18" i="36"/>
  <c r="J29" i="36"/>
  <c r="M29" i="36"/>
  <c r="P29" i="36"/>
  <c r="S29" i="36"/>
  <c r="J30" i="36"/>
  <c r="M30" i="36"/>
  <c r="P30" i="36"/>
  <c r="S30" i="36"/>
  <c r="J31" i="36"/>
  <c r="M31" i="36"/>
  <c r="P31" i="36"/>
  <c r="S31" i="36"/>
  <c r="J32" i="36"/>
  <c r="M32" i="36"/>
  <c r="P32" i="36"/>
  <c r="S32" i="36"/>
  <c r="J33" i="36"/>
  <c r="M33" i="36"/>
  <c r="P33" i="36"/>
  <c r="S33" i="36"/>
  <c r="J34" i="36"/>
  <c r="M34" i="36"/>
  <c r="P34" i="36"/>
  <c r="S34" i="36"/>
  <c r="J35" i="36"/>
  <c r="M35" i="36"/>
  <c r="P35" i="36"/>
  <c r="S35" i="36"/>
  <c r="J36" i="36"/>
  <c r="M36" i="36"/>
  <c r="P36" i="36"/>
  <c r="S36" i="36"/>
  <c r="J37" i="36"/>
  <c r="M37" i="36"/>
  <c r="P37" i="36"/>
  <c r="S37" i="36"/>
  <c r="J38" i="36"/>
  <c r="M38" i="36"/>
  <c r="P38" i="36"/>
  <c r="S38" i="36"/>
  <c r="J39" i="36"/>
  <c r="M39" i="36"/>
  <c r="P39" i="36"/>
  <c r="S39" i="36"/>
  <c r="J40" i="36"/>
  <c r="M40" i="36"/>
  <c r="P40" i="36"/>
  <c r="S40" i="36"/>
  <c r="J41" i="36"/>
  <c r="M41" i="36"/>
  <c r="P41" i="36"/>
  <c r="S41" i="36"/>
  <c r="J42" i="36"/>
  <c r="M42" i="36"/>
  <c r="P42" i="36"/>
  <c r="S42" i="36"/>
  <c r="J43" i="36"/>
  <c r="M43" i="36"/>
  <c r="P43" i="36"/>
  <c r="S43" i="36"/>
  <c r="J44" i="36"/>
  <c r="M44" i="36"/>
  <c r="P44" i="36"/>
  <c r="S44" i="36"/>
  <c r="J45" i="36"/>
  <c r="M45" i="36"/>
  <c r="P45" i="36"/>
  <c r="S45" i="36"/>
  <c r="J46" i="36"/>
  <c r="M46" i="36"/>
  <c r="P46" i="36"/>
  <c r="S46" i="36"/>
  <c r="J47" i="36"/>
  <c r="M47" i="36"/>
  <c r="P47" i="36"/>
  <c r="S47" i="36"/>
  <c r="J48" i="36"/>
  <c r="M48" i="36"/>
  <c r="P48" i="36"/>
  <c r="S48" i="36"/>
  <c r="J49" i="36"/>
  <c r="M49" i="36"/>
  <c r="P49" i="36"/>
  <c r="S49" i="36"/>
  <c r="J50" i="36"/>
  <c r="M50" i="36"/>
  <c r="P50" i="36"/>
  <c r="S50" i="36"/>
  <c r="J51" i="36"/>
  <c r="M51" i="36"/>
  <c r="P51" i="36"/>
  <c r="S51" i="36"/>
  <c r="J52" i="36"/>
  <c r="M52" i="36"/>
  <c r="P52" i="36"/>
  <c r="S52" i="36"/>
  <c r="J53" i="36"/>
  <c r="M53" i="36"/>
  <c r="P53" i="36"/>
  <c r="S53" i="36"/>
  <c r="J54" i="36"/>
  <c r="M54" i="36"/>
  <c r="P54" i="36"/>
  <c r="S54" i="36"/>
  <c r="J55" i="36"/>
  <c r="M55" i="36"/>
  <c r="P55" i="36"/>
  <c r="S55" i="36"/>
  <c r="J56" i="36"/>
  <c r="M56" i="36"/>
  <c r="P56" i="36"/>
  <c r="S56" i="36"/>
  <c r="J57" i="36"/>
  <c r="M57" i="36"/>
  <c r="P57" i="36"/>
  <c r="S57" i="36"/>
  <c r="J58" i="36"/>
  <c r="M58" i="36"/>
  <c r="P58" i="36"/>
  <c r="S58" i="36"/>
  <c r="J59" i="36"/>
  <c r="M59" i="36"/>
  <c r="P59" i="36"/>
  <c r="S59" i="36"/>
  <c r="J60" i="36"/>
  <c r="M60" i="36"/>
  <c r="P60" i="36"/>
  <c r="S60" i="36"/>
  <c r="D61" i="21"/>
  <c r="J61" i="36"/>
  <c r="M61" i="36"/>
  <c r="P61" i="36"/>
  <c r="S61" i="36"/>
  <c r="J62" i="36"/>
  <c r="M62" i="36"/>
  <c r="P62" i="36"/>
  <c r="S62" i="36"/>
  <c r="J63" i="36"/>
  <c r="M63" i="36"/>
  <c r="P63" i="36"/>
  <c r="S63" i="36"/>
  <c r="J64" i="36"/>
  <c r="M64" i="36"/>
  <c r="P64" i="36"/>
  <c r="S64" i="36"/>
  <c r="J65" i="36"/>
  <c r="M65" i="36"/>
  <c r="P65" i="36"/>
  <c r="S65" i="36"/>
  <c r="J66" i="36"/>
  <c r="M66" i="36"/>
  <c r="P66" i="36"/>
  <c r="S66" i="36"/>
  <c r="J67" i="36"/>
  <c r="M67" i="36"/>
  <c r="P67" i="36"/>
  <c r="S67" i="36"/>
  <c r="J68" i="36"/>
  <c r="M68" i="36"/>
  <c r="P68" i="36"/>
  <c r="S68" i="36"/>
  <c r="J69" i="36"/>
  <c r="M69" i="36"/>
  <c r="P69" i="36"/>
  <c r="S69" i="36"/>
  <c r="J70" i="36"/>
  <c r="M70" i="36"/>
  <c r="P70" i="36"/>
  <c r="S70" i="36"/>
  <c r="J71" i="36"/>
  <c r="M71" i="36"/>
  <c r="P71" i="36"/>
  <c r="S71" i="36"/>
  <c r="J72" i="36"/>
  <c r="M72" i="36"/>
  <c r="P72" i="36"/>
  <c r="S72" i="36"/>
  <c r="J73" i="36"/>
  <c r="M73" i="36"/>
  <c r="P73" i="36"/>
  <c r="S73" i="36"/>
  <c r="C6" i="27"/>
  <c r="M31" i="28"/>
  <c r="P31" i="28"/>
  <c r="S31" i="28"/>
  <c r="J23" i="28"/>
  <c r="M23" i="28"/>
  <c r="P23" i="28"/>
  <c r="S23" i="28"/>
  <c r="J15" i="28"/>
  <c r="M15" i="28"/>
  <c r="P15" i="28"/>
  <c r="S15" i="28"/>
  <c r="J14" i="28"/>
  <c r="M14" i="28"/>
  <c r="P14" i="28"/>
  <c r="S14" i="28"/>
  <c r="J21" i="28"/>
  <c r="M21" i="28"/>
  <c r="P21" i="28"/>
  <c r="S21" i="28"/>
  <c r="J32" i="28"/>
  <c r="M32" i="28"/>
  <c r="P32" i="28"/>
  <c r="S32" i="28"/>
  <c r="J25" i="28"/>
  <c r="M25" i="28"/>
  <c r="P25" i="28"/>
  <c r="S25" i="28"/>
  <c r="J16" i="28"/>
  <c r="M16" i="28"/>
  <c r="P16" i="28"/>
  <c r="S16" i="28"/>
  <c r="J34" i="28"/>
  <c r="M34" i="28"/>
  <c r="P34" i="28"/>
  <c r="S34" i="28"/>
  <c r="J22" i="28"/>
  <c r="M22" i="28"/>
  <c r="P22" i="28"/>
  <c r="S22" i="28"/>
  <c r="J27" i="28"/>
  <c r="M27" i="28"/>
  <c r="P27" i="28"/>
  <c r="S27" i="28"/>
  <c r="J30" i="28"/>
  <c r="M30" i="28"/>
  <c r="P30" i="28"/>
  <c r="S30" i="28"/>
  <c r="J19" i="28"/>
  <c r="M19" i="28"/>
  <c r="P19" i="28"/>
  <c r="S19" i="28"/>
  <c r="J24" i="28"/>
  <c r="M24" i="28"/>
  <c r="P24" i="28"/>
  <c r="S24" i="28"/>
  <c r="J18" i="28"/>
  <c r="M18" i="28"/>
  <c r="P18" i="28"/>
  <c r="S18" i="28"/>
  <c r="J29" i="28"/>
  <c r="M29" i="28"/>
  <c r="P29" i="28"/>
  <c r="S29" i="28"/>
  <c r="J33" i="28"/>
  <c r="M33" i="28"/>
  <c r="P33" i="28"/>
  <c r="S33" i="28"/>
  <c r="J17" i="28"/>
  <c r="M17" i="28"/>
  <c r="P17" i="28"/>
  <c r="S17" i="28"/>
  <c r="J26" i="28"/>
  <c r="M26" i="28"/>
  <c r="P26" i="28"/>
  <c r="S26" i="28"/>
  <c r="J28" i="28"/>
  <c r="M28" i="28"/>
  <c r="P28" i="28"/>
  <c r="S28" i="28"/>
  <c r="J20" i="28"/>
  <c r="M20" i="28"/>
  <c r="P20" i="28"/>
  <c r="S20" i="28"/>
  <c r="J35" i="28"/>
  <c r="M35" i="28"/>
  <c r="P35" i="28"/>
  <c r="S35" i="28"/>
  <c r="J36" i="28"/>
  <c r="M36" i="28"/>
  <c r="P36" i="28"/>
  <c r="S36" i="28"/>
  <c r="J37" i="28"/>
  <c r="M37" i="28"/>
  <c r="P37" i="28"/>
  <c r="S37" i="28"/>
  <c r="J38" i="28"/>
  <c r="M38" i="28"/>
  <c r="P38" i="28"/>
  <c r="S38" i="28"/>
  <c r="J39" i="28"/>
  <c r="M39" i="28"/>
  <c r="P39" i="28"/>
  <c r="S39" i="28"/>
  <c r="J40" i="28"/>
  <c r="M40" i="28"/>
  <c r="P40" i="28"/>
  <c r="S40" i="28"/>
  <c r="J41" i="28"/>
  <c r="M41" i="28"/>
  <c r="P41" i="28"/>
  <c r="S41" i="28"/>
  <c r="J42" i="28"/>
  <c r="M42" i="28"/>
  <c r="P42" i="28"/>
  <c r="S42" i="28"/>
  <c r="J43" i="28"/>
  <c r="M43" i="28"/>
  <c r="P43" i="28"/>
  <c r="S43" i="28"/>
  <c r="D44" i="27"/>
  <c r="J44" i="28"/>
  <c r="M44" i="28"/>
  <c r="P44" i="28"/>
  <c r="S44" i="28"/>
  <c r="J45" i="28"/>
  <c r="M45" i="28"/>
  <c r="P45" i="28"/>
  <c r="S45" i="28"/>
  <c r="J46" i="28"/>
  <c r="M46" i="28"/>
  <c r="P46" i="28"/>
  <c r="S46" i="28"/>
  <c r="J47" i="28"/>
  <c r="M47" i="28"/>
  <c r="P47" i="28"/>
  <c r="S47" i="28"/>
  <c r="D48" i="27"/>
  <c r="J48" i="28"/>
  <c r="M48" i="28"/>
  <c r="P48" i="28"/>
  <c r="S48" i="28"/>
  <c r="J49" i="28"/>
  <c r="M49" i="28"/>
  <c r="P49" i="28"/>
  <c r="S49" i="28"/>
  <c r="J50" i="28"/>
  <c r="M50" i="28"/>
  <c r="P50" i="28"/>
  <c r="S50" i="28"/>
  <c r="J51" i="28"/>
  <c r="M51" i="28"/>
  <c r="P51" i="28"/>
  <c r="S51" i="28"/>
  <c r="J52" i="28"/>
  <c r="M52" i="28"/>
  <c r="P52" i="28"/>
  <c r="S52" i="28"/>
  <c r="J53" i="28"/>
  <c r="M53" i="28"/>
  <c r="P53" i="28"/>
  <c r="S53" i="28"/>
  <c r="J54" i="28"/>
  <c r="M54" i="28"/>
  <c r="P54" i="28"/>
  <c r="S54" i="28"/>
  <c r="J55" i="28"/>
  <c r="M55" i="28"/>
  <c r="P55" i="28"/>
  <c r="S55" i="28"/>
  <c r="J56" i="28"/>
  <c r="M56" i="28"/>
  <c r="P56" i="28"/>
  <c r="S56" i="28"/>
  <c r="J57" i="28"/>
  <c r="M57" i="28"/>
  <c r="P57" i="28"/>
  <c r="S57" i="28"/>
  <c r="J58" i="28"/>
  <c r="M58" i="28"/>
  <c r="P58" i="28"/>
  <c r="S58" i="28"/>
  <c r="J59" i="28"/>
  <c r="M59" i="28"/>
  <c r="P59" i="28"/>
  <c r="S59" i="28"/>
  <c r="J60" i="28"/>
  <c r="M60" i="28"/>
  <c r="P60" i="28"/>
  <c r="S60" i="28"/>
  <c r="J61" i="28"/>
  <c r="M61" i="28"/>
  <c r="P61" i="28"/>
  <c r="S61" i="28"/>
  <c r="J62" i="28"/>
  <c r="M62" i="28"/>
  <c r="P62" i="28"/>
  <c r="S62" i="28"/>
  <c r="J63" i="28"/>
  <c r="M63" i="28"/>
  <c r="P63" i="28"/>
  <c r="S63" i="28"/>
  <c r="J64" i="28"/>
  <c r="M64" i="28"/>
  <c r="P64" i="28"/>
  <c r="S64" i="28"/>
  <c r="J65" i="28"/>
  <c r="M65" i="28"/>
  <c r="P65" i="28"/>
  <c r="S65" i="28"/>
  <c r="J66" i="28"/>
  <c r="M66" i="28"/>
  <c r="P66" i="28"/>
  <c r="S66" i="28"/>
  <c r="J67" i="28"/>
  <c r="M67" i="28"/>
  <c r="P67" i="28"/>
  <c r="S67" i="28"/>
  <c r="J68" i="28"/>
  <c r="M68" i="28"/>
  <c r="P68" i="28"/>
  <c r="S68" i="28"/>
  <c r="J69" i="28"/>
  <c r="M69" i="28"/>
  <c r="P69" i="28"/>
  <c r="S69" i="28"/>
  <c r="J70" i="28"/>
  <c r="M70" i="28"/>
  <c r="P70" i="28"/>
  <c r="S70" i="28"/>
  <c r="J71" i="28"/>
  <c r="M71" i="28"/>
  <c r="P71" i="28"/>
  <c r="S71" i="28"/>
  <c r="J72" i="28"/>
  <c r="M72" i="28"/>
  <c r="P72" i="28"/>
  <c r="S72" i="28"/>
  <c r="J73" i="28"/>
  <c r="M73" i="28"/>
  <c r="P73" i="28"/>
  <c r="S73" i="28"/>
  <c r="B8" i="31"/>
  <c r="B6" i="64" s="1"/>
  <c r="D9" i="31"/>
  <c r="F9" i="31"/>
  <c r="D10" i="31"/>
  <c r="F10" i="31"/>
  <c r="A52" i="31"/>
  <c r="B52" i="31"/>
  <c r="C52" i="31"/>
  <c r="D52" i="31"/>
  <c r="E52" i="31"/>
  <c r="G52" i="31"/>
  <c r="A53" i="31"/>
  <c r="B53" i="31"/>
  <c r="C53" i="31"/>
  <c r="E53" i="31"/>
  <c r="G53" i="31"/>
  <c r="A54" i="31"/>
  <c r="B54" i="31"/>
  <c r="C54" i="31"/>
  <c r="E54" i="31"/>
  <c r="G54" i="31"/>
  <c r="A55" i="31"/>
  <c r="B55" i="31"/>
  <c r="C55" i="31"/>
  <c r="D55" i="31"/>
  <c r="E55" i="31"/>
  <c r="G55" i="31"/>
  <c r="A56" i="31"/>
  <c r="B56" i="31"/>
  <c r="C56" i="31"/>
  <c r="D56" i="31"/>
  <c r="E56" i="31"/>
  <c r="F56" i="31"/>
  <c r="G56" i="31"/>
  <c r="A57" i="31"/>
  <c r="B57" i="31"/>
  <c r="C57" i="31"/>
  <c r="E57" i="31"/>
  <c r="G57" i="31"/>
  <c r="A58" i="31"/>
  <c r="B58" i="31"/>
  <c r="C58" i="31"/>
  <c r="D58" i="31"/>
  <c r="E58" i="31"/>
  <c r="G58" i="31"/>
  <c r="A59" i="31"/>
  <c r="B59" i="31"/>
  <c r="C59" i="31"/>
  <c r="D59" i="31"/>
  <c r="E59" i="31"/>
  <c r="F59" i="31"/>
  <c r="G59" i="31"/>
  <c r="A60" i="31"/>
  <c r="B60" i="31"/>
  <c r="C60" i="31"/>
  <c r="E60" i="31"/>
  <c r="G60" i="31"/>
  <c r="A61" i="31"/>
  <c r="B61" i="31"/>
  <c r="C61" i="31"/>
  <c r="E61" i="31"/>
  <c r="G61" i="31"/>
  <c r="A62" i="31"/>
  <c r="B62" i="31"/>
  <c r="C62" i="31"/>
  <c r="D62" i="31"/>
  <c r="E62" i="31"/>
  <c r="G62" i="31"/>
  <c r="A63" i="31"/>
  <c r="B63" i="31"/>
  <c r="C63" i="31"/>
  <c r="D63" i="31"/>
  <c r="E63" i="31"/>
  <c r="G63" i="31"/>
  <c r="A64" i="31"/>
  <c r="B64" i="31"/>
  <c r="C64" i="31"/>
  <c r="E64" i="31"/>
  <c r="G64" i="31"/>
  <c r="A65" i="31"/>
  <c r="B65" i="31"/>
  <c r="C65" i="31"/>
  <c r="D65" i="31"/>
  <c r="E65" i="31"/>
  <c r="F65" i="31"/>
  <c r="G65" i="31"/>
  <c r="A66" i="31"/>
  <c r="B66" i="31"/>
  <c r="C66" i="31"/>
  <c r="D66" i="31"/>
  <c r="E66" i="31"/>
  <c r="G66" i="31"/>
  <c r="A67" i="31"/>
  <c r="B67" i="31"/>
  <c r="C67" i="31"/>
  <c r="E67" i="31"/>
  <c r="G67" i="31"/>
  <c r="A68" i="31"/>
  <c r="B68" i="31"/>
  <c r="C68" i="31"/>
  <c r="E68" i="31"/>
  <c r="G68" i="31"/>
  <c r="A69" i="31"/>
  <c r="B69" i="31"/>
  <c r="C69" i="31"/>
  <c r="D69" i="31"/>
  <c r="E69" i="31"/>
  <c r="F69" i="31"/>
  <c r="G69" i="31"/>
  <c r="A70" i="31"/>
  <c r="B70" i="31"/>
  <c r="C70" i="31"/>
  <c r="D70" i="31"/>
  <c r="E70" i="31"/>
  <c r="G70" i="31"/>
  <c r="A71" i="31"/>
  <c r="B71" i="31"/>
  <c r="C71" i="31"/>
  <c r="E71" i="31"/>
  <c r="G71" i="31"/>
  <c r="A72" i="31"/>
  <c r="B72" i="31"/>
  <c r="C72" i="31"/>
  <c r="D72" i="31"/>
  <c r="E72" i="31"/>
  <c r="G72" i="31"/>
  <c r="A73" i="31"/>
  <c r="B73" i="31"/>
  <c r="C73" i="31"/>
  <c r="D73" i="31"/>
  <c r="E73" i="31"/>
  <c r="F73" i="31"/>
  <c r="G73" i="31"/>
  <c r="B8" i="21"/>
  <c r="B6" i="63" s="1"/>
  <c r="D9" i="21"/>
  <c r="F9" i="21"/>
  <c r="D10" i="21"/>
  <c r="F10" i="21"/>
  <c r="A59" i="21"/>
  <c r="B59" i="21"/>
  <c r="C59" i="21"/>
  <c r="E59" i="21"/>
  <c r="G59" i="21"/>
  <c r="A60" i="21"/>
  <c r="B60" i="21"/>
  <c r="C60" i="21"/>
  <c r="E60" i="21"/>
  <c r="G60" i="21"/>
  <c r="A61" i="21"/>
  <c r="B61" i="21"/>
  <c r="C61" i="21"/>
  <c r="E61" i="21"/>
  <c r="F61" i="21"/>
  <c r="G61" i="21"/>
  <c r="A62" i="21"/>
  <c r="B62" i="21"/>
  <c r="C62" i="21"/>
  <c r="E62" i="21"/>
  <c r="G62" i="21"/>
  <c r="A63" i="21"/>
  <c r="B63" i="21"/>
  <c r="C63" i="21"/>
  <c r="E63" i="21"/>
  <c r="G63" i="21"/>
  <c r="A64" i="21"/>
  <c r="B64" i="21"/>
  <c r="C64" i="21"/>
  <c r="E64" i="21"/>
  <c r="G64" i="21"/>
  <c r="A65" i="21"/>
  <c r="B65" i="21"/>
  <c r="C65" i="21"/>
  <c r="D65" i="21"/>
  <c r="E65" i="21"/>
  <c r="F65" i="21"/>
  <c r="G65" i="21"/>
  <c r="A66" i="21"/>
  <c r="B66" i="21"/>
  <c r="C66" i="21"/>
  <c r="E66" i="21"/>
  <c r="G66" i="21"/>
  <c r="A67" i="21"/>
  <c r="B67" i="21"/>
  <c r="C67" i="21"/>
  <c r="D67" i="21"/>
  <c r="E67" i="21"/>
  <c r="G67" i="21"/>
  <c r="A68" i="21"/>
  <c r="B68" i="21"/>
  <c r="C68" i="21"/>
  <c r="E68" i="21"/>
  <c r="G68" i="21"/>
  <c r="A69" i="21"/>
  <c r="B69" i="21"/>
  <c r="C69" i="21"/>
  <c r="D69" i="21"/>
  <c r="E69" i="21"/>
  <c r="G69" i="21"/>
  <c r="A70" i="21"/>
  <c r="B70" i="21"/>
  <c r="C70" i="21"/>
  <c r="E70" i="21"/>
  <c r="G70" i="21"/>
  <c r="A71" i="21"/>
  <c r="B71" i="21"/>
  <c r="C71" i="21"/>
  <c r="E71" i="21"/>
  <c r="G71" i="21"/>
  <c r="A72" i="21"/>
  <c r="B72" i="21"/>
  <c r="C72" i="21"/>
  <c r="E72" i="21"/>
  <c r="G72" i="21"/>
  <c r="A73" i="21"/>
  <c r="B73" i="21"/>
  <c r="C73" i="21"/>
  <c r="E73" i="21"/>
  <c r="G73" i="21"/>
  <c r="C7" i="27"/>
  <c r="A4" i="62" s="1"/>
  <c r="B8" i="27"/>
  <c r="B6" i="62" s="1"/>
  <c r="D9" i="27"/>
  <c r="F9" i="27"/>
  <c r="D10" i="27"/>
  <c r="F10" i="27"/>
  <c r="A44" i="27"/>
  <c r="B44" i="27"/>
  <c r="C44" i="27"/>
  <c r="E44" i="27"/>
  <c r="G44" i="27"/>
  <c r="A45" i="27"/>
  <c r="B45" i="27"/>
  <c r="C45" i="27"/>
  <c r="E45" i="27"/>
  <c r="G45" i="27"/>
  <c r="A46" i="27"/>
  <c r="B46" i="27"/>
  <c r="C46" i="27"/>
  <c r="E46" i="27"/>
  <c r="G46" i="27"/>
  <c r="A47" i="27"/>
  <c r="B47" i="27"/>
  <c r="C47" i="27"/>
  <c r="E47" i="27"/>
  <c r="F47" i="27"/>
  <c r="G47" i="27"/>
  <c r="A48" i="27"/>
  <c r="B48" i="27"/>
  <c r="C48" i="27"/>
  <c r="E48" i="27"/>
  <c r="G48" i="27"/>
  <c r="A49" i="27"/>
  <c r="B49" i="27"/>
  <c r="C49" i="27"/>
  <c r="E49" i="27"/>
  <c r="G49" i="27"/>
  <c r="A50" i="27"/>
  <c r="B50" i="27"/>
  <c r="C50" i="27"/>
  <c r="D50" i="27"/>
  <c r="E50" i="27"/>
  <c r="G50" i="27"/>
  <c r="A51" i="27"/>
  <c r="B51" i="27"/>
  <c r="C51" i="27"/>
  <c r="E51" i="27"/>
  <c r="G51" i="27"/>
  <c r="A52" i="27"/>
  <c r="B52" i="27"/>
  <c r="C52" i="27"/>
  <c r="E52" i="27"/>
  <c r="G52" i="27"/>
  <c r="A53" i="27"/>
  <c r="B53" i="27"/>
  <c r="C53" i="27"/>
  <c r="E53" i="27"/>
  <c r="G53" i="27"/>
  <c r="A54" i="27"/>
  <c r="B54" i="27"/>
  <c r="C54" i="27"/>
  <c r="D54" i="27"/>
  <c r="E54" i="27"/>
  <c r="G54" i="27"/>
  <c r="A55" i="27"/>
  <c r="B55" i="27"/>
  <c r="C55" i="27"/>
  <c r="E55" i="27"/>
  <c r="G55" i="27"/>
  <c r="A56" i="27"/>
  <c r="B56" i="27"/>
  <c r="C56" i="27"/>
  <c r="D56" i="27"/>
  <c r="E56" i="27"/>
  <c r="G56" i="27"/>
  <c r="A57" i="27"/>
  <c r="B57" i="27"/>
  <c r="C57" i="27"/>
  <c r="E57" i="27"/>
  <c r="G57" i="27"/>
  <c r="A58" i="27"/>
  <c r="B58" i="27"/>
  <c r="C58" i="27"/>
  <c r="E58" i="27"/>
  <c r="G58" i="27"/>
  <c r="A59" i="27"/>
  <c r="B59" i="27"/>
  <c r="C59" i="27"/>
  <c r="E59" i="27"/>
  <c r="G59" i="27"/>
  <c r="A60" i="27"/>
  <c r="B60" i="27"/>
  <c r="C60" i="27"/>
  <c r="E60" i="27"/>
  <c r="G60" i="27"/>
  <c r="A61" i="27"/>
  <c r="B61" i="27"/>
  <c r="C61" i="27"/>
  <c r="D61" i="27"/>
  <c r="E61" i="27"/>
  <c r="G61" i="27"/>
  <c r="A62" i="27"/>
  <c r="B62" i="27"/>
  <c r="C62" i="27"/>
  <c r="E62" i="27"/>
  <c r="G62" i="27"/>
  <c r="A63" i="27"/>
  <c r="B63" i="27"/>
  <c r="C63" i="27"/>
  <c r="E63" i="27"/>
  <c r="G63" i="27"/>
  <c r="A64" i="27"/>
  <c r="B64" i="27"/>
  <c r="C64" i="27"/>
  <c r="E64" i="27"/>
  <c r="G64" i="27"/>
  <c r="A65" i="27"/>
  <c r="B65" i="27"/>
  <c r="C65" i="27"/>
  <c r="E65" i="27"/>
  <c r="G65" i="27"/>
  <c r="A66" i="27"/>
  <c r="B66" i="27"/>
  <c r="C66" i="27"/>
  <c r="D66" i="27"/>
  <c r="E66" i="27"/>
  <c r="F66" i="27"/>
  <c r="G66" i="27"/>
  <c r="A67" i="27"/>
  <c r="B67" i="27"/>
  <c r="C67" i="27"/>
  <c r="E67" i="27"/>
  <c r="G67" i="27"/>
  <c r="A68" i="27"/>
  <c r="B68" i="27"/>
  <c r="C68" i="27"/>
  <c r="E68" i="27"/>
  <c r="G68" i="27"/>
  <c r="A69" i="27"/>
  <c r="B69" i="27"/>
  <c r="C69" i="27"/>
  <c r="D69" i="27"/>
  <c r="E69" i="27"/>
  <c r="G69" i="27"/>
  <c r="A70" i="27"/>
  <c r="B70" i="27"/>
  <c r="C70" i="27"/>
  <c r="E70" i="27"/>
  <c r="G70" i="27"/>
  <c r="A71" i="27"/>
  <c r="B71" i="27"/>
  <c r="C71" i="27"/>
  <c r="E71" i="27"/>
  <c r="G71" i="27"/>
  <c r="A72" i="27"/>
  <c r="B72" i="27"/>
  <c r="C72" i="27"/>
  <c r="D72" i="27"/>
  <c r="E72" i="27"/>
  <c r="G72" i="27"/>
  <c r="A73" i="27"/>
  <c r="B73" i="27"/>
  <c r="C73" i="27"/>
  <c r="E73" i="27"/>
  <c r="F73" i="27"/>
  <c r="G73" i="27"/>
  <c r="D8" i="56" l="1"/>
  <c r="D6" i="70" s="1"/>
</calcChain>
</file>

<file path=xl/sharedStrings.xml><?xml version="1.0" encoding="utf-8"?>
<sst xmlns="http://schemas.openxmlformats.org/spreadsheetml/2006/main" count="3459" uniqueCount="728">
  <si>
    <t>会員番号</t>
  </si>
  <si>
    <t>大会登録No.</t>
  </si>
  <si>
    <t>開催日：</t>
  </si>
  <si>
    <t>主任審判員署名：</t>
  </si>
  <si>
    <t>大会名：</t>
  </si>
  <si>
    <t>公式発表時刻：</t>
  </si>
  <si>
    <t>第</t>
  </si>
  <si>
    <t>競技</t>
  </si>
  <si>
    <t>競技名：</t>
  </si>
  <si>
    <t>グレード：</t>
  </si>
  <si>
    <t>分速：</t>
  </si>
  <si>
    <t>認定競技No.</t>
  </si>
  <si>
    <t>カテゴリー：</t>
  </si>
  <si>
    <t>適用規程：</t>
  </si>
  <si>
    <t>基準</t>
  </si>
  <si>
    <t>全長</t>
  </si>
  <si>
    <t>規定タイム</t>
  </si>
  <si>
    <t>制限
タイム</t>
  </si>
  <si>
    <t>決勝競技の場合
予選種目の認定
競技No.</t>
  </si>
  <si>
    <t>競技場タイプ：</t>
  </si>
  <si>
    <t>アウトドア</t>
  </si>
  <si>
    <t>ジャンプオフ：</t>
  </si>
  <si>
    <t>　全長</t>
  </si>
  <si>
    <t>ジャンプオフ</t>
  </si>
  <si>
    <t>順位</t>
  </si>
  <si>
    <t>出番</t>
  </si>
  <si>
    <t>選手名</t>
  </si>
  <si>
    <t>馬匹名</t>
  </si>
  <si>
    <t>登録番号</t>
  </si>
  <si>
    <t>所　　　属</t>
  </si>
  <si>
    <t>走行
タイム</t>
  </si>
  <si>
    <t>加算秒</t>
  </si>
  <si>
    <t>所要
タイム</t>
  </si>
  <si>
    <t>タイム
減点</t>
  </si>
  <si>
    <t>障害
減点</t>
  </si>
  <si>
    <t>総減点</t>
  </si>
  <si>
    <t>障害減点／
落下加算秒</t>
  </si>
  <si>
    <t>総減点／
総タイム</t>
  </si>
  <si>
    <t>備考</t>
  </si>
  <si>
    <t>-</t>
    <phoneticPr fontId="7" type="Hiragana"/>
  </si>
  <si>
    <t>UpLoad|UnProtect</t>
    <phoneticPr fontId="12"/>
  </si>
  <si>
    <t>第</t>
    <rPh sb="0" eb="1">
      <t>ダイ</t>
    </rPh>
    <phoneticPr fontId="7"/>
  </si>
  <si>
    <t>競技　　　　　競技名：</t>
    <rPh sb="0" eb="2">
      <t>キョウギ</t>
    </rPh>
    <phoneticPr fontId="7"/>
  </si>
  <si>
    <t>決勝競技の場合
予選種目の認定競技No.</t>
    <phoneticPr fontId="7"/>
  </si>
  <si>
    <t>競技場：第１競技場</t>
    <rPh sb="0" eb="3">
      <t>キョウギジョウ</t>
    </rPh>
    <rPh sb="4" eb="5">
      <t>ダイ</t>
    </rPh>
    <rPh sb="6" eb="9">
      <t>キョウギジョウ</t>
    </rPh>
    <phoneticPr fontId="7"/>
  </si>
  <si>
    <t>OP</t>
    <phoneticPr fontId="12"/>
  </si>
  <si>
    <t>出番</t>
    <rPh sb="0" eb="2">
      <t>デバン</t>
    </rPh>
    <phoneticPr fontId="12"/>
  </si>
  <si>
    <t>選　　　手</t>
    <rPh sb="0" eb="1">
      <t>セン</t>
    </rPh>
    <rPh sb="4" eb="5">
      <t>テ</t>
    </rPh>
    <phoneticPr fontId="12"/>
  </si>
  <si>
    <t>馬　　　匹</t>
    <rPh sb="0" eb="1">
      <t>バ</t>
    </rPh>
    <rPh sb="4" eb="5">
      <t>ヒキ</t>
    </rPh>
    <phoneticPr fontId="12"/>
  </si>
  <si>
    <t>所　　　属</t>
    <phoneticPr fontId="12"/>
  </si>
  <si>
    <t>選手</t>
    <rPh sb="0" eb="2">
      <t>センシュ</t>
    </rPh>
    <phoneticPr fontId="12"/>
  </si>
  <si>
    <t>馬匹</t>
    <rPh sb="0" eb="2">
      <t>バヒツ</t>
    </rPh>
    <phoneticPr fontId="12"/>
  </si>
  <si>
    <t>氏名</t>
    <rPh sb="0" eb="1">
      <t>シ</t>
    </rPh>
    <rPh sb="1" eb="2">
      <t>メイ</t>
    </rPh>
    <phoneticPr fontId="12"/>
  </si>
  <si>
    <t>会員番号</t>
    <phoneticPr fontId="12"/>
  </si>
  <si>
    <t>馬匹名</t>
    <phoneticPr fontId="12"/>
  </si>
  <si>
    <t>登録番号</t>
    <rPh sb="0" eb="2">
      <t>トウロク</t>
    </rPh>
    <phoneticPr fontId="12"/>
  </si>
  <si>
    <t>資格</t>
    <rPh sb="0" eb="2">
      <t>シカク</t>
    </rPh>
    <phoneticPr fontId="12"/>
  </si>
  <si>
    <t>グレード</t>
    <phoneticPr fontId="12"/>
  </si>
  <si>
    <t>-</t>
    <phoneticPr fontId="7"/>
  </si>
  <si>
    <t>（H１００cm）</t>
  </si>
  <si>
    <t>規定タイム</t>
    <phoneticPr fontId="7" type="Hiragana"/>
  </si>
  <si>
    <t>グレード</t>
    <phoneticPr fontId="12"/>
  </si>
  <si>
    <t>P：</t>
  </si>
  <si>
    <t>審判名</t>
  </si>
  <si>
    <t>J1：</t>
  </si>
  <si>
    <t>J2：</t>
  </si>
  <si>
    <t>J3：</t>
  </si>
  <si>
    <t>水濠：</t>
  </si>
  <si>
    <t/>
  </si>
  <si>
    <t>バーティカルジャンプ７０</t>
  </si>
  <si>
    <t>バーティカルジャンプ８０</t>
  </si>
  <si>
    <t>（H９０cm）</t>
  </si>
  <si>
    <t>-</t>
    <phoneticPr fontId="7"/>
  </si>
  <si>
    <t>中障害Ｄ</t>
    <rPh sb="0" eb="1">
      <t>チュウ</t>
    </rPh>
    <rPh sb="1" eb="3">
      <t>ショウガイ</t>
    </rPh>
    <phoneticPr fontId="7"/>
  </si>
  <si>
    <t>-</t>
    <phoneticPr fontId="7"/>
  </si>
  <si>
    <t>中障害Ｂ</t>
    <phoneticPr fontId="7"/>
  </si>
  <si>
    <t>中障害Ａ</t>
    <phoneticPr fontId="7"/>
  </si>
  <si>
    <t>中障害Ｃ</t>
    <rPh sb="0" eb="1">
      <t>チュウ</t>
    </rPh>
    <rPh sb="1" eb="3">
      <t>ショウガイ</t>
    </rPh>
    <phoneticPr fontId="7"/>
  </si>
  <si>
    <t>-</t>
    <phoneticPr fontId="7"/>
  </si>
  <si>
    <t>（H７０cm垂直）</t>
  </si>
  <si>
    <t>フジ中障害飛越競技Ｂ</t>
  </si>
  <si>
    <t>Ｍ－Ｃ級障害飛越競技</t>
  </si>
  <si>
    <t>フジ中障害飛越競技Ｃ</t>
  </si>
  <si>
    <t>Ｍ－Ｄ級障害飛越競技</t>
  </si>
  <si>
    <t>フジ中障害飛越競技Ｄ</t>
  </si>
  <si>
    <t>Ｌ－Ａ級障害飛越競技</t>
  </si>
  <si>
    <t>Ｌ－Ｂ級障害飛越競技</t>
  </si>
  <si>
    <t>（H８０cm垂直）</t>
  </si>
  <si>
    <t>５位</t>
    <rPh sb="1" eb="2">
      <t>イ</t>
    </rPh>
    <phoneticPr fontId="7"/>
  </si>
  <si>
    <t>４位</t>
    <rPh sb="1" eb="2">
      <t>イ</t>
    </rPh>
    <phoneticPr fontId="7"/>
  </si>
  <si>
    <t>３位</t>
    <rPh sb="1" eb="2">
      <t>イ</t>
    </rPh>
    <phoneticPr fontId="7"/>
  </si>
  <si>
    <t>２位</t>
    <rPh sb="1" eb="2">
      <t>イ</t>
    </rPh>
    <phoneticPr fontId="7"/>
  </si>
  <si>
    <t>１位</t>
    <rPh sb="1" eb="2">
      <t>イ</t>
    </rPh>
    <phoneticPr fontId="7"/>
  </si>
  <si>
    <t>賞典</t>
    <rPh sb="0" eb="2">
      <t>ショウテン</t>
    </rPh>
    <phoneticPr fontId="7"/>
  </si>
  <si>
    <t>～</t>
    <phoneticPr fontId="7"/>
  </si>
  <si>
    <t>競技開始時間</t>
    <rPh sb="0" eb="6">
      <t>キョウギカイシジカン</t>
    </rPh>
    <phoneticPr fontId="7"/>
  </si>
  <si>
    <t>下見時間</t>
    <rPh sb="0" eb="4">
      <t>シタミジカン</t>
    </rPh>
    <phoneticPr fontId="7"/>
  </si>
  <si>
    <t>　※2の開始時間は前競技が終了し、場内整備の後、競技を開始いたします。</t>
  </si>
  <si>
    <t>※2の開始時間は前競技が終了し、場内整備の後、競技を開始いたします。</t>
  </si>
  <si>
    <t>※2の開始時間は前競技が終了し、場内整備の後、競技を開始いたします。</t>
    <phoneticPr fontId="7"/>
  </si>
  <si>
    <t>OPEN</t>
    <phoneticPr fontId="7"/>
  </si>
  <si>
    <t>前競技同時</t>
    <rPh sb="0" eb="5">
      <t>ゼンキョウギドウジ</t>
    </rPh>
    <phoneticPr fontId="7"/>
  </si>
  <si>
    <t>※2</t>
    <phoneticPr fontId="7"/>
  </si>
  <si>
    <t>フジ中障害飛越競技Ａ</t>
    <phoneticPr fontId="7"/>
  </si>
  <si>
    <t>ヴェルザZ</t>
  </si>
  <si>
    <t>クィディッチ</t>
  </si>
  <si>
    <t>ロードボス</t>
  </si>
  <si>
    <t>藤本　光国</t>
  </si>
  <si>
    <t>グリュックスブリンガー</t>
  </si>
  <si>
    <t>ルイジアナ</t>
  </si>
  <si>
    <t>藤本　花乃子</t>
  </si>
  <si>
    <t>フリーデンティアモ</t>
  </si>
  <si>
    <t>池田　弘彰</t>
  </si>
  <si>
    <t>グレーストップ・T</t>
  </si>
  <si>
    <t>カサノバ・H</t>
  </si>
  <si>
    <t>カサミラ</t>
  </si>
  <si>
    <t>ウィレム・ファーイースト</t>
  </si>
  <si>
    <t>マリアンハタンゴアA</t>
  </si>
  <si>
    <t>ナイルデセミリーA</t>
  </si>
  <si>
    <t>ナイルゲームスターAⅡ</t>
  </si>
  <si>
    <t>レディー・アリス</t>
  </si>
  <si>
    <t>ラガッツァ・カリーナ</t>
  </si>
  <si>
    <t>ハウル</t>
  </si>
  <si>
    <t>モニカ</t>
  </si>
  <si>
    <t>ブルズアイ</t>
  </si>
  <si>
    <t>-</t>
  </si>
  <si>
    <t>カルバドール</t>
  </si>
  <si>
    <t>ダノンエール</t>
  </si>
  <si>
    <t>高橋　雅楽</t>
  </si>
  <si>
    <t>ベルナルドI</t>
  </si>
  <si>
    <t>ウィングマン</t>
  </si>
  <si>
    <t>グランドキャニオン</t>
  </si>
  <si>
    <t>キャンドゥライト</t>
  </si>
  <si>
    <t>エミールー</t>
  </si>
  <si>
    <t>メレリオ・ディ・メレー</t>
  </si>
  <si>
    <t>ラッキーボーイ</t>
  </si>
  <si>
    <t>コンスタンティン</t>
  </si>
  <si>
    <t>スカイベリー</t>
  </si>
  <si>
    <t>グローブシアター</t>
  </si>
  <si>
    <t>ラネリ</t>
  </si>
  <si>
    <t>クリアカットエクストリームWS</t>
  </si>
  <si>
    <t>ハックルベリーWS</t>
  </si>
  <si>
    <t>クランベリーWS</t>
  </si>
  <si>
    <t>マジカルスペル</t>
  </si>
  <si>
    <t>シークレットパス</t>
  </si>
  <si>
    <t>三芳　麻起子</t>
  </si>
  <si>
    <t>ビーマイボーイ</t>
  </si>
  <si>
    <t>ブレイヴスターズofヤス</t>
  </si>
  <si>
    <t>ハイペリオンKG</t>
  </si>
  <si>
    <t>アレックス・エ・ヴェルテュ</t>
  </si>
  <si>
    <t>バウンシー</t>
  </si>
  <si>
    <t>ベリーノ</t>
  </si>
  <si>
    <t>CRNディガー</t>
  </si>
  <si>
    <t>マブルーク</t>
  </si>
  <si>
    <t>オレンジペコ</t>
  </si>
  <si>
    <t>セリア</t>
  </si>
  <si>
    <t>ゴールデンタイガー</t>
  </si>
  <si>
    <t>ゴールデンストーン</t>
  </si>
  <si>
    <t>メアラス</t>
  </si>
  <si>
    <t>ローゼスドリーム</t>
  </si>
  <si>
    <t>岡本　雅海</t>
  </si>
  <si>
    <t>サクソンブルー</t>
  </si>
  <si>
    <t>ヴェロニカバンビ</t>
  </si>
  <si>
    <t>イグニス</t>
  </si>
  <si>
    <t>クラド</t>
  </si>
  <si>
    <t>増山　大治郎</t>
  </si>
  <si>
    <t>GCショパンズブッシ</t>
  </si>
  <si>
    <t>ア・ガール・ドゥ・シャヴァノン</t>
  </si>
  <si>
    <t>シャーリーベル</t>
  </si>
  <si>
    <t>ヴェリシナ</t>
  </si>
  <si>
    <t>ウイスK</t>
  </si>
  <si>
    <t>メクィドールPS</t>
  </si>
  <si>
    <t>メッサリーナPS</t>
  </si>
  <si>
    <t>カマロンSH</t>
  </si>
  <si>
    <t>バンブルビーSH</t>
  </si>
  <si>
    <t>パヴァロッティーズガール</t>
  </si>
  <si>
    <t>オーロラボレアリス</t>
  </si>
  <si>
    <t>武田　京夏</t>
  </si>
  <si>
    <t>ナヴラス</t>
  </si>
  <si>
    <t>キャサリーン44</t>
  </si>
  <si>
    <t>キャリーズクラリッサ</t>
  </si>
  <si>
    <t>ミスティックレディー</t>
  </si>
  <si>
    <t>ハギノグラミー</t>
  </si>
  <si>
    <t>ホワイトユニコーン</t>
  </si>
  <si>
    <t>鈴木　裕介</t>
  </si>
  <si>
    <t>スプレンディッド・アーク</t>
  </si>
  <si>
    <t>マデスカ</t>
  </si>
  <si>
    <t>ロイヤルブラン</t>
  </si>
  <si>
    <t>ウィルオー・ザ・ウィスプT</t>
  </si>
  <si>
    <t>ウィットゥレリー</t>
  </si>
  <si>
    <t>エイツ</t>
  </si>
  <si>
    <t>カッサイW</t>
  </si>
  <si>
    <t>ブラジルデリバーランド</t>
  </si>
  <si>
    <t>クーパーS</t>
  </si>
  <si>
    <t>シーバスリーガル</t>
  </si>
  <si>
    <t>コラミー</t>
  </si>
  <si>
    <t>ブロフSZ</t>
  </si>
  <si>
    <t>エクスポートZ</t>
  </si>
  <si>
    <t>シーラヴェンデル</t>
  </si>
  <si>
    <t>ハヤテ・ペガサス</t>
  </si>
  <si>
    <t>ラムーアジャパン</t>
  </si>
  <si>
    <t>エルマフランス</t>
  </si>
  <si>
    <t>ボンジョルノ</t>
  </si>
  <si>
    <t>クリノストロング</t>
  </si>
  <si>
    <t>オデソン</t>
  </si>
  <si>
    <t>オデヴィ</t>
  </si>
  <si>
    <t>シェアハピネス</t>
  </si>
  <si>
    <t>ワイモンド</t>
  </si>
  <si>
    <t>カヌニック</t>
  </si>
  <si>
    <t>ロレンジア</t>
  </si>
  <si>
    <t>エクセレンテ</t>
  </si>
  <si>
    <t>チェスターB</t>
  </si>
  <si>
    <t>ジェリコSLS</t>
  </si>
  <si>
    <t>バロックパール</t>
  </si>
  <si>
    <t>ベラルースワッガー</t>
  </si>
  <si>
    <t>ドムヘァ</t>
  </si>
  <si>
    <t>アレクセイ</t>
  </si>
  <si>
    <t>フルオリエット</t>
  </si>
  <si>
    <t>ディープボーイ</t>
  </si>
  <si>
    <t>ファストエモーションZ</t>
  </si>
  <si>
    <t>ラブ＆ピース</t>
  </si>
  <si>
    <t>クラバット</t>
  </si>
  <si>
    <t>カスカーザ</t>
  </si>
  <si>
    <t>オズワルド</t>
  </si>
  <si>
    <t>川口　大輔</t>
  </si>
  <si>
    <t>ラウルス</t>
  </si>
  <si>
    <t>トランプカード</t>
  </si>
  <si>
    <t>サムライブルー</t>
  </si>
  <si>
    <t>エッケザックス</t>
  </si>
  <si>
    <t>マキシマスVDパロミノ</t>
  </si>
  <si>
    <t>ボッテガ</t>
  </si>
  <si>
    <t>賞品</t>
  </si>
  <si>
    <t>B</t>
  </si>
  <si>
    <t>A</t>
  </si>
  <si>
    <t>中障害Ｄ</t>
  </si>
  <si>
    <t>大障害B</t>
  </si>
  <si>
    <t>中障害Ｂ</t>
  </si>
  <si>
    <t>中障害Ｃ</t>
  </si>
  <si>
    <t>31710|大阪府|鈴木　恵子|スズキ　ケイコ</t>
  </si>
  <si>
    <t>鈴木　恵子</t>
  </si>
  <si>
    <t>11976|埼玉県|伊藤　正平|イトウ　ショウヘイ</t>
  </si>
  <si>
    <t>伊藤　正平</t>
  </si>
  <si>
    <t>23529|静岡県|鈴木　裕介|スズキ　ユウスケ</t>
  </si>
  <si>
    <t>28711|埼玉県|大和田　啓太|オオワダ　ケイタ</t>
  </si>
  <si>
    <t>大和田　啓太</t>
  </si>
  <si>
    <t>カマロンSH|STAR HORSES|60949|カマロンエスエイチ</t>
  </si>
  <si>
    <t>快飛|stable  FEDERA|57563|カイト</t>
  </si>
  <si>
    <t>快飛</t>
  </si>
  <si>
    <t>11802|山梨県|西塚　建二|ニシヅカ　ケンジ</t>
  </si>
  <si>
    <t>西塚　建二</t>
  </si>
  <si>
    <t>4416|静岡県|村上　篤|ムラカミ　アツシ</t>
  </si>
  <si>
    <t>村上　篤</t>
  </si>
  <si>
    <t>5227|東京都|芹澤　永治|セリザワ　エイジ</t>
  </si>
  <si>
    <t>芹澤　永治</t>
  </si>
  <si>
    <t>13880|静岡県|浅川　牧子|アサカワ　マキコ</t>
  </si>
  <si>
    <t>浅川　牧子</t>
  </si>
  <si>
    <t>32786|埼玉県|高橋　雅楽|タカハシ　ミウラ</t>
  </si>
  <si>
    <t>13449|静岡県|木下　仁|キノシタ　ヒトシ</t>
  </si>
  <si>
    <t>木下　仁</t>
  </si>
  <si>
    <t>33375|福島県|土田　若葉|ツチダ　ワカバ</t>
  </si>
  <si>
    <t>土田　若葉</t>
  </si>
  <si>
    <t>31288|山梨県|西塚　心咲|ニシヅカ　ミサキ</t>
  </si>
  <si>
    <t>西塚　心咲</t>
  </si>
  <si>
    <t>17971|静岡県|弘岡　明夢|ヒロオカ　アケム</t>
  </si>
  <si>
    <t>弘岡　明夢</t>
  </si>
  <si>
    <t>32215|静岡県|明渡　則和|アケド　ノリカズ</t>
  </si>
  <si>
    <t>明渡　則和</t>
  </si>
  <si>
    <t>ハックルベリーWS|ファナウステーブル|61123|ハックルベリーダブルエス</t>
  </si>
  <si>
    <t>ダノンエール|乗馬クラブクレイン伊奈|57349|ダノンエール</t>
  </si>
  <si>
    <t>マデスカ|北駿ホースヴィラ|60944|マデスカ</t>
  </si>
  <si>
    <t>ホワイトユニコーン|大瀧馬事苑|60744|ホワイトユニコーン</t>
  </si>
  <si>
    <t>ベルナルドI|乗馬クラブクレイン伊奈|58347|ベルナルドアイ</t>
  </si>
  <si>
    <t>スプレンディッド・アーク|北駿ホースヴィラ|60111|スプレンディッドアーク</t>
  </si>
  <si>
    <t>チェスターB|パロミノ・ポニークラブ|57478|チェスタービー</t>
  </si>
  <si>
    <t>ハギノグラミー|福島大学馬術部|56840|ハギノグラミー</t>
  </si>
  <si>
    <t>クランベリーWS|ファナウステーブル|58674|クランベリーダブルエス</t>
  </si>
  <si>
    <t>ヴェロニカバンビ|岡本ライディングクラブJAPAN|58663|ヴェロニカバンビ</t>
  </si>
  <si>
    <t>メアラス|オリエント馬事センター|59173|メアラス</t>
  </si>
  <si>
    <t>29352|東京都|三井　一朗|ミツイ　イチロウ</t>
  </si>
  <si>
    <t>三井　一朗</t>
  </si>
  <si>
    <t>30720|千葉県|小林　寛治|コバヤシ　カンジ</t>
  </si>
  <si>
    <t>小林　寛治</t>
  </si>
  <si>
    <t>1541|神奈川|池田　弘彰|イケダ　ヒロアキ</t>
  </si>
  <si>
    <t>13918|東京都|宇都宮　誉司|ウツノミヤ　タカシ</t>
  </si>
  <si>
    <t>宇都宮　誉司</t>
  </si>
  <si>
    <t>12158|茨城県|増山　陽子|マシヤマ　ヨウコ</t>
  </si>
  <si>
    <t>増山　陽子</t>
  </si>
  <si>
    <t>33125|福島県|矢内　玖俐歩|ヤナイ　クリフ</t>
  </si>
  <si>
    <t>矢内　玖俐歩</t>
  </si>
  <si>
    <t>2655|埼玉県|丸山　聖子|マルヤマ　セイコ</t>
  </si>
  <si>
    <t>丸山　聖子</t>
  </si>
  <si>
    <t>27343|栃木県|小河　倫子|オゴウ　ミチコ</t>
  </si>
  <si>
    <t>小河　倫子</t>
  </si>
  <si>
    <t>32756|兵庫県|関　飛香|セキ　アスカ</t>
  </si>
  <si>
    <t>関　飛香</t>
  </si>
  <si>
    <t>32803|静岡県|小林　瞳|コバヤシ　ヒトミ</t>
  </si>
  <si>
    <t>小林　瞳</t>
  </si>
  <si>
    <t>ウイスK|STAR HORSES|60434|ウイスケー</t>
  </si>
  <si>
    <t>フリーデンティアモ|乗馬クラブニューシーズン御殿場|53980|フリーデンティアモ</t>
  </si>
  <si>
    <t>カルバドール|Stal Liberty|59372|カルバドール</t>
  </si>
  <si>
    <t>ブルズアイ|乗馬クラブクレイン伊奈|56829|ブルズアイ</t>
  </si>
  <si>
    <t>マジカルスペル|日本中央競馬会東京競馬場|60987|マジカルスペル</t>
  </si>
  <si>
    <t>ラネリ|小山乗馬クラブ|59765|ラネリ</t>
  </si>
  <si>
    <t>モニカ|バディーズランチ|60508|モニカ</t>
  </si>
  <si>
    <t>オズワルド|ライディングクラブフジファーム|60656|オズワルド</t>
  </si>
  <si>
    <t>ディープボーイ|ステーブル　クリアラウンド|58108|ディープボーイ</t>
  </si>
  <si>
    <t>27056|東京都|滝澤　和希|タキザワ　カズキ</t>
  </si>
  <si>
    <t>滝澤　和希</t>
  </si>
  <si>
    <t>8082|栃木県|増山　誠倫|マシヤマ　タカミチ</t>
  </si>
  <si>
    <t>増山　誠倫</t>
  </si>
  <si>
    <t>28178|東京都|大森　実穂|オオモリ　ミホ</t>
  </si>
  <si>
    <t>大森　実穂</t>
  </si>
  <si>
    <t>3337|神奈川|杉本　隆雄|スギモト　タカオ</t>
  </si>
  <si>
    <t>杉本　隆雄</t>
  </si>
  <si>
    <t>9498|東京都|根岸　淳|ネギシ　アツシ</t>
  </si>
  <si>
    <t>根岸　淳</t>
  </si>
  <si>
    <t>10571|栃木県|増山　久佳|マシヤマ　ヒサカ</t>
  </si>
  <si>
    <t>増山　久佳</t>
  </si>
  <si>
    <t>18817|神奈川|平山　麻由子|ヒラヤマ　マユコ</t>
  </si>
  <si>
    <t>平山　麻由子</t>
  </si>
  <si>
    <t>14856|千葉県|福島　章|フクシマ　アヤ</t>
  </si>
  <si>
    <t>福島　章</t>
  </si>
  <si>
    <t>26053|静岡県|島貫　咲雅|シマヌキ　サマサ</t>
  </si>
  <si>
    <t>島貫　咲雅</t>
  </si>
  <si>
    <t>18386|茨城県|古田　慶幸|フルタ　ヨシユキ</t>
  </si>
  <si>
    <t>古田　慶幸</t>
  </si>
  <si>
    <t>25761|東京都|鯨岡　啓輔|クジラオカ　ケイスケ</t>
  </si>
  <si>
    <t>鯨岡　啓輔</t>
  </si>
  <si>
    <t>23892|兵庫県|吉田　裕介|ヨシダ　ユウスケ</t>
  </si>
  <si>
    <t>吉田　裕介</t>
  </si>
  <si>
    <t>32292|東京都|相澤　陽呂|アイザワ　ヒロ</t>
  </si>
  <si>
    <t>相澤　陽呂</t>
  </si>
  <si>
    <t>23893|静岡県|三芳　麻起子|ミヨシ　マキコ</t>
  </si>
  <si>
    <t>13141|静岡県|川口　大輔|カワグチ　ダイスケ</t>
  </si>
  <si>
    <t>27575|東京都|井佐　あかり|イサ　アカリ</t>
  </si>
  <si>
    <t>井佐　あかり</t>
  </si>
  <si>
    <t>12159|茨城県|増山　大治郎|マシヤマ　ダイジロウ</t>
  </si>
  <si>
    <t>27853|神奈川|杉本　瑞生|スギモト　ミズキ</t>
  </si>
  <si>
    <t>杉本　瑞生</t>
  </si>
  <si>
    <t>32410|兵庫県|藤原　靖子|フジワラ　ヤスコ</t>
  </si>
  <si>
    <t>藤原　靖子</t>
  </si>
  <si>
    <t>18717|千葉県|林　義昌|ハヤシ　ヨシマサ</t>
  </si>
  <si>
    <t>林　義昌</t>
  </si>
  <si>
    <t>20200|岐阜県|阿日塔|アルタ</t>
  </si>
  <si>
    <t>阿日塔</t>
  </si>
  <si>
    <t>18048|栃木県|増山　治夫|マシヤマ　ハルオ</t>
  </si>
  <si>
    <t>増山　治夫</t>
  </si>
  <si>
    <t>33200|東京都|三治　信道|サンジ　ノブミチ</t>
  </si>
  <si>
    <t>三治　信道</t>
  </si>
  <si>
    <t>31292|静岡県|鈴木　萌|スズキ　モエ</t>
  </si>
  <si>
    <t>鈴木　萌</t>
  </si>
  <si>
    <t>ゴールデンストーン|オリエント馬事センター|58879|ゴールデンストーン</t>
  </si>
  <si>
    <t>セリア|乗馬クラブクレイン千葉 富津|59134|セリア</t>
  </si>
  <si>
    <t>カサノバ・H|乗馬クラブニューシーズン御殿場|56268|カサノバエイチ</t>
  </si>
  <si>
    <t>ラガッツァ・カリーナ|バディーズランチ|59578|ラガッツァカリーナ</t>
  </si>
  <si>
    <t>メレリオ・ディ・メレー|小山乗馬クラブ|59855|メレリオディメレー</t>
  </si>
  <si>
    <t>キャリーズクラリッサ|北総乗馬クラブ|60270|キャリーズクラリッサ</t>
  </si>
  <si>
    <t>ロレンジア|Stable  FEDERA|58118|ロレンジア</t>
  </si>
  <si>
    <t>マブルーク|乗馬クラブクレイン千葉 富津|60545|マブルーク</t>
  </si>
  <si>
    <t>エミールー|小山乗馬クラブ|59937|エミールー</t>
  </si>
  <si>
    <t>イグニス|筑波スカイラインスティーブル|58664|イグニス</t>
  </si>
  <si>
    <t>パヴァロッティーズガール|STAR HORSES|58654|パヴァロッティーズガール</t>
  </si>
  <si>
    <t>ドムヘァ|riding team Regroup|59349|ドムヘァ</t>
  </si>
  <si>
    <t>ラムーアジャパン|ペガサス乗馬クラブ|60937|ラムーアジャパン</t>
  </si>
  <si>
    <t>バロックパール|東武乗馬クラブ＆クレイン|58979|バロックパール</t>
  </si>
  <si>
    <t>ベリーノ|乗馬クラブクレイン　エクエストリアンセンター|59063|ベリーノ</t>
  </si>
  <si>
    <t>フルオリエット|ステーブル　クリアラウンド|58632|フルオリエット</t>
  </si>
  <si>
    <t>カサミラ|OISO乗馬クラブ|57225|カサミラ</t>
  </si>
  <si>
    <t>ビーマイボーイ|静岡乗馬クラブ|56033|ビーマイボーイ</t>
  </si>
  <si>
    <t>ラウルス|ライディングクラブフジファーム|60518|ラウルス</t>
  </si>
  <si>
    <t>シークレットパス|日本中央競馬会東京競馬場|59546|シークレットパス</t>
  </si>
  <si>
    <t>ラッキーボーイ|小山乗馬クラブ|58171|ラッキーボーイ</t>
  </si>
  <si>
    <t>クラド|筑波スカイラインスティーブル|58228|クラド</t>
  </si>
  <si>
    <t>エルマフランス|ペガサス乗馬クラブ|57573|エルマフランス</t>
  </si>
  <si>
    <t>バウンシー|乗馬クラブクレイン　エクエストリアンセンター|60547|バウンシー</t>
  </si>
  <si>
    <t>バンブルビーSH|STAR HORSES|60951|バンブルビーエスエイチ</t>
  </si>
  <si>
    <t>ハウル|バディーズランチ|55428|ハウル</t>
  </si>
  <si>
    <t>キャサリーン44|北総乗馬クラブ|60414|キャサリーンフォーティーフォー</t>
  </si>
  <si>
    <t>マリアンハタンゴアA|Tokaiホースパーク|57672|マリアンハタンゴアエー</t>
  </si>
  <si>
    <t>ベラルースワッガー|東武乗馬クラブ＆クレイン|58811|ベラルースワッガー</t>
  </si>
  <si>
    <t>アレクセイ|ステーブル　クリアラウンド|57458|アレクセイ</t>
  </si>
  <si>
    <t>オレンジペコ|乗馬クラブクレイン千葉 富津|59561|オレンジペコ</t>
  </si>
  <si>
    <t>グレーストップ・T|乗馬クラブニューシーズン御殿場|59542|グレーストップティ</t>
  </si>
  <si>
    <t>エッケザックス|東関東ホースアンドハウンド|58512|エッケザックス</t>
  </si>
  <si>
    <t>17349|栃木県|東條　裕孝|トウジョウ　ヒロタカ</t>
  </si>
  <si>
    <t>東條　裕孝</t>
  </si>
  <si>
    <t>29554|千葉県|利部　勝|トシベ　マサル</t>
  </si>
  <si>
    <t>利部　勝</t>
  </si>
  <si>
    <t>26776|千葉県|廣田　直哉|ヒロタ　ナオヤ</t>
  </si>
  <si>
    <t>廣田　直哉</t>
  </si>
  <si>
    <t>マキシマスVDパロミノ|HASパロミノ・ポニークラブ|61196|マキシマスヴァンデパロミノ</t>
  </si>
  <si>
    <t>コンスタンティン|小山乗馬クラブ|56588|コンスタンティン</t>
  </si>
  <si>
    <t>スカイベリー|stable  FEDERA|57166|スカイベリー</t>
  </si>
  <si>
    <t>ゴールデンタイガー|オリエント馬事センター|60013|ゴールデンタイガー</t>
  </si>
  <si>
    <t>ジェリコSLS|HASパロミノ・ポニークラブ|60449|ジェリコエスエルエス</t>
  </si>
  <si>
    <t>27696|東京都|矢田　祐基|ヤタ　ユウキ</t>
  </si>
  <si>
    <t>矢田　祐基</t>
  </si>
  <si>
    <t>18834|静岡県|藤本　光国|フジモト　ミツクニ</t>
  </si>
  <si>
    <t>27113|千葉県|木村　早希子|キムラ　サキコ</t>
  </si>
  <si>
    <t>木村　早希子</t>
  </si>
  <si>
    <t>21946|栃木県|黒須　晴子|クロス　ハルコ</t>
  </si>
  <si>
    <t>黒須　晴子</t>
  </si>
  <si>
    <t>27610|東京都|原　理沙子|ハラ　リサコ</t>
  </si>
  <si>
    <t>原　理沙子</t>
  </si>
  <si>
    <t>30996|神奈川|永山　和弘|ナガヤマ　カズヒロ</t>
  </si>
  <si>
    <t>永山　和弘</t>
  </si>
  <si>
    <t>14221|栃木県|荒木　紀迪|アラキ　ノリミチ</t>
  </si>
  <si>
    <t>荒木　紀迪</t>
  </si>
  <si>
    <t>21643|茨城県|上野　菫|ウエノ　スミレ</t>
  </si>
  <si>
    <t>上野　菫</t>
  </si>
  <si>
    <t>14867|群馬県|渡辺　千尋|ワタナベ　チヒロ</t>
  </si>
  <si>
    <t>渡辺　千尋</t>
  </si>
  <si>
    <t>13305|千葉県|平沢　康治|ヒラサワ　コウジ</t>
  </si>
  <si>
    <t>平沢　康治</t>
  </si>
  <si>
    <t>23448|静岡県|藤本　花乃子|フジモト　カノコ</t>
  </si>
  <si>
    <t>ブラジルデリバーランド|日本中央競馬会馬事公苑|60923|ブラジルデリバーランド</t>
  </si>
  <si>
    <t>ナイルゲームスターAⅡ|Tokaiホースパーク|58521|ナイルゲームスターエーセカンド</t>
  </si>
  <si>
    <t>ロードボス|株式会社TOMA　牧之原乗馬クラブ|56066|ロードボス</t>
  </si>
  <si>
    <t>ヴェリシナ|STAR HORSES|56578|ヴェリシナ</t>
  </si>
  <si>
    <t>グローブシアター|小山乗馬クラブ|60322|グローブシアター</t>
  </si>
  <si>
    <t>ロイヤルブラン|ヴィルタスライディングクラブ|56199|ロイヤルブラン</t>
  </si>
  <si>
    <t>エクセレンテ|Stable  FEDERA|57526|エクセレンテ</t>
  </si>
  <si>
    <t>ラブ＆ピース|座間近代乗馬クラブ|59710|ラブアンドピース</t>
  </si>
  <si>
    <t>キャンドゥライト|小山乗馬クラブ|58330|キャンドゥライト</t>
  </si>
  <si>
    <t>ジャスミンM|STAR HORSES|60081|ジャスミンエム</t>
  </si>
  <si>
    <t>ジャスミンM</t>
  </si>
  <si>
    <t>ウィットゥレリー|ダァーモスタッド|58326|ウィットゥレリー</t>
  </si>
  <si>
    <t>ナヴラス|ナルタ牧場|56286|ナヴラス</t>
  </si>
  <si>
    <t>ルイジアナ|株式会社TOMA　牧之原乗馬クラブ|60229|ルイジアナ</t>
  </si>
  <si>
    <t>トランプカード|ライディングクラブフジファーム|60517|トランプカード</t>
  </si>
  <si>
    <t>ナイルデセミリーA|Tokaiホースパーク|60355|ナイルデセミリーエー</t>
  </si>
  <si>
    <t>9323|神奈川|草薙　達也|クサナギ　タツヤ</t>
  </si>
  <si>
    <t>草薙　達也</t>
  </si>
  <si>
    <t>ローゼスドリーム|オリエント馬事センター|57652|ローゼスドリーム</t>
  </si>
  <si>
    <t>カスカーザ|座間近代乗馬クラブ|58656|カスカーザ</t>
  </si>
  <si>
    <t>メッサリーナPS|STAR HORSES|59965|メッサリーナピーエス</t>
  </si>
  <si>
    <t>24341|東京都|平永　健太|ヒラナガ　ケンタ</t>
  </si>
  <si>
    <t>平永　健太</t>
  </si>
  <si>
    <t>6082|栃木県|広田　龍馬|ヒロタ　リュウマ</t>
  </si>
  <si>
    <t>広田　龍馬</t>
  </si>
  <si>
    <t>1384|千葉県|林　忠義|ハヤシ　タダヨシ</t>
  </si>
  <si>
    <t>林　忠義</t>
  </si>
  <si>
    <t>19572|静岡県|岡本　雅海|オカモト　マサミ</t>
  </si>
  <si>
    <t>26056|東京都|武田　京夏|タケダ　キョウカ</t>
  </si>
  <si>
    <t>5943|静岡県|佃　日出彦|ツクダ　ヒデヒコ</t>
  </si>
  <si>
    <t>佃　日出彦</t>
  </si>
  <si>
    <t>28000|東京都|吉田　ことみ|ヨシダ　コトミ</t>
  </si>
  <si>
    <t>吉田　ことみ</t>
  </si>
  <si>
    <t>24931|新潟県|阿部　尊留|アベ　タケル</t>
  </si>
  <si>
    <t>阿部　尊留</t>
  </si>
  <si>
    <t>22560|千葉県|玉井　優|タマイ　ユウ</t>
  </si>
  <si>
    <t>玉井　優</t>
  </si>
  <si>
    <t>20507|東京都|塚本　敏一|ツカモト　トシカツ</t>
  </si>
  <si>
    <t>塚本　敏一</t>
  </si>
  <si>
    <t>21152|千葉県|朴本　真侑|ボクモト　マユ</t>
  </si>
  <si>
    <t>朴本　真侑</t>
  </si>
  <si>
    <t>22328|静岡県|江田　しおり|エダ　シオリ</t>
  </si>
  <si>
    <t>江田　しおり</t>
  </si>
  <si>
    <t>5830|群馬県|角谷　秋吉|カクタニ　アキヨシ</t>
  </si>
  <si>
    <t>角谷　秋吉</t>
  </si>
  <si>
    <t>7270|千葉県|福島　大輔|フクシマ　ダイスケ</t>
  </si>
  <si>
    <t>福島　大輔</t>
  </si>
  <si>
    <t>30587|東京都|田村　駿|タムラ　シュン</t>
  </si>
  <si>
    <t>田村　駿</t>
  </si>
  <si>
    <t>24357|東京都|佐々　紫苑|サッサ　シオン</t>
  </si>
  <si>
    <t>佐々　紫苑</t>
  </si>
  <si>
    <t>アレックス・エ・ヴェルテュ|那須トレーニングファーム|59898|アレックスエヴェルテュ</t>
  </si>
  <si>
    <t>ウィングマン|小山乗馬クラブ|60439|ウィングマン</t>
  </si>
  <si>
    <t>サクソンブルー|岡本ライディングクラブJAPAN|59650|サクソンブルー</t>
  </si>
  <si>
    <t>オーロラボレアリス|北総乗馬クラブ|56454|オーロラボレアリス</t>
  </si>
  <si>
    <t>ボンジョルノ|乗馬クラブ　リバーサイドステーブル浜北|59857|ボンジョルノ</t>
  </si>
  <si>
    <t>ブロフSZ|日本中央競馬会馬事公苑|59567|ブロフエスゼット</t>
  </si>
  <si>
    <t>グランドキャニオン|小山乗馬クラブ|57819|グランドキャニオン</t>
  </si>
  <si>
    <t>GCショパンズブッシ|筑波スカイラインスティーブル|60956|ジーシーショパンズブッシ</t>
  </si>
  <si>
    <t>レディー・アリス|バディーズランチ|60299|レディーアリス</t>
  </si>
  <si>
    <t>ハヤテ・ペガサス|ペガサス乗馬クラブ|58584|ハヤテペガサス</t>
  </si>
  <si>
    <t>ワイモンド|日本中央競馬会競馬学校|60368|ワイモンド</t>
  </si>
  <si>
    <t>カヌニック|日本中央競馬会競馬学校|59757|カヌニック</t>
  </si>
  <si>
    <t>コラミー|日本中央競馬会馬事公苑|58648|コラミー</t>
  </si>
  <si>
    <t>クィディッチ|Stal Liberty|59548|クィディッチ</t>
  </si>
  <si>
    <t>クリノストロング|乗馬クラブ　リバーサイドステーブル浜北|59502|クリノストロング</t>
  </si>
  <si>
    <t>エイツ|ダァーモスタッド|58426|エイツ</t>
  </si>
  <si>
    <t>ファストエモーションZ|座間近代乗馬クラブ|60262|ファストエモーションゼット</t>
  </si>
  <si>
    <t>グリュックスブリンガー|株式会社TOMA　牧之原乗馬クラブ|60391|グリュックスブリンガー</t>
  </si>
  <si>
    <t>ウィルオー・ザ・ウィスプT|ヴィルタスライディングクラブ|60068|ウィルオーザウィスプティ</t>
  </si>
  <si>
    <t>シャーリーベル|STAR HORSES|59342|シャーリーベル</t>
  </si>
  <si>
    <t>エクスポートZ|日本中央競馬会馬事公苑|60925|エクスポートゼット</t>
  </si>
  <si>
    <t>ボッテガ|月ヶ瀬乗馬クラブ|59460|ボッテガ</t>
  </si>
  <si>
    <t>シーバスリーガル|日本中央競馬会馬事公苑|58649|シーバスリーガル</t>
  </si>
  <si>
    <t>クーパーS|日本中央競馬会馬事公苑|59568|クーパーエス</t>
  </si>
  <si>
    <t>29499|千葉県|石丸　千愛季|イシマル　チアキ</t>
  </si>
  <si>
    <t>石丸　千愛季</t>
  </si>
  <si>
    <t>29308|栃木県|広田　大和|ヒロタ　ヤマト</t>
  </si>
  <si>
    <t>広田　大和</t>
  </si>
  <si>
    <t>シェアハピネス|日本中央競馬会競馬学校|60223|シェアハピネス</t>
  </si>
  <si>
    <t>ブレイヴスターズofヤス|那須トレーニングファーム|59250|ブレイヴスターズオブヤス</t>
  </si>
  <si>
    <t>カッサイW|日本中央競馬会馬事公苑|60255|カッサイダブリュー</t>
  </si>
  <si>
    <t>ア・ガール・ドゥ・シャヴァノン|筑波スカイラインスティーブル|58807|アガールドゥシャヴァノン</t>
  </si>
  <si>
    <t>富嶽|乗馬クラブ　リバーサイドステーブル浜北|59622|フガク</t>
  </si>
  <si>
    <t>富嶽</t>
  </si>
  <si>
    <t>クラバット|座間近代乗馬クラブ|56402|クラバット</t>
  </si>
  <si>
    <t>オデヴィ|日本中央競馬会競馬学校|61007|オデヴィ</t>
  </si>
  <si>
    <t>ヴェルザZ|Stal Liberty|58338|ヴェルザゼット</t>
  </si>
  <si>
    <t>オテロ49|株式会社TOMA　牧之原乗馬クラブ|58555|オテロフォーティーナイン</t>
  </si>
  <si>
    <t>オテロ49</t>
  </si>
  <si>
    <t>廬山|小山乗馬クラブ|60750|ロザン</t>
  </si>
  <si>
    <t>廬山</t>
  </si>
  <si>
    <t>メクィドールPS|STAR HORSES|60712|メクィドールピーエス</t>
  </si>
  <si>
    <t>ミスティックレディー|北総乗馬クラブ|60415|ミスティックレディー</t>
  </si>
  <si>
    <t>クリアカットエクストリームWS|ファナウステーブル|59963|クリアカットエクストリームダブルエス</t>
  </si>
  <si>
    <t>サムライブルー|ライディングクラブフジファーム|56296|サムライブルー</t>
  </si>
  <si>
    <t>CRNディガー|乗馬クラブクレイン　エクエストリアンセンター|58641|シーアールエヌディガー</t>
  </si>
  <si>
    <t>シーラヴェンデル|ペガサス乗馬クラブ|59397|シーラヴェンデル</t>
  </si>
  <si>
    <t>ウィレム・ファーイースト|OISO乗馬クラブ|59771|ウィレムファーイースト</t>
  </si>
  <si>
    <t>オデソン|日本中央競馬会競馬学校|61008|オデソン</t>
  </si>
  <si>
    <t>ハイペリオンKG|那須トレーニングファーム|59711|ハイペリオンケージー</t>
  </si>
  <si>
    <t xml:space="preserve">2026 Fuji Horse Show Autumn Grand Prix </t>
    <phoneticPr fontId="7" type="Hiragana"/>
  </si>
  <si>
    <t>★★★</t>
    <phoneticPr fontId="7"/>
  </si>
  <si>
    <t>エドグリーヴァ</t>
  </si>
  <si>
    <t>STAR HORSES</t>
  </si>
  <si>
    <t>スーリアラヴィ</t>
  </si>
  <si>
    <t>アルミココ</t>
  </si>
  <si>
    <t>フォーランダPS</t>
  </si>
  <si>
    <t>カステッロ</t>
  </si>
  <si>
    <t>アデラヴィーナス</t>
  </si>
  <si>
    <t>ハッピースマイル</t>
  </si>
  <si>
    <t>AJ・ナイト</t>
  </si>
  <si>
    <t>フジホースライディングクラブ</t>
  </si>
  <si>
    <t>村上　篤</t>
    <rPh sb="0" eb="2">
      <t>ムラカミ</t>
    </rPh>
    <rPh sb="3" eb="4">
      <t>アツシ</t>
    </rPh>
    <phoneticPr fontId="2"/>
  </si>
  <si>
    <t>オリエント馬事センター</t>
    <rPh sb="0" eb="11">
      <t>　　　　　　　　バジ</t>
    </rPh>
    <phoneticPr fontId="2" alignment="noControl"/>
  </si>
  <si>
    <t>グレイスドリーム</t>
  </si>
  <si>
    <t>村上　万理</t>
    <rPh sb="0" eb="5">
      <t>ムラカミ　マリ</t>
    </rPh>
    <phoneticPr fontId="2"/>
  </si>
  <si>
    <t>ＯＰ</t>
    <phoneticPr fontId="29"/>
  </si>
  <si>
    <t>ブリッツ</t>
  </si>
  <si>
    <t>ペリドット</t>
  </si>
  <si>
    <t>オリエント馬事センター</t>
    <rPh sb="0" eb="11">
      <t>　　　　　　　　バジ</t>
    </rPh>
    <phoneticPr fontId="2"/>
  </si>
  <si>
    <t>ＯＰ</t>
    <phoneticPr fontId="7" type="Hiragana"/>
  </si>
  <si>
    <t>ワンダークラッシー</t>
  </si>
  <si>
    <t>北駿ホースヴィラ</t>
  </si>
  <si>
    <t>櫻井　飛鳥</t>
    <rPh sb="0" eb="2">
      <t>サクライ</t>
    </rPh>
    <rPh sb="3" eb="5">
      <t>アスカ</t>
    </rPh>
    <phoneticPr fontId="6"/>
  </si>
  <si>
    <t>ミサキシャンティ</t>
  </si>
  <si>
    <t>北駿ホースヴィラ</t>
    <rPh sb="0" eb="2">
      <t>ホクシュン</t>
    </rPh>
    <phoneticPr fontId="2"/>
  </si>
  <si>
    <t>明渡　則和</t>
    <rPh sb="0" eb="2">
      <t>アケド</t>
    </rPh>
    <rPh sb="3" eb="5">
      <t>ノリカズ</t>
    </rPh>
    <phoneticPr fontId="6"/>
  </si>
  <si>
    <t>アリス</t>
  </si>
  <si>
    <t>筑波スカイラインスティーブル</t>
  </si>
  <si>
    <t>ジャバ</t>
  </si>
  <si>
    <t>西浦　芽衣</t>
    <rPh sb="0" eb="2">
      <t>ニシウラ</t>
    </rPh>
    <rPh sb="3" eb="5">
      <t>メイ</t>
    </rPh>
    <phoneticPr fontId="2"/>
  </si>
  <si>
    <t>星娘</t>
    <rPh sb="0" eb="1">
      <t>ホシ</t>
    </rPh>
    <rPh sb="1" eb="2">
      <t>ムスメ</t>
    </rPh>
    <phoneticPr fontId="2" alignment="noControl"/>
  </si>
  <si>
    <t>山本　久美子</t>
    <rPh sb="0" eb="2">
      <t>ヤマモト</t>
    </rPh>
    <rPh sb="3" eb="6">
      <t>クミコ</t>
    </rPh>
    <phoneticPr fontId="2"/>
  </si>
  <si>
    <t>オーロラオジョウ</t>
  </si>
  <si>
    <t>筑波スカイラインスティーブル</t>
    <rPh sb="0" eb="2">
      <t>ツクバ</t>
    </rPh>
    <phoneticPr fontId="2"/>
  </si>
  <si>
    <t>キャリーズセブン</t>
  </si>
  <si>
    <t>北総乗馬クラブ</t>
    <rPh sb="0" eb="2">
      <t>ホクソウ</t>
    </rPh>
    <rPh sb="2" eb="4">
      <t>ジョウバ</t>
    </rPh>
    <phoneticPr fontId="2"/>
  </si>
  <si>
    <t>チャルーセム</t>
  </si>
  <si>
    <t>北総乗馬クラブ</t>
  </si>
  <si>
    <t>レヴィノ</t>
  </si>
  <si>
    <t>林　義昌</t>
    <rPh sb="0" eb="1">
      <t>ハヤシ</t>
    </rPh>
    <rPh sb="2" eb="4">
      <t>ヨシマサ</t>
    </rPh>
    <phoneticPr fontId="2"/>
  </si>
  <si>
    <t>ルーニー</t>
  </si>
  <si>
    <t>ラストドラフト</t>
  </si>
  <si>
    <t>ラーグルフ</t>
  </si>
  <si>
    <t>‐</t>
  </si>
  <si>
    <t>熊野八咫烏</t>
    <rPh sb="0" eb="2">
      <t>クマノ</t>
    </rPh>
    <rPh sb="2" eb="5">
      <t>ヤタガラス</t>
    </rPh>
    <phoneticPr fontId="2"/>
  </si>
  <si>
    <t>ヴィンセント</t>
  </si>
  <si>
    <t>ララクレール</t>
  </si>
  <si>
    <t>佐伯　華蓮</t>
  </si>
  <si>
    <t>マルコS</t>
  </si>
  <si>
    <t>八王子乗馬倶楽部</t>
  </si>
  <si>
    <t>下平　和久</t>
    <rPh sb="0" eb="2">
      <t>シモダイラ</t>
    </rPh>
    <rPh sb="3" eb="5">
      <t>カズヒサ</t>
    </rPh>
    <phoneticPr fontId="2"/>
  </si>
  <si>
    <t>ジェフティDGK</t>
  </si>
  <si>
    <t>桑原　咲季</t>
    <rPh sb="0" eb="2">
      <t>クワバラ</t>
    </rPh>
    <rPh sb="3" eb="5">
      <t>サキ</t>
    </rPh>
    <phoneticPr fontId="2"/>
  </si>
  <si>
    <t>蘭丸</t>
  </si>
  <si>
    <t>横田　真吾</t>
    <rPh sb="0" eb="2">
      <t>ヨコタ</t>
    </rPh>
    <rPh sb="3" eb="5">
      <t>シンゴ</t>
    </rPh>
    <phoneticPr fontId="2"/>
  </si>
  <si>
    <t>遠宝17</t>
    <rPh sb="0" eb="1">
      <t>とお</t>
    </rPh>
    <rPh sb="1" eb="2">
      <t>たから</t>
    </rPh>
    <phoneticPr fontId="2" type="Hiragana"/>
  </si>
  <si>
    <t>ペガサス乗馬クラブ</t>
    <rPh sb="4" eb="6">
      <t>ジョウバ</t>
    </rPh>
    <phoneticPr fontId="2"/>
  </si>
  <si>
    <t>宇佐美　真澄</t>
    <rPh sb="0" eb="3">
      <t>ウサミ</t>
    </rPh>
    <rPh sb="4" eb="6">
      <t>マスミ</t>
    </rPh>
    <phoneticPr fontId="2"/>
  </si>
  <si>
    <t>ペガサス乗馬クラブ</t>
  </si>
  <si>
    <t>ガライヤ</t>
  </si>
  <si>
    <t>林　高志</t>
    <rPh sb="0" eb="1">
      <t>ハヤシ</t>
    </rPh>
    <rPh sb="2" eb="4">
      <t>タカシ</t>
    </rPh>
    <phoneticPr fontId="2"/>
  </si>
  <si>
    <t>カスカヴェル</t>
  </si>
  <si>
    <t>三田村　忍</t>
    <rPh sb="0" eb="3">
      <t>ミタムラ</t>
    </rPh>
    <rPh sb="4" eb="5">
      <t>シノブ</t>
    </rPh>
    <phoneticPr fontId="2"/>
  </si>
  <si>
    <t>エヴァンダ</t>
  </si>
  <si>
    <t>遠宝16</t>
    <rPh sb="0" eb="1">
      <t>とお</t>
    </rPh>
    <rPh sb="1" eb="2">
      <t>たから</t>
    </rPh>
    <phoneticPr fontId="2" type="Hiragana"/>
  </si>
  <si>
    <t>古賀　有希</t>
    <rPh sb="0" eb="2">
      <t>コガ</t>
    </rPh>
    <rPh sb="3" eb="5">
      <t>ユキ</t>
    </rPh>
    <phoneticPr fontId="2"/>
  </si>
  <si>
    <t>-</t>
    <phoneticPr fontId="7" type="Hiragana"/>
  </si>
  <si>
    <t>小山　知美</t>
    <rPh sb="0" eb="2">
      <t>コヤマ</t>
    </rPh>
    <rPh sb="3" eb="5">
      <t>トモミ</t>
    </rPh>
    <phoneticPr fontId="2"/>
  </si>
  <si>
    <t>イクスプロージョン</t>
  </si>
  <si>
    <t>ライディングクラブモーヴァン</t>
  </si>
  <si>
    <t>千葉　奈鶴</t>
    <rPh sb="0" eb="2">
      <t>チバ</t>
    </rPh>
    <rPh sb="3" eb="4">
      <t>ナ</t>
    </rPh>
    <rPh sb="4" eb="5">
      <t>ツル</t>
    </rPh>
    <phoneticPr fontId="2"/>
  </si>
  <si>
    <t>ライジングシャイン</t>
  </si>
  <si>
    <t>福田　倫子</t>
    <rPh sb="0" eb="2">
      <t>フクダ</t>
    </rPh>
    <rPh sb="3" eb="5">
      <t>ノリコ</t>
    </rPh>
    <phoneticPr fontId="2"/>
  </si>
  <si>
    <t>高橋　陽美</t>
    <rPh sb="0" eb="2">
      <t>タカハシ</t>
    </rPh>
    <rPh sb="3" eb="5">
      <t>ハルミ</t>
    </rPh>
    <phoneticPr fontId="2"/>
  </si>
  <si>
    <t>佃　日出彦</t>
    <rPh sb="0" eb="1">
      <t>ツクダ</t>
    </rPh>
    <rPh sb="2" eb="5">
      <t>ヒデヒコ</t>
    </rPh>
    <phoneticPr fontId="2"/>
  </si>
  <si>
    <t>乗馬クラブ　リバーサイドステーブル浜北</t>
  </si>
  <si>
    <t>富嶽</t>
    <rPh sb="0" eb="2">
      <t>フガク</t>
    </rPh>
    <phoneticPr fontId="2" alignment="noControl"/>
  </si>
  <si>
    <t>アルデバランZ</t>
  </si>
  <si>
    <t>岡本ライディングクラブJAPAN</t>
  </si>
  <si>
    <t>ココ</t>
  </si>
  <si>
    <t>フォンガンツ</t>
  </si>
  <si>
    <t>森　裕悟</t>
    <rPh sb="0" eb="1">
      <t>モリ</t>
    </rPh>
    <rPh sb="2" eb="4">
      <t>ユウゴ</t>
    </rPh>
    <phoneticPr fontId="2"/>
  </si>
  <si>
    <t>コンスタッカーラPS</t>
  </si>
  <si>
    <t>AOステーブル</t>
  </si>
  <si>
    <t>ジュノンAO</t>
  </si>
  <si>
    <t>ＯＰ</t>
    <phoneticPr fontId="7"/>
  </si>
  <si>
    <t>藤本　光国</t>
    <rPh sb="0" eb="5">
      <t>フジモト　ミツクニ</t>
    </rPh>
    <phoneticPr fontId="2"/>
  </si>
  <si>
    <t>Horses' New Stage</t>
  </si>
  <si>
    <t>秋山　花吏奈</t>
  </si>
  <si>
    <t>プルプァズィガーZ</t>
  </si>
  <si>
    <t>Horse'sNewStage</t>
  </si>
  <si>
    <t>ラッキーリングス・M</t>
  </si>
  <si>
    <t>ドラゴネラ</t>
  </si>
  <si>
    <t>二宮　裕哉</t>
  </si>
  <si>
    <t>カレッジM</t>
  </si>
  <si>
    <t>成田乗馬クラブ</t>
  </si>
  <si>
    <t>インフィデル</t>
  </si>
  <si>
    <t>エンパイア</t>
  </si>
  <si>
    <t>コアインパルス</t>
  </si>
  <si>
    <t>やまがた乗馬クラブ</t>
    <rPh sb="4" eb="6">
      <t>ジョウバ</t>
    </rPh>
    <phoneticPr fontId="2"/>
  </si>
  <si>
    <t>阿部　成海</t>
    <rPh sb="0" eb="2">
      <t>アベ</t>
    </rPh>
    <rPh sb="3" eb="5">
      <t>ナルミ</t>
    </rPh>
    <phoneticPr fontId="2"/>
  </si>
  <si>
    <t>ウィンクルム</t>
  </si>
  <si>
    <t>アレイオン</t>
  </si>
  <si>
    <t>ドゥラメンタ</t>
  </si>
  <si>
    <t>服部　亮太</t>
    <rPh sb="0" eb="2">
      <t>ハットリ</t>
    </rPh>
    <rPh sb="3" eb="5">
      <t>リョウタ</t>
    </rPh>
    <phoneticPr fontId="2"/>
  </si>
  <si>
    <t>フレデリカ</t>
  </si>
  <si>
    <t>乗馬クラブクレイン神奈川</t>
    <rPh sb="9" eb="12">
      <t>カナガワ</t>
    </rPh>
    <phoneticPr fontId="2"/>
  </si>
  <si>
    <t>本間　唯純</t>
    <rPh sb="0" eb="2">
      <t>ホンマ</t>
    </rPh>
    <rPh sb="3" eb="4">
      <t>タダ</t>
    </rPh>
    <rPh sb="4" eb="5">
      <t>スミ</t>
    </rPh>
    <phoneticPr fontId="2"/>
  </si>
  <si>
    <t>アーチー</t>
  </si>
  <si>
    <t>乗馬クラブクレイン神奈川</t>
  </si>
  <si>
    <t>ごま丸</t>
    <rPh sb="2" eb="3">
      <t>マル</t>
    </rPh>
    <phoneticPr fontId="2"/>
  </si>
  <si>
    <t>バニラジーヴァル</t>
  </si>
  <si>
    <t>内山　国宝</t>
    <rPh sb="0" eb="2">
      <t>ウチヤマ</t>
    </rPh>
    <rPh sb="3" eb="4">
      <t>クニ</t>
    </rPh>
    <rPh sb="4" eb="5">
      <t>オ</t>
    </rPh>
    <phoneticPr fontId="2"/>
  </si>
  <si>
    <t>ティラミス</t>
  </si>
  <si>
    <t>乗馬クラブクレイン神奈川</t>
    <rPh sb="0" eb="2">
      <t>ジョウバ</t>
    </rPh>
    <rPh sb="9" eb="12">
      <t>カナガワ</t>
    </rPh>
    <phoneticPr fontId="2"/>
  </si>
  <si>
    <t>フォルティス</t>
  </si>
  <si>
    <t>小野　敬司</t>
    <rPh sb="0" eb="2">
      <t>オノ</t>
    </rPh>
    <rPh sb="3" eb="5">
      <t>ケイジ</t>
    </rPh>
    <phoneticPr fontId="2"/>
  </si>
  <si>
    <t>リモーネ</t>
  </si>
  <si>
    <t>乗馬クラブクレイン東京</t>
    <rPh sb="9" eb="11">
      <t>トウキョウ</t>
    </rPh>
    <phoneticPr fontId="2"/>
  </si>
  <si>
    <t>鈴木　絢子</t>
    <rPh sb="3" eb="5">
      <t>アヤコ</t>
    </rPh>
    <phoneticPr fontId="2"/>
  </si>
  <si>
    <t>マグノオンゾウシ</t>
  </si>
  <si>
    <t>乗馬クラブクレイン東京</t>
  </si>
  <si>
    <t>クロニクルノヴァ</t>
  </si>
  <si>
    <t>王　洋軒</t>
    <rPh sb="0" eb="1">
      <t>オウ</t>
    </rPh>
    <rPh sb="2" eb="3">
      <t>ヒロシ</t>
    </rPh>
    <rPh sb="3" eb="4">
      <t>ノキ</t>
    </rPh>
    <phoneticPr fontId="2"/>
  </si>
  <si>
    <t>佐々木　愛</t>
    <rPh sb="0" eb="3">
      <t>ササキ</t>
    </rPh>
    <rPh sb="4" eb="5">
      <t>アイ</t>
    </rPh>
    <phoneticPr fontId="2"/>
  </si>
  <si>
    <t>トイボックス</t>
  </si>
  <si>
    <t>乗馬クラブクレイン東京</t>
    <rPh sb="0" eb="2">
      <t>ジョウバ</t>
    </rPh>
    <rPh sb="9" eb="11">
      <t>トウキョウ</t>
    </rPh>
    <phoneticPr fontId="2"/>
  </si>
  <si>
    <t>吉澤　春花</t>
    <rPh sb="0" eb="2">
      <t>ヨシザワ</t>
    </rPh>
    <rPh sb="3" eb="4">
      <t>ハル</t>
    </rPh>
    <rPh sb="4" eb="5">
      <t>ハナ</t>
    </rPh>
    <phoneticPr fontId="2"/>
  </si>
  <si>
    <t>ミッキースピリット</t>
  </si>
  <si>
    <t>小野　晴美</t>
    <rPh sb="0" eb="2">
      <t>オノ</t>
    </rPh>
    <rPh sb="3" eb="5">
      <t>ハルミ</t>
    </rPh>
    <phoneticPr fontId="2"/>
  </si>
  <si>
    <t>古田　慶幸</t>
    <rPh sb="0" eb="2">
      <t>フルタ</t>
    </rPh>
    <rPh sb="3" eb="5">
      <t>ヨシユキ</t>
    </rPh>
    <phoneticPr fontId="2"/>
  </si>
  <si>
    <t>ライーズ</t>
  </si>
  <si>
    <t>riding team Regroup</t>
  </si>
  <si>
    <t>カイレンバーリア</t>
  </si>
  <si>
    <t>カールブルー</t>
  </si>
  <si>
    <t>小山乗馬クラブ</t>
  </si>
  <si>
    <t>増山　誠倫</t>
    <rPh sb="0" eb="2">
      <t>マシヤマ</t>
    </rPh>
    <rPh sb="3" eb="4">
      <t>タカ</t>
    </rPh>
    <rPh sb="4" eb="5">
      <t>ミチ</t>
    </rPh>
    <phoneticPr fontId="2"/>
  </si>
  <si>
    <t>ベントレー・デ・キャステル</t>
  </si>
  <si>
    <t>荒木　紀迪</t>
    <rPh sb="0" eb="2">
      <t>アラキ</t>
    </rPh>
    <rPh sb="3" eb="4">
      <t>ノリ</t>
    </rPh>
    <rPh sb="4" eb="5">
      <t>ミチ</t>
    </rPh>
    <phoneticPr fontId="2"/>
  </si>
  <si>
    <t>シャトレ</t>
  </si>
  <si>
    <t>エルピス</t>
  </si>
  <si>
    <t>堀田　駿</t>
  </si>
  <si>
    <t>ファンボーイHFP</t>
  </si>
  <si>
    <t>Horsequad</t>
  </si>
  <si>
    <t>スーパーカブHQD</t>
  </si>
  <si>
    <t>中垣　真歩</t>
  </si>
  <si>
    <t>木村　茉里子</t>
    <rPh sb="0" eb="2">
      <t>キムラ</t>
    </rPh>
    <rPh sb="3" eb="6">
      <t>マリコ</t>
    </rPh>
    <phoneticPr fontId="2"/>
  </si>
  <si>
    <t>カーラ・ブルー</t>
  </si>
  <si>
    <t>NGK Horse Paz.</t>
  </si>
  <si>
    <t>ラフィーニャ</t>
  </si>
  <si>
    <t>クリッチェ・デ・ロワ</t>
  </si>
  <si>
    <t>伊藤　正平</t>
    <rPh sb="0" eb="2">
      <t>イトウ</t>
    </rPh>
    <rPh sb="3" eb="5">
      <t>ショウヘイ</t>
    </rPh>
    <phoneticPr fontId="2"/>
  </si>
  <si>
    <t>アカペラ</t>
  </si>
  <si>
    <t>乗馬クラブクレイン伊奈</t>
    <rPh sb="0" eb="2">
      <t>ジョウバ</t>
    </rPh>
    <rPh sb="9" eb="11">
      <t>イナ</t>
    </rPh>
    <phoneticPr fontId="2"/>
  </si>
  <si>
    <t>乗馬クラブクレイン伊奈</t>
  </si>
  <si>
    <t>ブルーカップ</t>
  </si>
  <si>
    <t>ライディングクラブフジファーム</t>
    <rPh sb="0" eb="15">
      <t>ライディングクラブフジファーム</t>
    </rPh>
    <phoneticPr fontId="6" alignment="noControl"/>
  </si>
  <si>
    <t>川口　飛鳥</t>
    <rPh sb="0" eb="2">
      <t>カワグチ</t>
    </rPh>
    <rPh sb="3" eb="5">
      <t>アスカ</t>
    </rPh>
    <phoneticPr fontId="6"/>
  </si>
  <si>
    <t>スカイシーカー</t>
  </si>
  <si>
    <t>吉川　隆</t>
    <rPh sb="0" eb="2">
      <t>ヨシカワ</t>
    </rPh>
    <rPh sb="3" eb="4">
      <t>タカシ</t>
    </rPh>
    <phoneticPr fontId="6"/>
  </si>
  <si>
    <t>ハーベスト</t>
  </si>
  <si>
    <t>ライディングクラブフジファーム</t>
  </si>
  <si>
    <t>ハリーポッター・D</t>
  </si>
  <si>
    <t>拓殖大学馬術部</t>
  </si>
  <si>
    <t>山下　永聖</t>
    <rPh sb="0" eb="2">
      <t>ヤマシタ</t>
    </rPh>
    <rPh sb="3" eb="4">
      <t>ト</t>
    </rPh>
    <rPh sb="4" eb="5">
      <t>ア</t>
    </rPh>
    <phoneticPr fontId="2"/>
  </si>
  <si>
    <t>紅愛</t>
    <rPh sb="0" eb="1">
      <t>クレ</t>
    </rPh>
    <rPh sb="1" eb="2">
      <t>ア</t>
    </rPh>
    <phoneticPr fontId="2"/>
  </si>
  <si>
    <t>戸田　侑汰</t>
    <rPh sb="0" eb="2">
      <t>トダ</t>
    </rPh>
    <rPh sb="3" eb="5">
      <t>ユウタ</t>
    </rPh>
    <phoneticPr fontId="2"/>
  </si>
  <si>
    <t>カスミチャン</t>
  </si>
  <si>
    <t>ジェノベーゼ</t>
  </si>
  <si>
    <t>カレア</t>
  </si>
  <si>
    <t>野々川　颯華</t>
    <rPh sb="0" eb="3">
      <t>ノノガワ</t>
    </rPh>
    <rPh sb="4" eb="5">
      <t>ソウ</t>
    </rPh>
    <rPh sb="5" eb="6">
      <t>ハナ</t>
    </rPh>
    <phoneticPr fontId="2"/>
  </si>
  <si>
    <t>中村　沙也加</t>
    <rPh sb="0" eb="2">
      <t>ナカムラ</t>
    </rPh>
    <rPh sb="3" eb="6">
      <t>サヤカ</t>
    </rPh>
    <phoneticPr fontId="2"/>
  </si>
  <si>
    <t>紅鈴</t>
  </si>
  <si>
    <t>ルーニー21</t>
  </si>
  <si>
    <t>川口　飛鳥</t>
  </si>
  <si>
    <t>藤田　充</t>
  </si>
  <si>
    <t>渡部　遼大</t>
  </si>
  <si>
    <t>貝原　大地</t>
  </si>
  <si>
    <t>東　彩加</t>
  </si>
  <si>
    <t>千葉　奈鶴</t>
  </si>
  <si>
    <t>鈴木　正紀</t>
  </si>
  <si>
    <t>Sグランツ</t>
  </si>
  <si>
    <t>本間　唯純</t>
  </si>
  <si>
    <t>津田　保乃香</t>
  </si>
  <si>
    <t>鈴木　良明</t>
  </si>
  <si>
    <t>遠藤　めい</t>
  </si>
  <si>
    <t>WD</t>
  </si>
  <si>
    <t>WD</t>
    <phoneticPr fontId="7" type="Hiragana"/>
  </si>
  <si>
    <t>キートス・サクラ</t>
  </si>
  <si>
    <t>ピノ</t>
  </si>
  <si>
    <t>WD</t>
    <phoneticPr fontId="29"/>
  </si>
  <si>
    <t>OP</t>
  </si>
  <si>
    <t>増田　惺太</t>
  </si>
  <si>
    <t>ユイマヴェーラ</t>
  </si>
  <si>
    <t>静岡乗馬クラブ</t>
  </si>
  <si>
    <t>WD</t>
    <phoneticPr fontId="7"/>
  </si>
  <si>
    <t>ＯＰ</t>
  </si>
  <si>
    <t>オリエント馬事センター</t>
  </si>
  <si>
    <t>武井　史恵</t>
  </si>
  <si>
    <t>須藤　すみれ</t>
  </si>
  <si>
    <t>乗馬クラブニューシーズン御殿場</t>
  </si>
  <si>
    <t>木村　茉里子</t>
  </si>
  <si>
    <t>馬夢世</t>
  </si>
  <si>
    <t>渡邊　菜々美</t>
  </si>
  <si>
    <t>紅陵</t>
  </si>
  <si>
    <t>アシェンダ乗馬学校</t>
  </si>
  <si>
    <t>森　裕悟</t>
  </si>
  <si>
    <t>紙本　萌々</t>
  </si>
  <si>
    <t>吉田　真理恵</t>
  </si>
  <si>
    <t>武尊</t>
  </si>
  <si>
    <t>9/10 18:30版</t>
    <rPh sb="10" eb="11">
      <t>ハン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</si>
</sst>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 &quot;¥&quot;* #,##0_ ;_ &quot;¥&quot;* \-#,##0_ ;_ &quot;¥&quot;* &quot;-&quot;_ ;_ @_ "/>
    <numFmt numFmtId="176" formatCode="0&quot;ｍ&quot;"/>
    <numFmt numFmtId="177" formatCode="&quot;基準&quot;\A"/>
    <numFmt numFmtId="178" formatCode="0&quot;m&quot;"/>
    <numFmt numFmtId="179" formatCode="0&quot;秒&quot;"/>
    <numFmt numFmtId="180" formatCode="0&quot;条&quot;"/>
    <numFmt numFmtId="181" formatCode="#,##0.00_);[Red]\(#,##0.00\)"/>
    <numFmt numFmtId="182" formatCode="0_);[Red]\(0\)"/>
    <numFmt numFmtId="183" formatCode="00000"/>
    <numFmt numFmtId="184" formatCode="&quot;第 &quot;#&quot; 競技&quot;"/>
  </numFmts>
  <fonts count="40">
    <font>
      <sz val="10"/>
      <color indexed="8"/>
      <name val="ＭＳ ゴシック"/>
      <family val="3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Osaka"/>
      <family val="3"/>
      <charset val="128"/>
    </font>
    <font>
      <sz val="9"/>
      <name val="ＭＳ Ｐゴシック"/>
      <family val="3"/>
      <charset val="128"/>
    </font>
    <font>
      <u/>
      <sz val="12"/>
      <name val="ＭＳ Ｐゴシック"/>
      <family val="3"/>
      <charset val="128"/>
    </font>
    <font>
      <sz val="12"/>
      <name val="ＭＳ Ｐゴシック"/>
      <family val="3"/>
      <charset val="128"/>
    </font>
    <font>
      <u/>
      <sz val="10"/>
      <color indexed="8"/>
      <name val="ＭＳ Ｐゴシック"/>
      <family val="3"/>
      <charset val="128"/>
    </font>
    <font>
      <b/>
      <u/>
      <sz val="12"/>
      <color indexed="8"/>
      <name val="ＭＳ Ｐゴシック"/>
      <family val="3"/>
      <charset val="128"/>
    </font>
    <font>
      <sz val="8"/>
      <color indexed="8"/>
      <name val="ＭＳ Ｐゴシック"/>
      <family val="3"/>
      <charset val="128"/>
    </font>
    <font>
      <sz val="10"/>
      <name val="ＭＳ ゴシック"/>
      <family val="3"/>
    </font>
    <font>
      <b/>
      <sz val="10"/>
      <name val="ＭＳ ゴシック"/>
      <family val="3"/>
    </font>
    <font>
      <b/>
      <sz val="14"/>
      <name val="ＭＳ Ｐゴシック"/>
      <family val="3"/>
      <charset val="128"/>
    </font>
    <font>
      <sz val="6"/>
      <name val="ＭＳ ゴシック"/>
      <family val="3"/>
    </font>
    <font>
      <sz val="8"/>
      <name val="ＭＳ ゴシック"/>
      <family val="3"/>
    </font>
    <font>
      <b/>
      <sz val="11"/>
      <color indexed="8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0"/>
      <color indexed="8"/>
      <name val="ＭＳ ゴシック"/>
      <family val="3"/>
    </font>
    <font>
      <sz val="11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  <scheme val="minor"/>
    </font>
    <font>
      <sz val="16"/>
      <color indexed="8"/>
      <name val="ＭＳ ゴシック"/>
      <family val="3"/>
    </font>
    <font>
      <sz val="16"/>
      <color indexed="8"/>
      <name val="ＭＳ ゴシック"/>
      <family val="3"/>
      <charset val="128"/>
    </font>
    <font>
      <b/>
      <sz val="14"/>
      <color indexed="8"/>
      <name val="HGS創英角ﾎﾟｯﾌﾟ体"/>
      <family val="3"/>
      <charset val="128"/>
    </font>
    <font>
      <b/>
      <sz val="14"/>
      <color indexed="8"/>
      <name val="HG創英角ﾎﾟｯﾌﾟ体"/>
      <family val="3"/>
      <charset val="128"/>
    </font>
    <font>
      <b/>
      <u/>
      <sz val="12"/>
      <color rgb="FFFF0000"/>
      <name val="ＭＳ Ｐゴシック"/>
      <family val="3"/>
      <charset val="128"/>
    </font>
    <font>
      <sz val="10"/>
      <color rgb="FF000000"/>
      <name val="ＭＳ 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indexed="12"/>
        <bgColor indexed="8"/>
      </patternFill>
    </fill>
    <fill>
      <patternFill patternType="solid">
        <fgColor indexed="11"/>
        <bgColor indexed="8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 applyFill="0" applyProtection="0">
      <alignment vertical="center"/>
    </xf>
    <xf numFmtId="0" fontId="10" fillId="0" borderId="0"/>
    <xf numFmtId="0" fontId="11" fillId="0" borderId="0">
      <alignment vertical="center"/>
    </xf>
    <xf numFmtId="0" fontId="2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31" fillId="0" borderId="0" applyFill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2" fillId="0" borderId="0" applyFill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1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48">
    <xf numFmtId="0" fontId="0" fillId="0" borderId="0" xfId="0" applyFill="1" applyProtection="1">
      <alignment vertical="center"/>
    </xf>
    <xf numFmtId="0" fontId="13" fillId="0" borderId="0" xfId="1" applyFont="1"/>
    <xf numFmtId="0" fontId="13" fillId="0" borderId="0" xfId="1" applyFont="1" applyProtection="1">
      <protection hidden="1"/>
    </xf>
    <xf numFmtId="0" fontId="9" fillId="0" borderId="0" xfId="0" applyFont="1" applyFill="1" applyAlignment="1" applyProtection="1"/>
    <xf numFmtId="0" fontId="9" fillId="0" borderId="0" xfId="0" applyFont="1" applyFill="1" applyAlignment="1" applyProtection="1">
      <alignment horizontal="right"/>
    </xf>
    <xf numFmtId="0" fontId="9" fillId="4" borderId="3" xfId="0" applyFont="1" applyFill="1" applyBorder="1" applyAlignment="1" applyProtection="1">
      <alignment horizontal="right"/>
      <protection locked="0"/>
    </xf>
    <xf numFmtId="14" fontId="16" fillId="0" borderId="0" xfId="0" applyNumberFormat="1" applyFont="1" applyFill="1" applyAlignment="1" applyProtection="1">
      <alignment horizontal="left"/>
      <protection locked="0"/>
    </xf>
    <xf numFmtId="0" fontId="8" fillId="0" borderId="0" xfId="0" applyFont="1" applyFill="1" applyAlignment="1" applyProtection="1">
      <protection locked="0"/>
    </xf>
    <xf numFmtId="0" fontId="17" fillId="0" borderId="0" xfId="0" applyFont="1" applyFill="1" applyAlignment="1" applyProtection="1">
      <alignment horizontal="left"/>
    </xf>
    <xf numFmtId="0" fontId="14" fillId="0" borderId="0" xfId="1" applyFont="1"/>
    <xf numFmtId="184" fontId="16" fillId="0" borderId="0" xfId="0" applyNumberFormat="1" applyFont="1" applyFill="1" applyAlignment="1" applyProtection="1">
      <alignment horizontal="right" shrinkToFit="1"/>
    </xf>
    <xf numFmtId="0" fontId="18" fillId="0" borderId="0" xfId="0" applyFont="1" applyFill="1" applyAlignment="1" applyProtection="1">
      <alignment horizontal="right"/>
    </xf>
    <xf numFmtId="0" fontId="18" fillId="0" borderId="0" xfId="0" applyFont="1" applyFill="1" applyAlignment="1" applyProtection="1"/>
    <xf numFmtId="0" fontId="10" fillId="0" borderId="0" xfId="1" applyAlignment="1">
      <alignment horizontal="right"/>
    </xf>
    <xf numFmtId="0" fontId="13" fillId="0" borderId="6" xfId="1" applyFont="1" applyBorder="1" applyAlignment="1">
      <alignment horizontal="center" vertical="center"/>
    </xf>
    <xf numFmtId="0" fontId="13" fillId="0" borderId="7" xfId="1" applyFont="1" applyBorder="1" applyAlignment="1">
      <alignment horizontal="center" vertical="center"/>
    </xf>
    <xf numFmtId="1" fontId="11" fillId="0" borderId="7" xfId="1" applyNumberFormat="1" applyFont="1" applyBorder="1" applyAlignment="1" applyProtection="1">
      <alignment horizontal="center" vertical="center" shrinkToFit="1"/>
      <protection locked="0"/>
    </xf>
    <xf numFmtId="1" fontId="11" fillId="0" borderId="7" xfId="1" applyNumberFormat="1" applyFont="1" applyBorder="1" applyAlignment="1" applyProtection="1">
      <alignment vertical="center" shrinkToFit="1"/>
      <protection locked="0"/>
    </xf>
    <xf numFmtId="183" fontId="11" fillId="0" borderId="6" xfId="1" applyNumberFormat="1" applyFont="1" applyBorder="1" applyAlignment="1">
      <alignment horizontal="center" vertical="center" shrinkToFit="1"/>
    </xf>
    <xf numFmtId="0" fontId="13" fillId="0" borderId="0" xfId="1" applyFont="1" applyAlignment="1">
      <alignment horizontal="left" vertical="center"/>
    </xf>
    <xf numFmtId="0" fontId="19" fillId="0" borderId="0" xfId="0" applyFont="1" applyFill="1" applyProtection="1">
      <alignment vertical="center"/>
    </xf>
    <xf numFmtId="1" fontId="10" fillId="0" borderId="8" xfId="0" applyNumberFormat="1" applyFont="1" applyFill="1" applyBorder="1" applyAlignment="1" applyProtection="1">
      <alignment horizontal="left" vertical="center" shrinkToFit="1"/>
      <protection locked="0"/>
    </xf>
    <xf numFmtId="181" fontId="15" fillId="0" borderId="8" xfId="0" applyNumberFormat="1" applyFont="1" applyFill="1" applyBorder="1" applyAlignment="1" applyProtection="1">
      <alignment horizontal="center" vertical="center"/>
      <protection locked="0"/>
    </xf>
    <xf numFmtId="0" fontId="10" fillId="0" borderId="8" xfId="0" applyFont="1" applyFill="1" applyBorder="1" applyAlignment="1" applyProtection="1">
      <alignment horizontal="left" vertical="center" shrinkToFit="1"/>
      <protection locked="0"/>
    </xf>
    <xf numFmtId="0" fontId="20" fillId="0" borderId="0" xfId="0" applyFont="1" applyFill="1" applyProtection="1">
      <alignment vertical="center"/>
    </xf>
    <xf numFmtId="0" fontId="19" fillId="0" borderId="0" xfId="0" applyFont="1" applyFill="1" applyAlignment="1" applyProtection="1"/>
    <xf numFmtId="0" fontId="19" fillId="0" borderId="0" xfId="0" applyFont="1" applyFill="1" applyAlignment="1" applyProtection="1">
      <alignment horizontal="right"/>
    </xf>
    <xf numFmtId="0" fontId="19" fillId="2" borderId="3" xfId="0" applyFont="1" applyFill="1" applyBorder="1" applyAlignment="1" applyProtection="1">
      <alignment horizontal="right"/>
    </xf>
    <xf numFmtId="0" fontId="19" fillId="0" borderId="0" xfId="0" applyFont="1" applyFill="1" applyAlignment="1" applyProtection="1">
      <alignment horizontal="center"/>
    </xf>
    <xf numFmtId="0" fontId="19" fillId="0" borderId="3" xfId="0" applyFont="1" applyFill="1" applyBorder="1" applyAlignment="1" applyProtection="1">
      <alignment horizontal="left"/>
    </xf>
    <xf numFmtId="0" fontId="19" fillId="0" borderId="3" xfId="0" applyFont="1" applyFill="1" applyBorder="1" applyAlignment="1" applyProtection="1"/>
    <xf numFmtId="0" fontId="20" fillId="0" borderId="0" xfId="0" applyFont="1" applyFill="1" applyAlignment="1" applyProtection="1"/>
    <xf numFmtId="0" fontId="19" fillId="0" borderId="0" xfId="0" applyFont="1" applyFill="1" applyAlignment="1" applyProtection="1">
      <protection locked="0"/>
    </xf>
    <xf numFmtId="0" fontId="20" fillId="0" borderId="3" xfId="0" applyFont="1" applyFill="1" applyBorder="1" applyAlignment="1" applyProtection="1">
      <alignment horizontal="center"/>
    </xf>
    <xf numFmtId="0" fontId="19" fillId="0" borderId="3" xfId="0" applyFont="1" applyFill="1" applyBorder="1" applyAlignment="1" applyProtection="1">
      <alignment horizontal="center" shrinkToFit="1"/>
      <protection locked="0"/>
    </xf>
    <xf numFmtId="176" fontId="19" fillId="0" borderId="3" xfId="0" applyNumberFormat="1" applyFont="1" applyFill="1" applyBorder="1" applyAlignment="1" applyProtection="1">
      <alignment horizontal="left"/>
      <protection locked="0"/>
    </xf>
    <xf numFmtId="0" fontId="19" fillId="0" borderId="3" xfId="0" applyFont="1" applyFill="1" applyBorder="1" applyAlignment="1" applyProtection="1">
      <alignment horizontal="center"/>
    </xf>
    <xf numFmtId="177" fontId="19" fillId="0" borderId="0" xfId="0" applyNumberFormat="1" applyFont="1" applyFill="1" applyAlignment="1" applyProtection="1">
      <alignment horizontal="right"/>
    </xf>
    <xf numFmtId="0" fontId="19" fillId="0" borderId="3" xfId="0" applyFont="1" applyFill="1" applyBorder="1" applyAlignment="1" applyProtection="1">
      <alignment horizontal="center"/>
      <protection locked="0"/>
    </xf>
    <xf numFmtId="0" fontId="19" fillId="0" borderId="3" xfId="0" applyFont="1" applyFill="1" applyBorder="1" applyAlignment="1" applyProtection="1">
      <alignment horizontal="right"/>
      <protection locked="0"/>
    </xf>
    <xf numFmtId="0" fontId="19" fillId="0" borderId="0" xfId="0" applyFont="1" applyFill="1" applyAlignment="1" applyProtection="1">
      <alignment horizontal="right" wrapText="1"/>
    </xf>
    <xf numFmtId="0" fontId="19" fillId="0" borderId="4" xfId="0" applyFont="1" applyFill="1" applyBorder="1" applyAlignment="1" applyProtection="1">
      <alignment horizontal="right"/>
      <protection locked="0"/>
    </xf>
    <xf numFmtId="178" fontId="19" fillId="0" borderId="0" xfId="0" applyNumberFormat="1" applyFont="1" applyFill="1" applyAlignment="1" applyProtection="1">
      <protection locked="0"/>
    </xf>
    <xf numFmtId="179" fontId="19" fillId="0" borderId="0" xfId="0" applyNumberFormat="1" applyFont="1" applyFill="1" applyAlignment="1" applyProtection="1">
      <protection locked="0"/>
    </xf>
    <xf numFmtId="0" fontId="19" fillId="0" borderId="3" xfId="0" applyFont="1" applyFill="1" applyBorder="1" applyProtection="1">
      <alignment vertical="center"/>
    </xf>
    <xf numFmtId="0" fontId="19" fillId="0" borderId="3" xfId="0" applyFont="1" applyFill="1" applyBorder="1" applyAlignment="1" applyProtection="1">
      <alignment horizontal="center" vertical="center"/>
    </xf>
    <xf numFmtId="0" fontId="19" fillId="0" borderId="9" xfId="0" applyFont="1" applyFill="1" applyBorder="1" applyProtection="1">
      <alignment vertical="center"/>
    </xf>
    <xf numFmtId="0" fontId="19" fillId="0" borderId="10" xfId="0" applyFont="1" applyFill="1" applyBorder="1" applyProtection="1">
      <alignment vertical="center"/>
    </xf>
    <xf numFmtId="0" fontId="19" fillId="0" borderId="11" xfId="0" applyFont="1" applyFill="1" applyBorder="1" applyProtection="1">
      <alignment vertical="center"/>
    </xf>
    <xf numFmtId="0" fontId="19" fillId="0" borderId="11" xfId="0" applyFont="1" applyFill="1" applyBorder="1" applyAlignment="1" applyProtection="1">
      <alignment horizontal="right" vertical="center"/>
    </xf>
    <xf numFmtId="0" fontId="19" fillId="0" borderId="12" xfId="0" applyFont="1" applyFill="1" applyBorder="1" applyProtection="1">
      <alignment vertical="center"/>
    </xf>
    <xf numFmtId="0" fontId="19" fillId="0" borderId="13" xfId="0" applyFont="1" applyFill="1" applyBorder="1" applyAlignment="1" applyProtection="1">
      <alignment horizontal="center" vertical="center" wrapText="1"/>
    </xf>
    <xf numFmtId="0" fontId="19" fillId="0" borderId="14" xfId="0" applyFont="1" applyFill="1" applyBorder="1" applyAlignment="1" applyProtection="1">
      <alignment horizontal="center" vertical="center"/>
    </xf>
    <xf numFmtId="0" fontId="19" fillId="0" borderId="15" xfId="0" applyFont="1" applyFill="1" applyBorder="1" applyAlignment="1" applyProtection="1">
      <alignment horizontal="center" vertical="center"/>
    </xf>
    <xf numFmtId="0" fontId="19" fillId="0" borderId="15" xfId="0" applyFont="1" applyFill="1" applyBorder="1" applyAlignment="1" applyProtection="1">
      <alignment horizontal="center" vertical="center" wrapText="1"/>
    </xf>
    <xf numFmtId="0" fontId="19" fillId="0" borderId="8" xfId="0" applyFont="1" applyFill="1" applyBorder="1" applyAlignment="1" applyProtection="1">
      <alignment horizontal="center" vertical="center" wrapText="1"/>
    </xf>
    <xf numFmtId="0" fontId="19" fillId="0" borderId="8" xfId="0" applyFont="1" applyFill="1" applyBorder="1" applyAlignment="1" applyProtection="1">
      <alignment horizontal="center" vertical="center"/>
    </xf>
    <xf numFmtId="0" fontId="22" fillId="0" borderId="8" xfId="0" applyFont="1" applyFill="1" applyBorder="1" applyAlignment="1" applyProtection="1">
      <alignment horizontal="center" vertical="center" wrapText="1"/>
    </xf>
    <xf numFmtId="0" fontId="23" fillId="0" borderId="8" xfId="0" applyFont="1" applyFill="1" applyBorder="1" applyAlignment="1" applyProtection="1">
      <alignment horizontal="center" vertical="center" wrapText="1"/>
    </xf>
    <xf numFmtId="0" fontId="19" fillId="0" borderId="15" xfId="0" applyFont="1" applyFill="1" applyBorder="1" applyAlignment="1" applyProtection="1">
      <alignment horizontal="center" vertical="top"/>
    </xf>
    <xf numFmtId="1" fontId="10" fillId="3" borderId="8" xfId="0" applyNumberFormat="1" applyFont="1" applyFill="1" applyBorder="1" applyAlignment="1" applyProtection="1">
      <alignment horizontal="center" vertical="center"/>
      <protection locked="0"/>
    </xf>
    <xf numFmtId="1" fontId="10" fillId="0" borderId="8" xfId="0" applyNumberFormat="1" applyFont="1" applyFill="1" applyBorder="1" applyAlignment="1" applyProtection="1">
      <alignment horizontal="center" vertical="center"/>
      <protection locked="0"/>
    </xf>
    <xf numFmtId="181" fontId="15" fillId="3" borderId="8" xfId="0" applyNumberFormat="1" applyFont="1" applyFill="1" applyBorder="1" applyAlignment="1" applyProtection="1">
      <alignment horizontal="center" vertical="center"/>
    </xf>
    <xf numFmtId="182" fontId="15" fillId="0" borderId="8" xfId="0" applyNumberFormat="1" applyFont="1" applyFill="1" applyBorder="1" applyAlignment="1" applyProtection="1">
      <alignment horizontal="center" vertical="center"/>
      <protection locked="0"/>
    </xf>
    <xf numFmtId="182" fontId="15" fillId="3" borderId="8" xfId="0" applyNumberFormat="1" applyFont="1" applyFill="1" applyBorder="1" applyAlignment="1" applyProtection="1">
      <alignment horizontal="center" vertical="center"/>
    </xf>
    <xf numFmtId="49" fontId="10" fillId="0" borderId="8" xfId="0" applyNumberFormat="1" applyFont="1" applyFill="1" applyBorder="1" applyAlignment="1" applyProtection="1">
      <alignment horizontal="left" vertical="center"/>
      <protection locked="0"/>
    </xf>
    <xf numFmtId="0" fontId="19" fillId="0" borderId="0" xfId="0" applyFont="1" applyFill="1" applyAlignment="1" applyProtection="1">
      <alignment horizontal="left" vertical="center"/>
    </xf>
    <xf numFmtId="0" fontId="19" fillId="0" borderId="0" xfId="0" applyFont="1" applyFill="1" applyAlignment="1" applyProtection="1">
      <alignment horizontal="left" vertical="center" shrinkToFit="1"/>
    </xf>
    <xf numFmtId="0" fontId="25" fillId="0" borderId="1" xfId="1" applyFont="1" applyBorder="1" applyAlignment="1">
      <alignment horizontal="center"/>
    </xf>
    <xf numFmtId="183" fontId="11" fillId="0" borderId="7" xfId="1" applyNumberFormat="1" applyFont="1" applyBorder="1" applyAlignment="1">
      <alignment horizontal="center" vertical="center" shrinkToFit="1"/>
    </xf>
    <xf numFmtId="180" fontId="19" fillId="0" borderId="3" xfId="0" applyNumberFormat="1" applyFont="1" applyFill="1" applyBorder="1" applyAlignment="1" applyProtection="1">
      <alignment horizontal="center"/>
      <protection locked="0"/>
    </xf>
    <xf numFmtId="0" fontId="20" fillId="0" borderId="3" xfId="0" applyFont="1" applyFill="1" applyBorder="1" applyAlignment="1" applyProtection="1">
      <alignment horizontal="right"/>
    </xf>
    <xf numFmtId="0" fontId="19" fillId="3" borderId="4" xfId="0" applyFont="1" applyFill="1" applyBorder="1" applyAlignment="1" applyProtection="1">
      <alignment horizontal="right"/>
      <protection locked="0"/>
    </xf>
    <xf numFmtId="0" fontId="19" fillId="0" borderId="0" xfId="0" applyFont="1" applyFill="1" applyAlignment="1" applyProtection="1">
      <alignment horizontal="right" shrinkToFit="1"/>
    </xf>
    <xf numFmtId="0" fontId="19" fillId="3" borderId="3" xfId="0" applyFont="1" applyFill="1" applyBorder="1" applyAlignment="1" applyProtection="1">
      <alignment horizontal="left"/>
      <protection locked="0"/>
    </xf>
    <xf numFmtId="0" fontId="19" fillId="3" borderId="4" xfId="0" applyFont="1" applyFill="1" applyBorder="1" applyAlignment="1" applyProtection="1">
      <alignment horizontal="left"/>
      <protection locked="0"/>
    </xf>
    <xf numFmtId="0" fontId="19" fillId="3" borderId="3" xfId="0" applyFont="1" applyFill="1" applyBorder="1" applyAlignment="1" applyProtection="1">
      <alignment horizontal="right"/>
      <protection locked="0"/>
    </xf>
    <xf numFmtId="0" fontId="26" fillId="0" borderId="3" xfId="0" applyFont="1" applyFill="1" applyBorder="1" applyAlignment="1" applyProtection="1">
      <alignment horizontal="center"/>
    </xf>
    <xf numFmtId="0" fontId="10" fillId="0" borderId="7" xfId="4" applyBorder="1" applyAlignment="1">
      <alignment vertical="center" shrinkToFit="1"/>
    </xf>
    <xf numFmtId="0" fontId="10" fillId="0" borderId="7" xfId="6" applyFont="1" applyBorder="1" applyAlignment="1">
      <alignment vertical="center" shrinkToFit="1"/>
    </xf>
    <xf numFmtId="0" fontId="10" fillId="0" borderId="8" xfId="4" applyBorder="1" applyAlignment="1">
      <alignment vertical="center" shrinkToFit="1"/>
    </xf>
    <xf numFmtId="0" fontId="10" fillId="0" borderId="8" xfId="5" applyBorder="1" applyAlignment="1">
      <alignment horizontal="left" vertical="center" shrinkToFit="1"/>
    </xf>
    <xf numFmtId="183" fontId="11" fillId="0" borderId="8" xfId="5" applyNumberFormat="1" applyFont="1" applyBorder="1" applyAlignment="1">
      <alignment horizontal="center" vertical="center" shrinkToFit="1"/>
    </xf>
    <xf numFmtId="181" fontId="15" fillId="0" borderId="17" xfId="0" applyNumberFormat="1" applyFont="1" applyFill="1" applyBorder="1" applyAlignment="1" applyProtection="1">
      <alignment horizontal="center" vertical="center"/>
      <protection locked="0"/>
    </xf>
    <xf numFmtId="1" fontId="10" fillId="0" borderId="7" xfId="0" applyNumberFormat="1" applyFont="1" applyFill="1" applyBorder="1" applyAlignment="1" applyProtection="1">
      <alignment horizontal="left" vertical="center" shrinkToFit="1"/>
      <protection locked="0"/>
    </xf>
    <xf numFmtId="0" fontId="10" fillId="0" borderId="8" xfId="6" applyFont="1" applyBorder="1" applyAlignment="1">
      <alignment vertical="center" shrinkToFit="1"/>
    </xf>
    <xf numFmtId="181" fontId="10" fillId="0" borderId="8" xfId="0" applyNumberFormat="1" applyFont="1" applyFill="1" applyBorder="1" applyAlignment="1" applyProtection="1">
      <alignment horizontal="center" vertical="center"/>
      <protection locked="0"/>
    </xf>
    <xf numFmtId="0" fontId="10" fillId="5" borderId="8" xfId="4" applyFill="1" applyBorder="1" applyAlignment="1">
      <alignment vertical="center" shrinkToFit="1"/>
    </xf>
    <xf numFmtId="0" fontId="10" fillId="5" borderId="8" xfId="6" applyFont="1" applyFill="1" applyBorder="1" applyAlignment="1">
      <alignment vertical="center" shrinkToFit="1"/>
    </xf>
    <xf numFmtId="0" fontId="10" fillId="5" borderId="8" xfId="8" applyFont="1" applyFill="1" applyBorder="1" applyAlignment="1">
      <alignment vertical="center" shrinkToFit="1"/>
    </xf>
    <xf numFmtId="0" fontId="10" fillId="5" borderId="8" xfId="5" applyFill="1" applyBorder="1" applyAlignment="1">
      <alignment horizontal="left" vertical="center" shrinkToFit="1"/>
    </xf>
    <xf numFmtId="0" fontId="28" fillId="5" borderId="8" xfId="5" applyFont="1" applyFill="1" applyBorder="1" applyAlignment="1">
      <alignment horizontal="left" vertical="center" shrinkToFit="1"/>
    </xf>
    <xf numFmtId="0" fontId="28" fillId="5" borderId="8" xfId="8" applyFont="1" applyFill="1" applyBorder="1" applyAlignment="1">
      <alignment vertical="center" shrinkToFit="1"/>
    </xf>
    <xf numFmtId="0" fontId="28" fillId="5" borderId="7" xfId="4" applyFont="1" applyFill="1" applyBorder="1" applyAlignment="1">
      <alignment vertical="center" shrinkToFit="1"/>
    </xf>
    <xf numFmtId="0" fontId="30" fillId="5" borderId="8" xfId="1" applyFont="1" applyFill="1" applyBorder="1" applyAlignment="1">
      <alignment horizontal="left" vertical="center"/>
    </xf>
    <xf numFmtId="0" fontId="30" fillId="5" borderId="8" xfId="4" applyFont="1" applyFill="1" applyBorder="1" applyAlignment="1">
      <alignment horizontal="left" vertical="center" shrinkToFit="1"/>
    </xf>
    <xf numFmtId="0" fontId="30" fillId="5" borderId="7" xfId="4" applyFont="1" applyFill="1" applyBorder="1" applyAlignment="1">
      <alignment horizontal="left" vertical="center" shrinkToFit="1"/>
    </xf>
    <xf numFmtId="0" fontId="28" fillId="5" borderId="7" xfId="5" applyFont="1" applyFill="1" applyBorder="1" applyAlignment="1">
      <alignment horizontal="left" vertical="center" shrinkToFit="1"/>
    </xf>
    <xf numFmtId="0" fontId="10" fillId="5" borderId="7" xfId="8" applyFont="1" applyFill="1" applyBorder="1" applyAlignment="1">
      <alignment vertical="center" shrinkToFit="1"/>
    </xf>
    <xf numFmtId="0" fontId="10" fillId="5" borderId="7" xfId="5" applyFill="1" applyBorder="1" applyAlignment="1">
      <alignment horizontal="left" vertical="center" shrinkToFit="1"/>
    </xf>
    <xf numFmtId="0" fontId="10" fillId="5" borderId="7" xfId="4" applyFill="1" applyBorder="1" applyAlignment="1">
      <alignment vertical="center" shrinkToFit="1"/>
    </xf>
    <xf numFmtId="0" fontId="28" fillId="5" borderId="7" xfId="13" applyFont="1" applyFill="1" applyBorder="1" applyAlignment="1">
      <alignment vertical="center" shrinkToFit="1"/>
    </xf>
    <xf numFmtId="0" fontId="10" fillId="5" borderId="18" xfId="5" applyFill="1" applyBorder="1" applyAlignment="1">
      <alignment horizontal="left" vertical="center" shrinkToFit="1"/>
    </xf>
    <xf numFmtId="0" fontId="10" fillId="5" borderId="6" xfId="5" applyFill="1" applyBorder="1" applyAlignment="1">
      <alignment horizontal="left" vertical="center" shrinkToFit="1"/>
    </xf>
    <xf numFmtId="0" fontId="9" fillId="5" borderId="8" xfId="4" applyFont="1" applyFill="1" applyBorder="1" applyAlignment="1">
      <alignment vertical="center" shrinkToFit="1"/>
    </xf>
    <xf numFmtId="0" fontId="34" fillId="0" borderId="0" xfId="0" applyFont="1" applyFill="1" applyProtection="1">
      <alignment vertical="center"/>
    </xf>
    <xf numFmtId="0" fontId="34" fillId="0" borderId="0" xfId="0" applyFont="1" applyFill="1" applyAlignment="1" applyProtection="1">
      <alignment horizontal="center" vertical="center"/>
    </xf>
    <xf numFmtId="0" fontId="34" fillId="0" borderId="0" xfId="0" applyFont="1" applyFill="1" applyAlignment="1" applyProtection="1">
      <alignment horizontal="right" vertical="center"/>
    </xf>
    <xf numFmtId="0" fontId="34" fillId="0" borderId="0" xfId="0" applyFont="1" applyFill="1" applyAlignment="1" applyProtection="1">
      <alignment horizontal="left" vertical="center"/>
    </xf>
    <xf numFmtId="20" fontId="34" fillId="0" borderId="0" xfId="0" applyNumberFormat="1" applyFont="1" applyFill="1" applyProtection="1">
      <alignment vertical="center"/>
    </xf>
    <xf numFmtId="0" fontId="35" fillId="0" borderId="0" xfId="0" applyFont="1" applyFill="1" applyAlignment="1" applyProtection="1">
      <alignment horizontal="center" vertical="center"/>
    </xf>
    <xf numFmtId="0" fontId="10" fillId="0" borderId="7" xfId="0" applyFont="1" applyFill="1" applyBorder="1" applyAlignment="1" applyProtection="1">
      <alignment horizontal="left" vertical="center" shrinkToFit="1"/>
      <protection locked="0"/>
    </xf>
    <xf numFmtId="0" fontId="28" fillId="5" borderId="8" xfId="4" applyFont="1" applyFill="1" applyBorder="1" applyAlignment="1">
      <alignment vertical="center" shrinkToFit="1"/>
    </xf>
    <xf numFmtId="0" fontId="33" fillId="5" borderId="8" xfId="4" applyFont="1" applyFill="1" applyBorder="1" applyAlignment="1">
      <alignment vertical="center" shrinkToFit="1"/>
    </xf>
    <xf numFmtId="0" fontId="10" fillId="5" borderId="8" xfId="0" applyFont="1" applyFill="1" applyBorder="1" applyAlignment="1">
      <alignment vertical="center" shrinkToFit="1"/>
    </xf>
    <xf numFmtId="20" fontId="34" fillId="0" borderId="0" xfId="0" applyNumberFormat="1" applyFont="1" applyFill="1" applyAlignment="1" applyProtection="1">
      <alignment horizontal="center" vertical="center"/>
    </xf>
    <xf numFmtId="0" fontId="34" fillId="0" borderId="0" xfId="0" applyFont="1" applyFill="1" applyAlignment="1" applyProtection="1">
      <alignment vertical="center" shrinkToFit="1"/>
    </xf>
    <xf numFmtId="0" fontId="38" fillId="0" borderId="0" xfId="1" applyFont="1" applyAlignment="1">
      <alignment horizontal="right"/>
    </xf>
    <xf numFmtId="1" fontId="10" fillId="5" borderId="7" xfId="0" applyNumberFormat="1" applyFont="1" applyFill="1" applyBorder="1" applyAlignment="1" applyProtection="1">
      <alignment horizontal="left" vertical="center" shrinkToFit="1"/>
      <protection locked="0"/>
    </xf>
    <xf numFmtId="1" fontId="10" fillId="5" borderId="8" xfId="0" applyNumberFormat="1" applyFont="1" applyFill="1" applyBorder="1" applyAlignment="1" applyProtection="1">
      <alignment horizontal="left" vertical="center" shrinkToFit="1"/>
      <protection locked="0"/>
    </xf>
    <xf numFmtId="0" fontId="21" fillId="0" borderId="1" xfId="0" applyFont="1" applyFill="1" applyBorder="1" applyAlignment="1" applyProtection="1">
      <alignment horizontal="left"/>
    </xf>
    <xf numFmtId="0" fontId="19" fillId="0" borderId="1" xfId="0" applyFont="1" applyFill="1" applyBorder="1" applyAlignment="1" applyProtection="1"/>
    <xf numFmtId="0" fontId="10" fillId="5" borderId="8" xfId="0" applyFont="1" applyFill="1" applyBorder="1" applyAlignment="1" applyProtection="1">
      <alignment horizontal="left" vertical="center" shrinkToFit="1"/>
      <protection locked="0"/>
    </xf>
    <xf numFmtId="1" fontId="10" fillId="5" borderId="18" xfId="0" applyNumberFormat="1" applyFont="1" applyFill="1" applyBorder="1" applyAlignment="1" applyProtection="1">
      <alignment horizontal="left" vertical="center" shrinkToFit="1"/>
      <protection locked="0"/>
    </xf>
    <xf numFmtId="0" fontId="10" fillId="5" borderId="7" xfId="0" applyFont="1" applyFill="1" applyBorder="1" applyAlignment="1" applyProtection="1">
      <alignment horizontal="left" vertical="center" shrinkToFit="1"/>
      <protection locked="0"/>
    </xf>
    <xf numFmtId="1" fontId="10" fillId="5" borderId="6" xfId="0" applyNumberFormat="1" applyFont="1" applyFill="1" applyBorder="1" applyAlignment="1" applyProtection="1">
      <alignment horizontal="left" vertical="center" shrinkToFit="1"/>
      <protection locked="0"/>
    </xf>
    <xf numFmtId="0" fontId="11" fillId="5" borderId="8" xfId="5" applyFont="1" applyFill="1" applyBorder="1" applyAlignment="1">
      <alignment horizontal="left" vertical="center" shrinkToFit="1"/>
    </xf>
    <xf numFmtId="0" fontId="11" fillId="5" borderId="8" xfId="6" applyFont="1" applyFill="1" applyBorder="1" applyAlignment="1">
      <alignment vertical="center" shrinkToFit="1"/>
    </xf>
    <xf numFmtId="1" fontId="10" fillId="5" borderId="17" xfId="0" applyNumberFormat="1" applyFont="1" applyFill="1" applyBorder="1" applyAlignment="1" applyProtection="1">
      <alignment horizontal="left" vertical="center" shrinkToFit="1"/>
      <protection locked="0"/>
    </xf>
    <xf numFmtId="42" fontId="34" fillId="0" borderId="0" xfId="0" applyNumberFormat="1" applyFont="1" applyFill="1" applyProtection="1">
      <alignment vertical="center"/>
    </xf>
    <xf numFmtId="42" fontId="34" fillId="0" borderId="0" xfId="0" applyNumberFormat="1" applyFont="1" applyFill="1" applyAlignment="1" applyProtection="1">
      <alignment horizontal="left" vertical="center"/>
    </xf>
    <xf numFmtId="0" fontId="28" fillId="5" borderId="7" xfId="8" applyFont="1" applyFill="1" applyBorder="1" applyAlignment="1">
      <alignment vertical="center" shrinkToFit="1"/>
    </xf>
    <xf numFmtId="14" fontId="19" fillId="0" borderId="3" xfId="0" applyNumberFormat="1" applyFont="1" applyFill="1" applyBorder="1" applyAlignment="1" applyProtection="1"/>
    <xf numFmtId="0" fontId="30" fillId="5" borderId="7" xfId="1" applyFont="1" applyFill="1" applyBorder="1" applyAlignment="1">
      <alignment horizontal="left" vertical="center" shrinkToFit="1"/>
    </xf>
    <xf numFmtId="0" fontId="28" fillId="5" borderId="21" xfId="5" applyFont="1" applyFill="1" applyBorder="1" applyAlignment="1">
      <alignment horizontal="left" vertical="center" shrinkToFit="1"/>
    </xf>
    <xf numFmtId="0" fontId="11" fillId="5" borderId="8" xfId="4" applyFont="1" applyFill="1" applyBorder="1" applyAlignment="1">
      <alignment vertical="center" shrinkToFit="1"/>
    </xf>
    <xf numFmtId="0" fontId="28" fillId="5" borderId="17" xfId="4" applyFont="1" applyFill="1" applyBorder="1" applyAlignment="1">
      <alignment vertical="center" shrinkToFit="1"/>
    </xf>
    <xf numFmtId="0" fontId="30" fillId="5" borderId="19" xfId="4" applyFont="1" applyFill="1" applyBorder="1" applyAlignment="1">
      <alignment horizontal="left" vertical="center" shrinkToFit="1"/>
    </xf>
    <xf numFmtId="0" fontId="10" fillId="5" borderId="17" xfId="6" applyFont="1" applyFill="1" applyBorder="1" applyAlignment="1">
      <alignment vertical="center" shrinkToFit="1"/>
    </xf>
    <xf numFmtId="0" fontId="10" fillId="5" borderId="7" xfId="0" applyFont="1" applyFill="1" applyBorder="1" applyAlignment="1">
      <alignment vertical="center" shrinkToFit="1"/>
    </xf>
    <xf numFmtId="0" fontId="10" fillId="5" borderId="17" xfId="0" applyFont="1" applyFill="1" applyBorder="1" applyAlignment="1" applyProtection="1">
      <alignment horizontal="left" vertical="center" shrinkToFit="1"/>
      <protection locked="0"/>
    </xf>
    <xf numFmtId="1" fontId="10" fillId="0" borderId="6" xfId="0" applyNumberFormat="1" applyFont="1" applyFill="1" applyBorder="1" applyAlignment="1" applyProtection="1">
      <alignment horizontal="left" vertical="center" shrinkToFit="1"/>
      <protection locked="0"/>
    </xf>
    <xf numFmtId="0" fontId="10" fillId="0" borderId="7" xfId="5" applyBorder="1" applyAlignment="1">
      <alignment horizontal="left" vertical="center" shrinkToFit="1"/>
    </xf>
    <xf numFmtId="0" fontId="10" fillId="0" borderId="8" xfId="8" applyFont="1" applyFill="1" applyBorder="1" applyAlignment="1">
      <alignment vertical="center" shrinkToFit="1"/>
    </xf>
    <xf numFmtId="1" fontId="10" fillId="7" borderId="8" xfId="0" applyNumberFormat="1" applyFont="1" applyFill="1" applyBorder="1" applyAlignment="1" applyProtection="1">
      <alignment horizontal="left" vertical="center" shrinkToFit="1"/>
      <protection locked="0"/>
    </xf>
    <xf numFmtId="0" fontId="10" fillId="7" borderId="7" xfId="5" applyFill="1" applyBorder="1" applyAlignment="1">
      <alignment horizontal="left" vertical="center" shrinkToFit="1"/>
    </xf>
    <xf numFmtId="0" fontId="10" fillId="8" borderId="7" xfId="5" applyFill="1" applyBorder="1" applyAlignment="1">
      <alignment horizontal="left" vertical="center" shrinkToFit="1"/>
    </xf>
    <xf numFmtId="1" fontId="10" fillId="10" borderId="7" xfId="0" applyNumberFormat="1" applyFont="1" applyFill="1" applyBorder="1" applyAlignment="1" applyProtection="1">
      <alignment horizontal="left" vertical="center" shrinkToFit="1"/>
      <protection locked="0"/>
    </xf>
    <xf numFmtId="1" fontId="10" fillId="9" borderId="7" xfId="0" applyNumberFormat="1" applyFont="1" applyFill="1" applyBorder="1" applyAlignment="1" applyProtection="1">
      <alignment horizontal="left" vertical="center" shrinkToFit="1"/>
      <protection locked="0"/>
    </xf>
    <xf numFmtId="0" fontId="10" fillId="9" borderId="7" xfId="5" applyFill="1" applyBorder="1" applyAlignment="1">
      <alignment horizontal="left" vertical="center" shrinkToFit="1"/>
    </xf>
    <xf numFmtId="0" fontId="10" fillId="6" borderId="8" xfId="5" applyFill="1" applyBorder="1" applyAlignment="1">
      <alignment horizontal="left" vertical="center" shrinkToFit="1"/>
    </xf>
    <xf numFmtId="0" fontId="10" fillId="12" borderId="8" xfId="5" applyFill="1" applyBorder="1" applyAlignment="1">
      <alignment horizontal="left" vertical="center" shrinkToFit="1"/>
    </xf>
    <xf numFmtId="0" fontId="10" fillId="11" borderId="7" xfId="5" applyFill="1" applyBorder="1" applyAlignment="1">
      <alignment horizontal="left" vertical="center" shrinkToFit="1"/>
    </xf>
    <xf numFmtId="1" fontId="10" fillId="13" borderId="7" xfId="0" applyNumberFormat="1" applyFont="1" applyFill="1" applyBorder="1" applyAlignment="1" applyProtection="1">
      <alignment horizontal="left" vertical="center" shrinkToFit="1"/>
      <protection locked="0"/>
    </xf>
    <xf numFmtId="1" fontId="10" fillId="8" borderId="8" xfId="0" applyNumberFormat="1" applyFont="1" applyFill="1" applyBorder="1" applyAlignment="1" applyProtection="1">
      <alignment horizontal="left" vertical="center" shrinkToFit="1"/>
      <protection locked="0"/>
    </xf>
    <xf numFmtId="0" fontId="10" fillId="13" borderId="6" xfId="5" applyFill="1" applyBorder="1" applyAlignment="1">
      <alignment horizontal="left" vertical="center" shrinkToFit="1"/>
    </xf>
    <xf numFmtId="0" fontId="10" fillId="11" borderId="8" xfId="5" applyFill="1" applyBorder="1" applyAlignment="1">
      <alignment horizontal="left" vertical="center" shrinkToFit="1"/>
    </xf>
    <xf numFmtId="1" fontId="10" fillId="14" borderId="7" xfId="0" applyNumberFormat="1" applyFont="1" applyFill="1" applyBorder="1" applyAlignment="1" applyProtection="1">
      <alignment horizontal="left" vertical="center" shrinkToFit="1"/>
      <protection locked="0"/>
    </xf>
    <xf numFmtId="0" fontId="10" fillId="14" borderId="8" xfId="4" applyFill="1" applyBorder="1" applyAlignment="1">
      <alignment vertical="center" shrinkToFit="1"/>
    </xf>
    <xf numFmtId="1" fontId="10" fillId="14" borderId="8" xfId="0" applyNumberFormat="1" applyFont="1" applyFill="1" applyBorder="1" applyAlignment="1" applyProtection="1">
      <alignment horizontal="left" vertical="center" shrinkToFit="1"/>
      <protection locked="0"/>
    </xf>
    <xf numFmtId="0" fontId="10" fillId="14" borderId="7" xfId="4" applyFill="1" applyBorder="1" applyAlignment="1">
      <alignment vertical="center" shrinkToFit="1"/>
    </xf>
    <xf numFmtId="0" fontId="10" fillId="6" borderId="6" xfId="5" applyFill="1" applyBorder="1" applyAlignment="1">
      <alignment horizontal="left" vertical="center" shrinkToFit="1"/>
    </xf>
    <xf numFmtId="0" fontId="28" fillId="8" borderId="8" xfId="5" applyFont="1" applyFill="1" applyBorder="1" applyAlignment="1">
      <alignment horizontal="left" vertical="center" shrinkToFit="1"/>
    </xf>
    <xf numFmtId="1" fontId="10" fillId="6" borderId="8" xfId="0" applyNumberFormat="1" applyFont="1" applyFill="1" applyBorder="1" applyAlignment="1" applyProtection="1">
      <alignment horizontal="left" vertical="center" shrinkToFit="1"/>
      <protection locked="0"/>
    </xf>
    <xf numFmtId="0" fontId="28" fillId="6" borderId="8" xfId="4" applyFont="1" applyFill="1" applyBorder="1" applyAlignment="1">
      <alignment vertical="center" shrinkToFit="1"/>
    </xf>
    <xf numFmtId="0" fontId="30" fillId="10" borderId="8" xfId="4" applyFont="1" applyFill="1" applyBorder="1" applyAlignment="1">
      <alignment horizontal="left" vertical="center" shrinkToFit="1"/>
    </xf>
    <xf numFmtId="0" fontId="10" fillId="10" borderId="8" xfId="4" applyFill="1" applyBorder="1" applyAlignment="1">
      <alignment vertical="center" shrinkToFit="1"/>
    </xf>
    <xf numFmtId="0" fontId="10" fillId="8" borderId="8" xfId="5" applyFill="1" applyBorder="1" applyAlignment="1">
      <alignment horizontal="left" vertical="center" shrinkToFit="1"/>
    </xf>
    <xf numFmtId="0" fontId="19" fillId="5" borderId="8" xfId="0" applyFont="1" applyFill="1" applyBorder="1" applyAlignment="1" applyProtection="1">
      <alignment horizontal="left" vertical="center" shrinkToFit="1"/>
    </xf>
    <xf numFmtId="0" fontId="28" fillId="5" borderId="8" xfId="13" applyFont="1" applyFill="1" applyBorder="1" applyAlignment="1">
      <alignment vertical="center" shrinkToFit="1"/>
    </xf>
    <xf numFmtId="0" fontId="28" fillId="5" borderId="6" xfId="5" applyFont="1" applyFill="1" applyBorder="1" applyAlignment="1">
      <alignment horizontal="left" vertical="center" shrinkToFit="1"/>
    </xf>
    <xf numFmtId="0" fontId="28" fillId="5" borderId="18" xfId="8" applyFont="1" applyFill="1" applyBorder="1" applyAlignment="1">
      <alignment vertical="center" shrinkToFit="1"/>
    </xf>
    <xf numFmtId="0" fontId="30" fillId="5" borderId="17" xfId="1" applyFont="1" applyFill="1" applyBorder="1" applyAlignment="1">
      <alignment horizontal="left" vertical="center"/>
    </xf>
    <xf numFmtId="0" fontId="10" fillId="7" borderId="8" xfId="5" applyFill="1" applyBorder="1" applyAlignment="1">
      <alignment horizontal="left" vertical="center" shrinkToFit="1"/>
    </xf>
    <xf numFmtId="1" fontId="10" fillId="10" borderId="6" xfId="0" applyNumberFormat="1" applyFont="1" applyFill="1" applyBorder="1" applyAlignment="1" applyProtection="1">
      <alignment horizontal="left" vertical="center" shrinkToFit="1"/>
      <protection locked="0"/>
    </xf>
    <xf numFmtId="0" fontId="19" fillId="3" borderId="4" xfId="0" applyFont="1" applyFill="1" applyBorder="1" applyAlignment="1" applyProtection="1">
      <alignment horizontal="right"/>
    </xf>
    <xf numFmtId="0" fontId="19" fillId="0" borderId="15" xfId="0" applyFont="1" applyFill="1" applyBorder="1" applyAlignment="1" applyProtection="1">
      <alignment horizontal="center" vertical="center" shrinkToFit="1"/>
    </xf>
    <xf numFmtId="0" fontId="10" fillId="0" borderId="8" xfId="0" applyFont="1" applyFill="1" applyBorder="1" applyAlignment="1" applyProtection="1">
      <alignment horizontal="center" vertical="center" shrinkToFit="1"/>
      <protection locked="0"/>
    </xf>
    <xf numFmtId="0" fontId="10" fillId="0" borderId="8" xfId="4" applyBorder="1" applyAlignment="1">
      <alignment horizontal="center" vertical="center" shrinkToFit="1"/>
    </xf>
    <xf numFmtId="0" fontId="28" fillId="0" borderId="8" xfId="4" applyFont="1" applyBorder="1" applyAlignment="1">
      <alignment horizontal="center" vertical="center" shrinkToFit="1"/>
    </xf>
    <xf numFmtId="0" fontId="11" fillId="0" borderId="8" xfId="0" applyFont="1" applyFill="1" applyBorder="1" applyAlignment="1" applyProtection="1">
      <alignment horizontal="center" vertical="center" shrinkToFit="1"/>
      <protection locked="0"/>
    </xf>
    <xf numFmtId="0" fontId="19" fillId="0" borderId="4" xfId="0" applyFont="1" applyFill="1" applyBorder="1" applyAlignment="1" applyProtection="1">
      <alignment horizontal="left"/>
    </xf>
    <xf numFmtId="0" fontId="10" fillId="0" borderId="8" xfId="5" applyBorder="1" applyAlignment="1">
      <alignment horizontal="center" vertical="center" shrinkToFit="1"/>
    </xf>
    <xf numFmtId="0" fontId="10" fillId="5" borderId="8" xfId="0" applyFont="1" applyFill="1" applyBorder="1" applyAlignment="1" applyProtection="1">
      <alignment horizontal="center" vertical="center" shrinkToFit="1"/>
      <protection locked="0"/>
    </xf>
    <xf numFmtId="0" fontId="28" fillId="5" borderId="8" xfId="4" applyFont="1" applyFill="1" applyBorder="1" applyAlignment="1">
      <alignment horizontal="center" vertical="center" shrinkToFit="1"/>
    </xf>
    <xf numFmtId="0" fontId="11" fillId="5" borderId="7" xfId="0" applyFont="1" applyFill="1" applyBorder="1" applyAlignment="1" applyProtection="1">
      <alignment horizontal="center" vertical="center" shrinkToFit="1"/>
      <protection locked="0"/>
    </xf>
    <xf numFmtId="0" fontId="10" fillId="5" borderId="8" xfId="5" applyFill="1" applyBorder="1" applyAlignment="1">
      <alignment horizontal="center" vertical="center" shrinkToFit="1"/>
    </xf>
    <xf numFmtId="0" fontId="10" fillId="5" borderId="8" xfId="4" applyFill="1" applyBorder="1" applyAlignment="1">
      <alignment horizontal="center" vertical="center" shrinkToFit="1"/>
    </xf>
    <xf numFmtId="0" fontId="30" fillId="5" borderId="8" xfId="4" applyFont="1" applyFill="1" applyBorder="1" applyAlignment="1">
      <alignment horizontal="center" vertical="center" shrinkToFit="1"/>
    </xf>
    <xf numFmtId="0" fontId="10" fillId="5" borderId="7" xfId="0" applyFont="1" applyFill="1" applyBorder="1" applyAlignment="1" applyProtection="1">
      <alignment horizontal="center" vertical="center" shrinkToFit="1"/>
      <protection locked="0"/>
    </xf>
    <xf numFmtId="0" fontId="11" fillId="5" borderId="8" xfId="0" applyFont="1" applyFill="1" applyBorder="1" applyAlignment="1" applyProtection="1">
      <alignment horizontal="center" vertical="center" shrinkToFit="1"/>
      <protection locked="0"/>
    </xf>
    <xf numFmtId="0" fontId="20" fillId="0" borderId="3" xfId="0" applyFont="1" applyFill="1" applyBorder="1" applyAlignment="1" applyProtection="1">
      <alignment horizontal="left"/>
    </xf>
    <xf numFmtId="0" fontId="15" fillId="5" borderId="7" xfId="0" applyFont="1" applyFill="1" applyBorder="1" applyAlignment="1" applyProtection="1">
      <alignment horizontal="center" vertical="center" shrinkToFit="1"/>
      <protection locked="0"/>
    </xf>
    <xf numFmtId="0" fontId="28" fillId="5" borderId="8" xfId="5" applyFont="1" applyFill="1" applyBorder="1" applyAlignment="1">
      <alignment horizontal="center" vertical="center" shrinkToFit="1"/>
    </xf>
    <xf numFmtId="0" fontId="15" fillId="5" borderId="8" xfId="0" applyFont="1" applyFill="1" applyBorder="1" applyAlignment="1" applyProtection="1">
      <alignment horizontal="center" vertical="center" shrinkToFit="1"/>
      <protection locked="0"/>
    </xf>
    <xf numFmtId="0" fontId="15" fillId="0" borderId="8" xfId="0" applyFont="1" applyFill="1" applyBorder="1" applyAlignment="1" applyProtection="1">
      <alignment horizontal="center" vertical="center" shrinkToFit="1"/>
      <protection locked="0"/>
    </xf>
    <xf numFmtId="0" fontId="28" fillId="5" borderId="17" xfId="4" applyFont="1" applyFill="1" applyBorder="1" applyAlignment="1">
      <alignment horizontal="center" vertical="center" shrinkToFit="1"/>
    </xf>
    <xf numFmtId="0" fontId="10" fillId="5" borderId="7" xfId="5" applyFill="1" applyBorder="1" applyAlignment="1">
      <alignment horizontal="center" vertical="center" shrinkToFit="1"/>
    </xf>
    <xf numFmtId="0" fontId="10" fillId="0" borderId="7" xfId="0" applyFont="1" applyFill="1" applyBorder="1" applyAlignment="1" applyProtection="1">
      <alignment horizontal="center" vertical="center" shrinkToFit="1"/>
      <protection locked="0"/>
    </xf>
    <xf numFmtId="0" fontId="10" fillId="0" borderId="7" xfId="4" applyBorder="1" applyAlignment="1">
      <alignment horizontal="center" vertical="center" shrinkToFit="1"/>
    </xf>
    <xf numFmtId="0" fontId="10" fillId="0" borderId="7" xfId="5" applyBorder="1" applyAlignment="1">
      <alignment horizontal="center" vertical="center" shrinkToFit="1"/>
    </xf>
    <xf numFmtId="0" fontId="30" fillId="5" borderId="19" xfId="4" applyFont="1" applyFill="1" applyBorder="1" applyAlignment="1">
      <alignment horizontal="center" vertical="center" shrinkToFit="1"/>
    </xf>
    <xf numFmtId="0" fontId="28" fillId="5" borderId="7" xfId="4" applyFont="1" applyFill="1" applyBorder="1" applyAlignment="1">
      <alignment horizontal="center" vertical="center" shrinkToFit="1"/>
    </xf>
    <xf numFmtId="0" fontId="10" fillId="5" borderId="7" xfId="4" applyFill="1" applyBorder="1" applyAlignment="1">
      <alignment horizontal="center" vertical="center" shrinkToFit="1"/>
    </xf>
    <xf numFmtId="0" fontId="30" fillId="5" borderId="7" xfId="4" applyFont="1" applyFill="1" applyBorder="1" applyAlignment="1">
      <alignment horizontal="center" vertical="center" shrinkToFit="1"/>
    </xf>
    <xf numFmtId="0" fontId="30" fillId="5" borderId="8" xfId="1" applyFont="1" applyFill="1" applyBorder="1" applyAlignment="1">
      <alignment horizontal="center" vertical="center"/>
    </xf>
    <xf numFmtId="0" fontId="28" fillId="5" borderId="17" xfId="5" applyFont="1" applyFill="1" applyBorder="1" applyAlignment="1">
      <alignment horizontal="center" vertical="center" shrinkToFit="1"/>
    </xf>
    <xf numFmtId="0" fontId="10" fillId="5" borderId="17" xfId="5" applyFill="1" applyBorder="1" applyAlignment="1">
      <alignment horizontal="center" vertical="center" shrinkToFit="1"/>
    </xf>
    <xf numFmtId="0" fontId="28" fillId="5" borderId="7" xfId="5" applyFont="1" applyFill="1" applyBorder="1" applyAlignment="1">
      <alignment horizontal="center" vertical="center" shrinkToFit="1"/>
    </xf>
    <xf numFmtId="0" fontId="26" fillId="0" borderId="3" xfId="0" applyFont="1" applyFill="1" applyBorder="1" applyAlignment="1" applyProtection="1">
      <alignment horizontal="left"/>
    </xf>
    <xf numFmtId="0" fontId="11" fillId="5" borderId="8" xfId="4" applyFont="1" applyFill="1" applyBorder="1" applyAlignment="1">
      <alignment horizontal="center" vertical="center" shrinkToFit="1"/>
    </xf>
    <xf numFmtId="0" fontId="30" fillId="5" borderId="7" xfId="1" applyFont="1" applyFill="1" applyBorder="1" applyAlignment="1">
      <alignment horizontal="center" vertical="center" shrinkToFit="1"/>
    </xf>
    <xf numFmtId="0" fontId="11" fillId="5" borderId="8" xfId="5" applyFont="1" applyFill="1" applyBorder="1" applyAlignment="1">
      <alignment horizontal="center" vertical="center" shrinkToFit="1"/>
    </xf>
    <xf numFmtId="0" fontId="15" fillId="5" borderId="6" xfId="0" applyFont="1" applyFill="1" applyBorder="1" applyAlignment="1" applyProtection="1">
      <alignment horizontal="center" vertical="center" shrinkToFit="1"/>
      <protection locked="0"/>
    </xf>
    <xf numFmtId="0" fontId="30" fillId="5" borderId="7" xfId="1" applyFont="1" applyFill="1" applyBorder="1" applyAlignment="1">
      <alignment horizontal="center" vertical="center"/>
    </xf>
    <xf numFmtId="0" fontId="10" fillId="5" borderId="7" xfId="1" applyFill="1" applyBorder="1" applyAlignment="1">
      <alignment horizontal="center" vertical="center" shrinkToFit="1"/>
    </xf>
    <xf numFmtId="0" fontId="10" fillId="5" borderId="8" xfId="1" applyFill="1" applyBorder="1" applyAlignment="1">
      <alignment horizontal="center" vertical="center" shrinkToFit="1"/>
    </xf>
    <xf numFmtId="0" fontId="9" fillId="4" borderId="3" xfId="0" applyFont="1" applyFill="1" applyBorder="1" applyAlignment="1" applyProtection="1">
      <alignment horizontal="center"/>
      <protection locked="0"/>
    </xf>
    <xf numFmtId="0" fontId="9" fillId="4" borderId="4" xfId="0" applyFont="1" applyFill="1" applyBorder="1" applyAlignment="1" applyProtection="1">
      <alignment horizontal="center"/>
      <protection locked="0"/>
    </xf>
    <xf numFmtId="0" fontId="11" fillId="0" borderId="6" xfId="1" applyFont="1" applyBorder="1" applyAlignment="1">
      <alignment horizontal="center" vertical="center" shrinkToFit="1"/>
    </xf>
    <xf numFmtId="0" fontId="9" fillId="0" borderId="1" xfId="0" applyFont="1" applyFill="1" applyBorder="1" applyAlignment="1" applyProtection="1">
      <alignment horizontal="center" shrinkToFit="1"/>
    </xf>
    <xf numFmtId="0" fontId="9" fillId="0" borderId="5" xfId="0" applyFont="1" applyFill="1" applyBorder="1" applyAlignment="1" applyProtection="1">
      <alignment horizontal="center"/>
      <protection locked="0"/>
    </xf>
    <xf numFmtId="0" fontId="10" fillId="5" borderId="17" xfId="0" applyFont="1" applyFill="1" applyBorder="1" applyAlignment="1" applyProtection="1">
      <alignment horizontal="center" vertical="center" shrinkToFit="1"/>
      <protection locked="0"/>
    </xf>
    <xf numFmtId="0" fontId="30" fillId="0" borderId="8" xfId="4" applyFont="1" applyBorder="1" applyAlignment="1">
      <alignment horizontal="left" vertical="center" shrinkToFit="1"/>
    </xf>
    <xf numFmtId="0" fontId="19" fillId="0" borderId="8" xfId="0" applyFont="1" applyFill="1" applyBorder="1" applyAlignment="1" applyProtection="1">
      <alignment horizontal="left" vertical="center" shrinkToFit="1"/>
    </xf>
    <xf numFmtId="0" fontId="30" fillId="0" borderId="7" xfId="4" applyFont="1" applyBorder="1" applyAlignment="1">
      <alignment horizontal="left" vertical="center" shrinkToFit="1"/>
    </xf>
    <xf numFmtId="0" fontId="30" fillId="0" borderId="7" xfId="1" applyFont="1" applyBorder="1" applyAlignment="1">
      <alignment horizontal="left" vertical="center" shrinkToFit="1"/>
    </xf>
    <xf numFmtId="0" fontId="30" fillId="0" borderId="7" xfId="1" applyFont="1" applyBorder="1" applyAlignment="1">
      <alignment horizontal="left" vertical="center"/>
    </xf>
    <xf numFmtId="0" fontId="30" fillId="0" borderId="8" xfId="1" applyFont="1" applyBorder="1" applyAlignment="1">
      <alignment horizontal="left" vertical="center"/>
    </xf>
    <xf numFmtId="0" fontId="28" fillId="0" borderId="8" xfId="4" applyFont="1" applyBorder="1" applyAlignment="1">
      <alignment vertical="center" shrinkToFit="1"/>
    </xf>
    <xf numFmtId="0" fontId="11" fillId="0" borderId="8" xfId="4" applyFont="1" applyBorder="1" applyAlignment="1">
      <alignment vertical="center" shrinkToFit="1"/>
    </xf>
    <xf numFmtId="1" fontId="10" fillId="5" borderId="0" xfId="0" applyNumberFormat="1" applyFont="1" applyFill="1" applyAlignment="1" applyProtection="1">
      <alignment horizontal="left" vertical="center" shrinkToFit="1"/>
      <protection locked="0"/>
    </xf>
    <xf numFmtId="0" fontId="10" fillId="5" borderId="0" xfId="0" applyFont="1" applyFill="1" applyAlignment="1" applyProtection="1">
      <alignment horizontal="left" vertical="center" shrinkToFit="1"/>
      <protection locked="0"/>
    </xf>
    <xf numFmtId="1" fontId="10" fillId="0" borderId="20" xfId="0" applyNumberFormat="1" applyFont="1" applyFill="1" applyBorder="1" applyAlignment="1" applyProtection="1">
      <alignment horizontal="left" vertical="center" shrinkToFit="1"/>
      <protection locked="0"/>
    </xf>
    <xf numFmtId="1" fontId="10" fillId="0" borderId="17" xfId="0" applyNumberFormat="1" applyFont="1" applyFill="1" applyBorder="1" applyAlignment="1" applyProtection="1">
      <alignment horizontal="left" vertical="center" shrinkToFit="1"/>
      <protection locked="0"/>
    </xf>
    <xf numFmtId="0" fontId="13" fillId="0" borderId="7" xfId="1" applyFont="1" applyBorder="1" applyAlignment="1">
      <alignment horizontal="center" vertical="center"/>
    </xf>
    <xf numFmtId="0" fontId="13" fillId="0" borderId="7" xfId="1" applyFont="1" applyBorder="1"/>
    <xf numFmtId="0" fontId="24" fillId="0" borderId="1" xfId="0" applyFont="1" applyFill="1" applyBorder="1" applyAlignment="1" applyProtection="1"/>
    <xf numFmtId="0" fontId="11" fillId="0" borderId="2" xfId="1" applyFont="1" applyBorder="1" applyAlignment="1">
      <alignment horizontal="center" vertical="center"/>
    </xf>
    <xf numFmtId="0" fontId="11" fillId="0" borderId="16" xfId="1" applyFont="1" applyBorder="1" applyAlignment="1">
      <alignment horizontal="center" vertical="center"/>
    </xf>
    <xf numFmtId="0" fontId="13" fillId="0" borderId="2" xfId="1" applyFont="1" applyBorder="1" applyAlignment="1">
      <alignment horizontal="center" vertical="center"/>
    </xf>
    <xf numFmtId="0" fontId="10" fillId="0" borderId="16" xfId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0" fillId="0" borderId="5" xfId="1" applyBorder="1"/>
    <xf numFmtId="0" fontId="37" fillId="0" borderId="0" xfId="0" applyFont="1" applyFill="1" applyAlignment="1" applyProtection="1">
      <alignment horizontal="center" vertical="center" shrinkToFit="1"/>
    </xf>
    <xf numFmtId="0" fontId="34" fillId="0" borderId="0" xfId="0" applyFont="1" applyFill="1" applyAlignment="1" applyProtection="1">
      <alignment horizontal="center" vertical="center"/>
    </xf>
    <xf numFmtId="0" fontId="34" fillId="0" borderId="0" xfId="0" applyFont="1" applyFill="1" applyAlignment="1" applyProtection="1">
      <alignment horizontal="center" vertical="center" shrinkToFit="1"/>
    </xf>
    <xf numFmtId="0" fontId="36" fillId="0" borderId="0" xfId="0" applyFont="1" applyFill="1" applyAlignment="1" applyProtection="1">
      <alignment horizontal="center" vertical="center" shrinkToFit="1"/>
    </xf>
  </cellXfs>
  <cellStyles count="27">
    <cellStyle name="標準" xfId="0" builtinId="0"/>
    <cellStyle name="標準 10" xfId="20" xr:uid="{D30DD1D1-584D-45DB-AC28-3C99A3840C83}"/>
    <cellStyle name="標準 11" xfId="23" xr:uid="{62E05CBE-7737-4EB8-B443-95CB53B34A8E}"/>
    <cellStyle name="標準 2" xfId="1" xr:uid="{00000000-0005-0000-0000-000001000000}"/>
    <cellStyle name="標準 2 2" xfId="2" xr:uid="{00000000-0005-0000-0000-000002000000}"/>
    <cellStyle name="標準 2 3" xfId="3" xr:uid="{00000000-0005-0000-0000-000003000000}"/>
    <cellStyle name="標準 2_11spring追加変更精算集計表" xfId="21" xr:uid="{ED2BFCE8-3EA5-4CF6-8EC6-32DF07E7D267}"/>
    <cellStyle name="標準 3" xfId="6" xr:uid="{00000000-0005-0000-0000-000004000000}"/>
    <cellStyle name="標準 3 2" xfId="7" xr:uid="{A9714E64-AE9B-4FCC-805F-8D72D33B1784}"/>
    <cellStyle name="標準 3 2 2" xfId="13" xr:uid="{2380B943-7B5E-47F6-861D-69186A7DD2AE}"/>
    <cellStyle name="標準 3 2 3" xfId="19" xr:uid="{5D0A2B89-E662-4529-A2F4-1D72377302A5}"/>
    <cellStyle name="標準 3 2 4" xfId="26" xr:uid="{F4DD0FA9-03AB-4191-BB48-375EC5910D71}"/>
    <cellStyle name="標準 3 3" xfId="8" xr:uid="{D27EF90E-1777-43E4-88EB-7EA738D09958}"/>
    <cellStyle name="標準 3 4" xfId="12" xr:uid="{DE55D756-98AC-4875-9F1E-97F59300242F}"/>
    <cellStyle name="標準 3 5" xfId="18" xr:uid="{A267E1ED-559E-40EA-9A32-53695A7970CC}"/>
    <cellStyle name="標準 3 6" xfId="25" xr:uid="{436424C1-3AB9-43DF-8DF3-98AB5216E8C0}"/>
    <cellStyle name="標準 4" xfId="9" xr:uid="{D0336590-D5A3-4262-BEE0-6B8EEE6F22A1}"/>
    <cellStyle name="標準 4 2" xfId="11" xr:uid="{85A43B75-1279-471A-BD00-2FA89DAB8779}"/>
    <cellStyle name="標準 4 3" xfId="16" xr:uid="{8133F055-E2D8-45A7-87D6-635B40FE8EEC}"/>
    <cellStyle name="標準 4 4" xfId="24" xr:uid="{E5B08BF8-2A68-4A58-84E6-B31078384BAF}"/>
    <cellStyle name="標準 5" xfId="14" xr:uid="{119B20D0-41B1-418F-AE0C-3AF444584356}"/>
    <cellStyle name="標準 6" xfId="10" xr:uid="{C5A5715B-B852-435A-80D7-BC74E588262F}"/>
    <cellStyle name="標準 7" xfId="15" xr:uid="{208B6F03-15D8-4F2F-90BF-3238160EB5A4}"/>
    <cellStyle name="標準 8" xfId="17" xr:uid="{6D643033-6A27-410E-9869-62667A96F949}"/>
    <cellStyle name="標準 9" xfId="22" xr:uid="{CFFC0AAC-374A-4D7F-8F4B-285EB9D6AC34}"/>
    <cellStyle name="標準_~9874798" xfId="4" xr:uid="{00000000-0005-0000-0000-000005000000}"/>
    <cellStyle name="標準_一覧タイプ帳票(一般)" xfId="5" xr:uid="{00000000-0005-0000-0000-000006000000}"/>
  </cellStyles>
  <dxfs count="40"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FF99"/>
      <rgbColor rgb="00CCFFCC"/>
      <rgbColor rgb="00FFCC99"/>
      <rgbColor rgb="00C0C0C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5</xdr:row>
          <xdr:rowOff>327660</xdr:rowOff>
        </xdr:from>
        <xdr:to>
          <xdr:col>27</xdr:col>
          <xdr:colOff>365760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5</xdr:row>
          <xdr:rowOff>327660</xdr:rowOff>
        </xdr:from>
        <xdr:to>
          <xdr:col>27</xdr:col>
          <xdr:colOff>365760</xdr:colOff>
          <xdr:row>8</xdr:row>
          <xdr:rowOff>60960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5</xdr:row>
          <xdr:rowOff>259080</xdr:rowOff>
        </xdr:from>
        <xdr:to>
          <xdr:col>27</xdr:col>
          <xdr:colOff>365760</xdr:colOff>
          <xdr:row>7</xdr:row>
          <xdr:rowOff>175260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5</xdr:row>
          <xdr:rowOff>327660</xdr:rowOff>
        </xdr:from>
        <xdr:to>
          <xdr:col>27</xdr:col>
          <xdr:colOff>365760</xdr:colOff>
          <xdr:row>8</xdr:row>
          <xdr:rowOff>60960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5</xdr:row>
          <xdr:rowOff>327660</xdr:rowOff>
        </xdr:from>
        <xdr:to>
          <xdr:col>27</xdr:col>
          <xdr:colOff>365760</xdr:colOff>
          <xdr:row>8</xdr:row>
          <xdr:rowOff>60960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5</xdr:row>
          <xdr:rowOff>304800</xdr:rowOff>
        </xdr:from>
        <xdr:to>
          <xdr:col>27</xdr:col>
          <xdr:colOff>403860</xdr:colOff>
          <xdr:row>8</xdr:row>
          <xdr:rowOff>30480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</xdr:colOff>
          <xdr:row>5</xdr:row>
          <xdr:rowOff>297180</xdr:rowOff>
        </xdr:from>
        <xdr:to>
          <xdr:col>28</xdr:col>
          <xdr:colOff>213360</xdr:colOff>
          <xdr:row>8</xdr:row>
          <xdr:rowOff>22860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213360</xdr:colOff>
          <xdr:row>5</xdr:row>
          <xdr:rowOff>327660</xdr:rowOff>
        </xdr:from>
        <xdr:to>
          <xdr:col>28</xdr:col>
          <xdr:colOff>365760</xdr:colOff>
          <xdr:row>8</xdr:row>
          <xdr:rowOff>60960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5</xdr:row>
          <xdr:rowOff>327660</xdr:rowOff>
        </xdr:from>
        <xdr:to>
          <xdr:col>27</xdr:col>
          <xdr:colOff>365760</xdr:colOff>
          <xdr:row>8</xdr:row>
          <xdr:rowOff>60960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289560</xdr:colOff>
          <xdr:row>5</xdr:row>
          <xdr:rowOff>419100</xdr:rowOff>
        </xdr:from>
        <xdr:to>
          <xdr:col>27</xdr:col>
          <xdr:colOff>441960</xdr:colOff>
          <xdr:row>8</xdr:row>
          <xdr:rowOff>144780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F2658-A90C-44D9-BE15-3B73700E21B4}">
  <sheetPr codeName="Sheet1">
    <tabColor rgb="FF0070C0"/>
  </sheetPr>
  <dimension ref="A4:J16"/>
  <sheetViews>
    <sheetView workbookViewId="0">
      <selection activeCell="L15" sqref="L15"/>
    </sheetView>
  </sheetViews>
  <sheetFormatPr defaultColWidth="8.88671875" defaultRowHeight="30" customHeight="1"/>
  <cols>
    <col min="1" max="1" width="8.88671875" style="107"/>
    <col min="2" max="3" width="8.88671875" style="105"/>
    <col min="4" max="4" width="13.6640625" style="106" customWidth="1"/>
    <col min="5" max="5" width="13.33203125" style="105" bestFit="1" customWidth="1"/>
    <col min="6" max="16384" width="8.88671875" style="105"/>
  </cols>
  <sheetData>
    <row r="4" spans="1:10" ht="30" customHeight="1">
      <c r="A4" s="244" t="str">
        <f>'1-70'!C7</f>
        <v xml:space="preserve">2026 Fuji Horse Show Autumn Grand Prix </v>
      </c>
      <c r="B4" s="244"/>
      <c r="C4" s="244"/>
      <c r="D4" s="244"/>
      <c r="E4" s="244"/>
      <c r="F4" s="244"/>
      <c r="G4" s="244"/>
      <c r="H4" s="244"/>
      <c r="I4" s="244"/>
      <c r="J4" s="244"/>
    </row>
    <row r="6" spans="1:10" ht="30" customHeight="1">
      <c r="A6" s="107" t="s">
        <v>41</v>
      </c>
      <c r="B6" s="110">
        <f>'1-70'!B8</f>
        <v>1</v>
      </c>
      <c r="C6" s="105" t="s">
        <v>42</v>
      </c>
      <c r="D6" s="108" t="str">
        <f>'1-70'!D8</f>
        <v>バーティカルジャンプ７０</v>
      </c>
    </row>
    <row r="8" spans="1:10" ht="30" customHeight="1">
      <c r="C8" s="105" t="s">
        <v>96</v>
      </c>
      <c r="E8" s="115" t="s">
        <v>100</v>
      </c>
    </row>
    <row r="9" spans="1:10" ht="30" customHeight="1">
      <c r="C9" s="105" t="s">
        <v>95</v>
      </c>
      <c r="E9" s="109">
        <v>0.3125</v>
      </c>
      <c r="F9" s="106" t="s">
        <v>94</v>
      </c>
    </row>
    <row r="11" spans="1:10" ht="30" customHeight="1">
      <c r="C11" s="245"/>
      <c r="D11" s="245"/>
      <c r="E11" s="245"/>
      <c r="F11" s="245"/>
      <c r="G11" s="245"/>
    </row>
    <row r="12" spans="1:10" ht="30" customHeight="1">
      <c r="D12" s="105"/>
      <c r="F12" s="106"/>
      <c r="G12" s="106"/>
    </row>
    <row r="13" spans="1:10" ht="30" customHeight="1">
      <c r="D13" s="105"/>
      <c r="F13" s="106"/>
      <c r="G13" s="106"/>
    </row>
    <row r="14" spans="1:10" ht="30" customHeight="1">
      <c r="D14" s="105"/>
      <c r="G14" s="106"/>
    </row>
    <row r="15" spans="1:10" ht="30" customHeight="1">
      <c r="D15" s="105"/>
      <c r="G15" s="106"/>
    </row>
    <row r="16" spans="1:10" ht="30" customHeight="1">
      <c r="D16" s="108"/>
      <c r="E16" s="108"/>
      <c r="F16" s="108"/>
      <c r="G16" s="108"/>
    </row>
  </sheetData>
  <mergeCells count="2">
    <mergeCell ref="A4:J4"/>
    <mergeCell ref="C11:G11"/>
  </mergeCells>
  <phoneticPr fontId="7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7">
    <tabColor rgb="FF0070C0"/>
  </sheetPr>
  <dimension ref="A1:G73"/>
  <sheetViews>
    <sheetView view="pageBreakPreview" topLeftCell="A18" zoomScaleNormal="100" zoomScaleSheetLayoutView="100" workbookViewId="0">
      <selection activeCell="F13" sqref="F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'1'!C2</f>
        <v>0</v>
      </c>
      <c r="D6" s="3"/>
      <c r="F6" s="4" t="s">
        <v>2</v>
      </c>
      <c r="G6" s="6">
        <v>46276</v>
      </c>
    </row>
    <row r="7" spans="1:7" ht="24" customHeight="1">
      <c r="A7" s="7"/>
      <c r="B7" s="4" t="s">
        <v>4</v>
      </c>
      <c r="C7" s="8" t="str">
        <f>'1'!C3</f>
        <v xml:space="preserve">2026 Fuji Horse Show Autumn Grand Prix </v>
      </c>
      <c r="D7" s="9"/>
      <c r="E7" s="9"/>
      <c r="F7" s="9"/>
      <c r="G7" s="117" t="s">
        <v>727</v>
      </c>
    </row>
    <row r="8" spans="1:7" ht="21" customHeight="1">
      <c r="A8" s="10" t="s">
        <v>41</v>
      </c>
      <c r="B8" s="68">
        <f>'1'!C4</f>
        <v>1</v>
      </c>
      <c r="C8" s="4" t="s">
        <v>42</v>
      </c>
      <c r="D8" s="237" t="str">
        <f>'1'!F4</f>
        <v>バーティカルジャンプ７０</v>
      </c>
      <c r="E8" s="237"/>
      <c r="F8" s="237"/>
    </row>
    <row r="9" spans="1:7" ht="18.75" customHeight="1">
      <c r="C9" s="11" t="s">
        <v>11</v>
      </c>
      <c r="D9" s="217" t="str">
        <f>'1'!D5</f>
        <v>-</v>
      </c>
      <c r="E9" s="4" t="s">
        <v>9</v>
      </c>
      <c r="F9" s="220" t="str">
        <f>'1'!K4</f>
        <v>-</v>
      </c>
    </row>
    <row r="10" spans="1:7" ht="21" customHeight="1">
      <c r="A10" s="12" t="s">
        <v>43</v>
      </c>
      <c r="B10" s="12"/>
      <c r="C10" s="12"/>
      <c r="D10" s="218" t="str">
        <f>'1'!D6</f>
        <v>-</v>
      </c>
      <c r="E10" s="4" t="s">
        <v>12</v>
      </c>
      <c r="F10" s="221" t="str">
        <f>'1'!F5</f>
        <v>-</v>
      </c>
      <c r="G10" s="13" t="s">
        <v>44</v>
      </c>
    </row>
    <row r="11" spans="1:7" ht="5.0999999999999996" customHeight="1"/>
    <row r="12" spans="1:7" ht="15" customHeight="1">
      <c r="A12" s="238" t="s">
        <v>45</v>
      </c>
      <c r="B12" s="240" t="s">
        <v>46</v>
      </c>
      <c r="C12" s="242" t="s">
        <v>47</v>
      </c>
      <c r="D12" s="243"/>
      <c r="E12" s="235" t="s">
        <v>48</v>
      </c>
      <c r="F12" s="235"/>
      <c r="G12" s="235" t="s">
        <v>49</v>
      </c>
    </row>
    <row r="13" spans="1:7" ht="24" customHeight="1">
      <c r="A13" s="239"/>
      <c r="B13" s="241"/>
      <c r="C13" s="14" t="s">
        <v>52</v>
      </c>
      <c r="D13" s="15" t="s">
        <v>53</v>
      </c>
      <c r="E13" s="15" t="s">
        <v>54</v>
      </c>
      <c r="F13" s="15" t="s">
        <v>55</v>
      </c>
      <c r="G13" s="236"/>
    </row>
    <row r="14" spans="1:7" s="19" customFormat="1" ht="23.1" customHeight="1">
      <c r="A14" s="16" t="str">
        <f>IF('1'!A14="","",'1'!A14)</f>
        <v>ＯＰ</v>
      </c>
      <c r="B14" s="16">
        <f>IF('1'!B14="","",'1'!B14)</f>
        <v>1</v>
      </c>
      <c r="C14" s="17" t="str">
        <f>IF('1'!C14="","",'1'!C14)</f>
        <v>小野　敬司</v>
      </c>
      <c r="D14" s="219">
        <f>IF('1'!D14="","",'1'!D14)</f>
        <v>21867</v>
      </c>
      <c r="E14" s="17" t="str">
        <f>IF('1'!E14="","",'1'!E14)</f>
        <v>マグノオンゾウシ</v>
      </c>
      <c r="F14" s="219" t="str">
        <f>IF('1'!F14="","",'1'!F14)</f>
        <v>-</v>
      </c>
      <c r="G14" s="17" t="str">
        <f>IF('1'!G14="","",'1'!G14)</f>
        <v>乗馬クラブクレイン東京</v>
      </c>
    </row>
    <row r="15" spans="1:7" s="19" customFormat="1" ht="23.1" customHeight="1">
      <c r="A15" s="16" t="str">
        <f>IF('1'!A15="","",'1'!A15)</f>
        <v>ＯＰ</v>
      </c>
      <c r="B15" s="16">
        <f>IF('1'!B15="","",'1'!B15)</f>
        <v>2</v>
      </c>
      <c r="C15" s="17" t="str">
        <f>IF('1'!C15="","",'1'!C15)</f>
        <v>横田　真吾</v>
      </c>
      <c r="D15" s="219">
        <f>IF('1'!D15="","",'1'!D15)</f>
        <v>11693</v>
      </c>
      <c r="E15" s="17" t="str">
        <f>IF('1'!E15="","",'1'!E15)</f>
        <v>遠宝17</v>
      </c>
      <c r="F15" s="219" t="str">
        <f>IF('1'!F15="","",'1'!F15)</f>
        <v>‐</v>
      </c>
      <c r="G15" s="17" t="str">
        <f>IF('1'!G15="","",'1'!G15)</f>
        <v>ペガサス乗馬クラブ</v>
      </c>
    </row>
    <row r="16" spans="1:7" s="19" customFormat="1" ht="23.1" customHeight="1">
      <c r="A16" s="16" t="str">
        <f>IF('1'!A16="","",'1'!A16)</f>
        <v>ＯＰ</v>
      </c>
      <c r="B16" s="16">
        <f>IF('1'!B16="","",'1'!B16)</f>
        <v>3</v>
      </c>
      <c r="C16" s="17" t="str">
        <f>IF('1'!C16="","",'1'!C16)</f>
        <v>千葉　奈鶴</v>
      </c>
      <c r="D16" s="219">
        <f>IF('1'!D16="","",'1'!D16)</f>
        <v>20359</v>
      </c>
      <c r="E16" s="17" t="str">
        <f>IF('1'!E16="","",'1'!E16)</f>
        <v>ライジングシャイン</v>
      </c>
      <c r="F16" s="219" t="str">
        <f>IF('1'!F16="","",'1'!F16)</f>
        <v>-</v>
      </c>
      <c r="G16" s="17" t="str">
        <f>IF('1'!G16="","",'1'!G16)</f>
        <v>ライディングクラブモーヴァン</v>
      </c>
    </row>
    <row r="17" spans="1:7" s="19" customFormat="1" ht="23.1" customHeight="1">
      <c r="A17" s="16" t="str">
        <f>IF('1'!A17="","",'1'!A17)</f>
        <v>ＯＰ</v>
      </c>
      <c r="B17" s="16">
        <f>IF('1'!B17="","",'1'!B17)</f>
        <v>4</v>
      </c>
      <c r="C17" s="17" t="str">
        <f>IF('1'!C17="","",'1'!C17)</f>
        <v>本間　唯純</v>
      </c>
      <c r="D17" s="219">
        <f>IF('1'!D17="","",'1'!D17)</f>
        <v>14546</v>
      </c>
      <c r="E17" s="17" t="str">
        <f>IF('1'!E17="","",'1'!E17)</f>
        <v>バニラジーヴァル</v>
      </c>
      <c r="F17" s="219" t="str">
        <f>IF('1'!F17="","",'1'!F17)</f>
        <v>-</v>
      </c>
      <c r="G17" s="17" t="str">
        <f>IF('1'!G17="","",'1'!G17)</f>
        <v>乗馬クラブクレイン神奈川</v>
      </c>
    </row>
    <row r="18" spans="1:7" s="19" customFormat="1" ht="23.1" customHeight="1">
      <c r="A18" s="16" t="str">
        <f>IF('1'!A18="","",'1'!A18)</f>
        <v/>
      </c>
      <c r="B18" s="16">
        <f>IF('1'!B18="","",'1'!B18)</f>
        <v>5</v>
      </c>
      <c r="C18" s="17" t="str">
        <f>IF('1'!C18="","",'1'!C18)</f>
        <v>鈴木　絢子</v>
      </c>
      <c r="D18" s="219" t="str">
        <f>IF('1'!D18="","",'1'!D18)</f>
        <v>-</v>
      </c>
      <c r="E18" s="17" t="str">
        <f>IF('1'!E18="","",'1'!E18)</f>
        <v>マグノオンゾウシ</v>
      </c>
      <c r="F18" s="219" t="str">
        <f>IF('1'!F18="","",'1'!F18)</f>
        <v>-</v>
      </c>
      <c r="G18" s="17" t="str">
        <f>IF('1'!G18="","",'1'!G18)</f>
        <v>乗馬クラブクレイン東京</v>
      </c>
    </row>
    <row r="19" spans="1:7" s="19" customFormat="1" ht="23.1" customHeight="1">
      <c r="A19" s="16" t="str">
        <f>IF('1'!A19="","",'1'!A19)</f>
        <v>ＯＰ</v>
      </c>
      <c r="B19" s="16">
        <f>IF('1'!B19="","",'1'!B19)</f>
        <v>6</v>
      </c>
      <c r="C19" s="17" t="str">
        <f>IF('1'!C19="","",'1'!C19)</f>
        <v>川口　大輔</v>
      </c>
      <c r="D19" s="219">
        <f>IF('1'!D19="","",'1'!D19)</f>
        <v>13141</v>
      </c>
      <c r="E19" s="17" t="str">
        <f>IF('1'!E19="","",'1'!E19)</f>
        <v>スカイシーカー</v>
      </c>
      <c r="F19" s="219" t="str">
        <f>IF('1'!F19="","",'1'!F19)</f>
        <v>‐</v>
      </c>
      <c r="G19" s="17" t="str">
        <f>IF('1'!G19="","",'1'!G19)</f>
        <v>ライディングクラブフジファーム</v>
      </c>
    </row>
    <row r="20" spans="1:7" s="19" customFormat="1" ht="23.1" customHeight="1">
      <c r="A20" s="16" t="str">
        <f>IF('1'!A20="","",'1'!A20)</f>
        <v/>
      </c>
      <c r="B20" s="16">
        <f>IF('1'!B20="","",'1'!B20)</f>
        <v>7</v>
      </c>
      <c r="C20" s="17" t="str">
        <f>IF('1'!C20="","",'1'!C20)</f>
        <v>中村　沙也加</v>
      </c>
      <c r="D20" s="219" t="str">
        <f>IF('1'!D20="","",'1'!D20)</f>
        <v>-</v>
      </c>
      <c r="E20" s="17" t="str">
        <f>IF('1'!E20="","",'1'!E20)</f>
        <v>紅鈴</v>
      </c>
      <c r="F20" s="219">
        <f>IF('1'!F20="","",'1'!F20)</f>
        <v>57863</v>
      </c>
      <c r="G20" s="17" t="str">
        <f>IF('1'!G20="","",'1'!G20)</f>
        <v>拓殖大学馬術部</v>
      </c>
    </row>
    <row r="21" spans="1:7" s="19" customFormat="1" ht="23.1" customHeight="1">
      <c r="A21" s="16" t="str">
        <f>IF('1'!A21="","",'1'!A21)</f>
        <v>ＯＰ</v>
      </c>
      <c r="B21" s="16">
        <f>IF('1'!B21="","",'1'!B21)</f>
        <v>8</v>
      </c>
      <c r="C21" s="17" t="str">
        <f>IF('1'!C21="","",'1'!C21)</f>
        <v>小野　敬司</v>
      </c>
      <c r="D21" s="219">
        <f>IF('1'!D21="","",'1'!D21)</f>
        <v>21867</v>
      </c>
      <c r="E21" s="17" t="str">
        <f>IF('1'!E21="","",'1'!E21)</f>
        <v>クロニクルノヴァ</v>
      </c>
      <c r="F21" s="219" t="str">
        <f>IF('1'!F21="","",'1'!F21)</f>
        <v>-</v>
      </c>
      <c r="G21" s="17" t="str">
        <f>IF('1'!G21="","",'1'!G21)</f>
        <v>乗馬クラブクレイン東京</v>
      </c>
    </row>
    <row r="22" spans="1:7" s="19" customFormat="1" ht="23.1" customHeight="1">
      <c r="A22" s="16" t="str">
        <f>IF('1'!A22="","",'1'!A22)</f>
        <v/>
      </c>
      <c r="B22" s="16">
        <f>IF('1'!B22="","",'1'!B22)</f>
        <v>9</v>
      </c>
      <c r="C22" s="17" t="str">
        <f>IF('1'!C22="","",'1'!C22)</f>
        <v>宇佐美　真澄</v>
      </c>
      <c r="D22" s="219" t="str">
        <f>IF('1'!D22="","",'1'!D22)</f>
        <v>-</v>
      </c>
      <c r="E22" s="17" t="str">
        <f>IF('1'!E22="","",'1'!E22)</f>
        <v>遠宝17</v>
      </c>
      <c r="F22" s="219" t="str">
        <f>IF('1'!F22="","",'1'!F22)</f>
        <v>‐</v>
      </c>
      <c r="G22" s="17" t="str">
        <f>IF('1'!G22="","",'1'!G22)</f>
        <v>ペガサス乗馬クラブ</v>
      </c>
    </row>
    <row r="23" spans="1:7" s="19" customFormat="1" ht="23.1" customHeight="1">
      <c r="A23" s="16" t="str">
        <f>IF('1'!A23="","",'1'!A23)</f>
        <v/>
      </c>
      <c r="B23" s="16">
        <f>IF('1'!B23="","",'1'!B23)</f>
        <v>10</v>
      </c>
      <c r="C23" s="17" t="str">
        <f>IF('1'!C23="","",'1'!C23)</f>
        <v>福田　倫子</v>
      </c>
      <c r="D23" s="219">
        <f>IF('1'!D23="","",'1'!D23)</f>
        <v>20359</v>
      </c>
      <c r="E23" s="17" t="str">
        <f>IF('1'!E23="","",'1'!E23)</f>
        <v>ライジングシャイン</v>
      </c>
      <c r="F23" s="219" t="str">
        <f>IF('1'!F23="","",'1'!F23)</f>
        <v>-</v>
      </c>
      <c r="G23" s="17" t="str">
        <f>IF('1'!G23="","",'1'!G23)</f>
        <v>ライディングクラブモーヴァン</v>
      </c>
    </row>
    <row r="24" spans="1:7" s="19" customFormat="1" ht="23.1" customHeight="1">
      <c r="A24" s="16" t="str">
        <f>IF('1'!A24="","",'1'!A24)</f>
        <v/>
      </c>
      <c r="B24" s="16">
        <f>IF('1'!B24="","",'1'!B24)</f>
        <v>11</v>
      </c>
      <c r="C24" s="17" t="str">
        <f>IF('1'!C24="","",'1'!C24)</f>
        <v>内山　国宝</v>
      </c>
      <c r="D24" s="219" t="str">
        <f>IF('1'!D24="","",'1'!D24)</f>
        <v>-</v>
      </c>
      <c r="E24" s="17" t="str">
        <f>IF('1'!E24="","",'1'!E24)</f>
        <v>バニラジーヴァル</v>
      </c>
      <c r="F24" s="219" t="str">
        <f>IF('1'!F24="","",'1'!F24)</f>
        <v>-</v>
      </c>
      <c r="G24" s="17" t="str">
        <f>IF('1'!G24="","",'1'!G24)</f>
        <v>乗馬クラブクレイン神奈川</v>
      </c>
    </row>
    <row r="25" spans="1:7" s="19" customFormat="1" ht="23.1" customHeight="1">
      <c r="A25" s="16" t="str">
        <f>IF('1'!A25="","",'1'!A25)</f>
        <v>ＯＰ</v>
      </c>
      <c r="B25" s="16">
        <f>IF('1'!B25="","",'1'!B25)</f>
        <v>12</v>
      </c>
      <c r="C25" s="17" t="str">
        <f>IF('1'!C25="","",'1'!C25)</f>
        <v>小野　敬司</v>
      </c>
      <c r="D25" s="219">
        <f>IF('1'!D25="","",'1'!D25)</f>
        <v>21867</v>
      </c>
      <c r="E25" s="17" t="str">
        <f>IF('1'!E25="","",'1'!E25)</f>
        <v>トイボックス</v>
      </c>
      <c r="F25" s="219" t="str">
        <f>IF('1'!F25="","",'1'!F25)</f>
        <v>-</v>
      </c>
      <c r="G25" s="17" t="str">
        <f>IF('1'!G25="","",'1'!G25)</f>
        <v>乗馬クラブクレイン東京</v>
      </c>
    </row>
    <row r="26" spans="1:7" s="19" customFormat="1" ht="23.1" customHeight="1">
      <c r="A26" s="16" t="str">
        <f>IF('1'!A26="","",'1'!A26)</f>
        <v/>
      </c>
      <c r="B26" s="16">
        <f>IF('1'!B26="","",'1'!B26)</f>
        <v>13</v>
      </c>
      <c r="C26" s="17" t="str">
        <f>IF('1'!C26="","",'1'!C26)</f>
        <v>吉川　隆</v>
      </c>
      <c r="D26" s="219" t="str">
        <f>IF('1'!D26="","",'1'!D26)</f>
        <v>-</v>
      </c>
      <c r="E26" s="17" t="str">
        <f>IF('1'!E26="","",'1'!E26)</f>
        <v>スカイシーカー</v>
      </c>
      <c r="F26" s="219" t="str">
        <f>IF('1'!F26="","",'1'!F26)</f>
        <v>‐</v>
      </c>
      <c r="G26" s="17" t="str">
        <f>IF('1'!G26="","",'1'!G26)</f>
        <v>ライディングクラブフジファーム</v>
      </c>
    </row>
    <row r="27" spans="1:7" s="19" customFormat="1" ht="23.1" customHeight="1">
      <c r="A27" s="16" t="str">
        <f>IF('1'!A27="","",'1'!A27)</f>
        <v/>
      </c>
      <c r="B27" s="16">
        <f>IF('1'!B27="","",'1'!B27)</f>
        <v>14</v>
      </c>
      <c r="C27" s="17" t="str">
        <f>IF('1'!C27="","",'1'!C27)</f>
        <v>王　洋軒</v>
      </c>
      <c r="D27" s="219" t="str">
        <f>IF('1'!D27="","",'1'!D27)</f>
        <v>-</v>
      </c>
      <c r="E27" s="17" t="str">
        <f>IF('1'!E27="","",'1'!E27)</f>
        <v>クロニクルノヴァ</v>
      </c>
      <c r="F27" s="219" t="str">
        <f>IF('1'!F27="","",'1'!F27)</f>
        <v>-</v>
      </c>
      <c r="G27" s="17" t="str">
        <f>IF('1'!G27="","",'1'!G27)</f>
        <v>乗馬クラブクレイン東京</v>
      </c>
    </row>
    <row r="28" spans="1:7" s="19" customFormat="1" ht="23.1" customHeight="1">
      <c r="A28" s="16" t="str">
        <f>IF('1'!A28="","",'1'!A28)</f>
        <v/>
      </c>
      <c r="B28" s="16">
        <f>IF('1'!B28="","",'1'!B28)</f>
        <v>15</v>
      </c>
      <c r="C28" s="17" t="str">
        <f>IF('1'!C28="","",'1'!C28)</f>
        <v>野々川　颯華</v>
      </c>
      <c r="D28" s="219" t="str">
        <f>IF('1'!D28="","",'1'!D28)</f>
        <v>-</v>
      </c>
      <c r="E28" s="17" t="str">
        <f>IF('1'!E28="","",'1'!E28)</f>
        <v>カスミチャン</v>
      </c>
      <c r="F28" s="219">
        <f>IF('1'!F28="","",'1'!F28)</f>
        <v>61736</v>
      </c>
      <c r="G28" s="17" t="str">
        <f>IF('1'!G28="","",'1'!G28)</f>
        <v>拓殖大学馬術部</v>
      </c>
    </row>
    <row r="29" spans="1:7" s="19" customFormat="1" ht="23.1" customHeight="1">
      <c r="A29" s="16" t="str">
        <f>IF('1'!A29="","",'1'!A29)</f>
        <v/>
      </c>
      <c r="B29" s="16">
        <f>IF('1'!B29="","",'1'!B29)</f>
        <v>16</v>
      </c>
      <c r="C29" s="17" t="str">
        <f>IF('1'!C29="","",'1'!C29)</f>
        <v>山本　久美子</v>
      </c>
      <c r="D29" s="219" t="str">
        <f>IF('1'!D29="","",'1'!D29)</f>
        <v>-</v>
      </c>
      <c r="E29" s="17" t="str">
        <f>IF('1'!E29="","",'1'!E29)</f>
        <v>オーロラオジョウ</v>
      </c>
      <c r="F29" s="219" t="str">
        <f>IF('1'!F29="","",'1'!F29)</f>
        <v>-</v>
      </c>
      <c r="G29" s="17" t="str">
        <f>IF('1'!G29="","",'1'!G29)</f>
        <v>筑波スカイラインスティーブル</v>
      </c>
    </row>
    <row r="30" spans="1:7" s="19" customFormat="1" ht="23.1" customHeight="1">
      <c r="A30" s="16" t="str">
        <f>IF('1'!A30="","",'1'!A30)</f>
        <v/>
      </c>
      <c r="B30" s="16">
        <f>IF('1'!B30="","",'1'!B30)</f>
        <v>17</v>
      </c>
      <c r="C30" s="17" t="str">
        <f>IF('1'!C30="","",'1'!C30)</f>
        <v>高橋　陽美</v>
      </c>
      <c r="D30" s="219">
        <f>IF('1'!D30="","",'1'!D30)</f>
        <v>33226</v>
      </c>
      <c r="E30" s="17" t="str">
        <f>IF('1'!E30="","",'1'!E30)</f>
        <v>ライジングシャイン</v>
      </c>
      <c r="F30" s="219" t="str">
        <f>IF('1'!F30="","",'1'!F30)</f>
        <v>-</v>
      </c>
      <c r="G30" s="17" t="str">
        <f>IF('1'!G30="","",'1'!G30)</f>
        <v>ライディングクラブモーヴァン</v>
      </c>
    </row>
    <row r="31" spans="1:7" s="19" customFormat="1" ht="23.1" customHeight="1">
      <c r="A31" s="16" t="str">
        <f>IF('1'!A31="","",'1'!A31)</f>
        <v>ＯＰ</v>
      </c>
      <c r="B31" s="16">
        <f>IF('1'!B31="","",'1'!B31)</f>
        <v>18</v>
      </c>
      <c r="C31" s="17" t="str">
        <f>IF('1'!C31="","",'1'!C31)</f>
        <v>小野　敬司</v>
      </c>
      <c r="D31" s="219">
        <f>IF('1'!D31="","",'1'!D31)</f>
        <v>21867</v>
      </c>
      <c r="E31" s="17" t="str">
        <f>IF('1'!E31="","",'1'!E31)</f>
        <v>ミッキースピリット</v>
      </c>
      <c r="F31" s="219">
        <f>IF('1'!F31="","",'1'!F31)</f>
        <v>60192</v>
      </c>
      <c r="G31" s="17" t="str">
        <f>IF('1'!G31="","",'1'!G31)</f>
        <v>乗馬クラブクレイン東京</v>
      </c>
    </row>
    <row r="32" spans="1:7" s="19" customFormat="1" ht="23.1" customHeight="1">
      <c r="A32" s="16" t="str">
        <f>IF('1'!A32="","",'1'!A32)</f>
        <v/>
      </c>
      <c r="B32" s="16">
        <f>IF('1'!B32="","",'1'!B32)</f>
        <v>19</v>
      </c>
      <c r="C32" s="17" t="str">
        <f>IF('1'!C32="","",'1'!C32)</f>
        <v>吉澤　春花</v>
      </c>
      <c r="D32" s="219" t="str">
        <f>IF('1'!D32="","",'1'!D32)</f>
        <v>-</v>
      </c>
      <c r="E32" s="17" t="str">
        <f>IF('1'!E32="","",'1'!E32)</f>
        <v>トイボックス</v>
      </c>
      <c r="F32" s="219" t="str">
        <f>IF('1'!F32="","",'1'!F32)</f>
        <v>-</v>
      </c>
      <c r="G32" s="17" t="str">
        <f>IF('1'!G32="","",'1'!G32)</f>
        <v>乗馬クラブクレイン東京</v>
      </c>
    </row>
    <row r="33" spans="1:7" s="19" customFormat="1" ht="23.1" customHeight="1">
      <c r="A33" s="16" t="str">
        <f>IF('1'!A33="","",'1'!A33)</f>
        <v/>
      </c>
      <c r="B33" s="16">
        <f>IF('1'!B33="","",'1'!B33)</f>
        <v>20</v>
      </c>
      <c r="C33" s="17" t="str">
        <f>IF('1'!C33="","",'1'!C33)</f>
        <v>佐々木　愛</v>
      </c>
      <c r="D33" s="219" t="str">
        <f>IF('1'!D33="","",'1'!D33)</f>
        <v>-</v>
      </c>
      <c r="E33" s="17" t="str">
        <f>IF('1'!E33="","",'1'!E33)</f>
        <v>クロニクルノヴァ</v>
      </c>
      <c r="F33" s="219" t="str">
        <f>IF('1'!F33="","",'1'!F33)</f>
        <v>-</v>
      </c>
      <c r="G33" s="17" t="str">
        <f>IF('1'!G33="","",'1'!G33)</f>
        <v>乗馬クラブクレイン東京</v>
      </c>
    </row>
    <row r="34" spans="1:7" s="19" customFormat="1" ht="23.1" customHeight="1">
      <c r="A34" s="16" t="str">
        <f>IF('1'!A34="","",'1'!A34)</f>
        <v/>
      </c>
      <c r="B34" s="16">
        <f>IF('1'!B34="","",'1'!B34)</f>
        <v>21</v>
      </c>
      <c r="C34" s="17" t="str">
        <f>IF('1'!C34="","",'1'!C34)</f>
        <v>小野　晴美</v>
      </c>
      <c r="D34" s="219" t="str">
        <f>IF('1'!D34="","",'1'!D34)</f>
        <v>-</v>
      </c>
      <c r="E34" s="17" t="str">
        <f>IF('1'!E34="","",'1'!E34)</f>
        <v>ミッキースピリット</v>
      </c>
      <c r="F34" s="219">
        <f>IF('1'!F34="","",'1'!F34)</f>
        <v>60192</v>
      </c>
      <c r="G34" s="17" t="str">
        <f>IF('1'!G34="","",'1'!G34)</f>
        <v>乗馬クラブクレイン東京</v>
      </c>
    </row>
    <row r="35" spans="1:7" s="19" customFormat="1" ht="23.1" customHeight="1">
      <c r="A35" s="16" t="str">
        <f>IF('1'!A35="","",'1'!A35)</f>
        <v/>
      </c>
      <c r="B35" s="16">
        <f>IF('1'!B35="","",'1'!B35)</f>
        <v>22</v>
      </c>
      <c r="C35" s="17" t="str">
        <f>IF('1'!C35="","",'1'!C35)</f>
        <v/>
      </c>
      <c r="D35" s="219" t="str">
        <f>IF('1'!D35="","",'1'!D35)</f>
        <v/>
      </c>
      <c r="E35" s="17" t="str">
        <f>IF('1'!E35="","",'1'!E35)</f>
        <v/>
      </c>
      <c r="F35" s="219" t="str">
        <f>IF('1'!F35="","",'1'!F35)</f>
        <v/>
      </c>
      <c r="G35" s="17" t="str">
        <f>IF('1'!G35="","",'1'!G35)</f>
        <v/>
      </c>
    </row>
    <row r="36" spans="1:7" s="19" customFormat="1" ht="23.1" customHeight="1">
      <c r="A36" s="16" t="str">
        <f>IF('1'!A36="","",'1'!A36)</f>
        <v/>
      </c>
      <c r="B36" s="16">
        <f>IF('1'!B36="","",'1'!B36)</f>
        <v>23</v>
      </c>
      <c r="C36" s="17" t="str">
        <f>IF('1'!C36="","",'1'!C36)</f>
        <v/>
      </c>
      <c r="D36" s="219" t="str">
        <f>IF('1'!D36="","",'1'!D36)</f>
        <v/>
      </c>
      <c r="E36" s="17" t="str">
        <f>IF('1'!E36="","",'1'!E36)</f>
        <v/>
      </c>
      <c r="F36" s="219" t="str">
        <f>IF('1'!F36="","",'1'!F36)</f>
        <v/>
      </c>
      <c r="G36" s="17" t="str">
        <f>IF('1'!G36="","",'1'!G36)</f>
        <v/>
      </c>
    </row>
    <row r="37" spans="1:7" s="19" customFormat="1" ht="23.1" customHeight="1">
      <c r="A37" s="16" t="str">
        <f>IF('1'!A37="","",'1'!A37)</f>
        <v/>
      </c>
      <c r="B37" s="16">
        <f>IF('1'!B37="","",'1'!B37)</f>
        <v>24</v>
      </c>
      <c r="C37" s="17" t="str">
        <f>IF('1'!C37="","",'1'!C37)</f>
        <v/>
      </c>
      <c r="D37" s="219" t="str">
        <f>IF('1'!D37="","",'1'!D37)</f>
        <v/>
      </c>
      <c r="E37" s="17" t="str">
        <f>IF('1'!E37="","",'1'!E37)</f>
        <v/>
      </c>
      <c r="F37" s="219" t="str">
        <f>IF('1'!F37="","",'1'!F37)</f>
        <v/>
      </c>
      <c r="G37" s="17" t="str">
        <f>IF('1'!G37="","",'1'!G37)</f>
        <v/>
      </c>
    </row>
    <row r="38" spans="1:7" s="19" customFormat="1" ht="23.1" customHeight="1">
      <c r="A38" s="16" t="str">
        <f>IF('1'!A38="","",'1'!A38)</f>
        <v/>
      </c>
      <c r="B38" s="16">
        <f>IF('1'!B38="","",'1'!B38)</f>
        <v>25</v>
      </c>
      <c r="C38" s="17" t="str">
        <f>IF('1'!C38="","",'1'!C38)</f>
        <v/>
      </c>
      <c r="D38" s="219" t="str">
        <f>IF('1'!D38="","",'1'!D38)</f>
        <v/>
      </c>
      <c r="E38" s="17" t="str">
        <f>IF('1'!E38="","",'1'!E38)</f>
        <v/>
      </c>
      <c r="F38" s="219" t="str">
        <f>IF('1'!F38="","",'1'!F38)</f>
        <v/>
      </c>
      <c r="G38" s="17" t="str">
        <f>IF('1'!G38="","",'1'!G38)</f>
        <v/>
      </c>
    </row>
    <row r="39" spans="1:7" s="19" customFormat="1" ht="23.1" customHeight="1">
      <c r="A39" s="16" t="str">
        <f>IF('1'!A39="","",'1'!A39)</f>
        <v/>
      </c>
      <c r="B39" s="16">
        <f>IF('1'!B39="","",'1'!B39)</f>
        <v>26</v>
      </c>
      <c r="C39" s="17" t="str">
        <f>IF('1'!C39="","",'1'!C39)</f>
        <v/>
      </c>
      <c r="D39" s="219" t="str">
        <f>IF('1'!D39="","",'1'!D39)</f>
        <v/>
      </c>
      <c r="E39" s="17" t="str">
        <f>IF('1'!E39="","",'1'!E39)</f>
        <v/>
      </c>
      <c r="F39" s="219" t="str">
        <f>IF('1'!F39="","",'1'!F39)</f>
        <v/>
      </c>
      <c r="G39" s="17" t="str">
        <f>IF('1'!G39="","",'1'!G39)</f>
        <v/>
      </c>
    </row>
    <row r="40" spans="1:7" s="19" customFormat="1" ht="23.1" customHeight="1">
      <c r="A40" s="16" t="str">
        <f>IF('1'!A40="","",'1'!A40)</f>
        <v/>
      </c>
      <c r="B40" s="16">
        <f>IF('1'!B40="","",'1'!B40)</f>
        <v>27</v>
      </c>
      <c r="C40" s="17" t="str">
        <f>IF('1'!C40="","",'1'!C40)</f>
        <v/>
      </c>
      <c r="D40" s="219" t="str">
        <f>IF('1'!D40="","",'1'!D40)</f>
        <v/>
      </c>
      <c r="E40" s="17" t="str">
        <f>IF('1'!E40="","",'1'!E40)</f>
        <v/>
      </c>
      <c r="F40" s="219" t="str">
        <f>IF('1'!F40="","",'1'!F40)</f>
        <v/>
      </c>
      <c r="G40" s="17" t="str">
        <f>IF('1'!G40="","",'1'!G40)</f>
        <v/>
      </c>
    </row>
    <row r="41" spans="1:7" s="19" customFormat="1" ht="23.1" customHeight="1">
      <c r="A41" s="16" t="str">
        <f>IF('1'!A41="","",'1'!A41)</f>
        <v/>
      </c>
      <c r="B41" s="16">
        <f>IF('1'!B41="","",'1'!B41)</f>
        <v>28</v>
      </c>
      <c r="C41" s="17" t="str">
        <f>IF('1'!C41="","",'1'!C41)</f>
        <v/>
      </c>
      <c r="D41" s="219" t="str">
        <f>IF('1'!D41="","",'1'!D41)</f>
        <v/>
      </c>
      <c r="E41" s="17" t="str">
        <f>IF('1'!E41="","",'1'!E41)</f>
        <v/>
      </c>
      <c r="F41" s="219" t="str">
        <f>IF('1'!F41="","",'1'!F41)</f>
        <v/>
      </c>
      <c r="G41" s="17" t="str">
        <f>IF('1'!G41="","",'1'!G41)</f>
        <v/>
      </c>
    </row>
    <row r="42" spans="1:7" s="19" customFormat="1" ht="23.1" customHeight="1">
      <c r="A42" s="16" t="str">
        <f>IF('1'!A42="","",'1'!A42)</f>
        <v/>
      </c>
      <c r="B42" s="16">
        <f>IF('1'!B42="","",'1'!B42)</f>
        <v>29</v>
      </c>
      <c r="C42" s="17" t="str">
        <f>IF('1'!C42="","",'1'!C42)</f>
        <v/>
      </c>
      <c r="D42" s="219" t="str">
        <f>IF('1'!D42="","",'1'!D42)</f>
        <v/>
      </c>
      <c r="E42" s="17" t="str">
        <f>IF('1'!E42="","",'1'!E42)</f>
        <v/>
      </c>
      <c r="F42" s="219" t="str">
        <f>IF('1'!F42="","",'1'!F42)</f>
        <v/>
      </c>
      <c r="G42" s="17" t="str">
        <f>IF('1'!G42="","",'1'!G42)</f>
        <v/>
      </c>
    </row>
    <row r="43" spans="1:7" s="19" customFormat="1" ht="23.1" customHeight="1">
      <c r="A43" s="16" t="str">
        <f>IF('1'!A43="","",'1'!A43)</f>
        <v/>
      </c>
      <c r="B43" s="16">
        <f>IF('1'!B43="","",'1'!B43)</f>
        <v>30</v>
      </c>
      <c r="C43" s="17" t="str">
        <f>IF('1'!C43="","",'1'!C43)</f>
        <v/>
      </c>
      <c r="D43" s="219" t="str">
        <f>IF('1'!D43="","",'1'!D43)</f>
        <v/>
      </c>
      <c r="E43" s="17" t="str">
        <f>IF('1'!E43="","",'1'!E43)</f>
        <v/>
      </c>
      <c r="F43" s="219" t="str">
        <f>IF('1'!F43="","",'1'!F43)</f>
        <v/>
      </c>
      <c r="G43" s="17" t="str">
        <f>IF('1'!G43="","",'1'!G43)</f>
        <v/>
      </c>
    </row>
    <row r="44" spans="1:7" ht="23.1" customHeight="1">
      <c r="A44" s="16" t="str">
        <f>IF('1'!A44="","",'1'!A44)</f>
        <v/>
      </c>
      <c r="B44" s="16" t="str">
        <f>IF('1'!B44="","",'1'!B44)</f>
        <v/>
      </c>
      <c r="C44" s="17" t="str">
        <f>IF('1'!C44="","",'1'!C44)</f>
        <v/>
      </c>
      <c r="D44" s="219" t="str">
        <f>IF('1'!D44="","",'1'!D44)</f>
        <v/>
      </c>
      <c r="E44" s="17" t="str">
        <f>IF('1'!E44="","",'1'!E44)</f>
        <v/>
      </c>
      <c r="F44" s="219" t="str">
        <f>IF('1'!F44="","",'1'!F44)</f>
        <v/>
      </c>
      <c r="G44" s="17" t="str">
        <f>IF('1'!G44="","",'1'!G44)</f>
        <v/>
      </c>
    </row>
    <row r="45" spans="1:7" ht="23.1" customHeight="1">
      <c r="A45" s="16" t="str">
        <f>IF('1'!A45="","",'1'!A45)</f>
        <v/>
      </c>
      <c r="B45" s="16" t="str">
        <f>IF('1'!B45="","",'1'!B45)</f>
        <v/>
      </c>
      <c r="C45" s="17" t="str">
        <f>IF('1'!C45="","",'1'!C45)</f>
        <v/>
      </c>
      <c r="D45" s="219" t="str">
        <f>IF('1'!D45="","",'1'!D45)</f>
        <v/>
      </c>
      <c r="E45" s="17" t="str">
        <f>IF('1'!E45="","",'1'!E45)</f>
        <v/>
      </c>
      <c r="F45" s="219" t="str">
        <f>IF('1'!F45="","",'1'!F45)</f>
        <v/>
      </c>
      <c r="G45" s="17" t="str">
        <f>IF('1'!G45="","",'1'!G45)</f>
        <v/>
      </c>
    </row>
    <row r="46" spans="1:7" ht="23.1" customHeight="1">
      <c r="A46" s="16" t="str">
        <f>IF('1'!A46="","",'1'!A46)</f>
        <v/>
      </c>
      <c r="B46" s="16" t="str">
        <f>IF('1'!B46="","",'1'!B46)</f>
        <v/>
      </c>
      <c r="C46" s="17" t="str">
        <f>IF('1'!C46="","",'1'!C46)</f>
        <v/>
      </c>
      <c r="D46" s="219" t="str">
        <f>IF('1'!D46="","",'1'!D46)</f>
        <v/>
      </c>
      <c r="E46" s="17" t="str">
        <f>IF('1'!E46="","",'1'!E46)</f>
        <v/>
      </c>
      <c r="F46" s="219" t="str">
        <f>IF('1'!F46="","",'1'!F46)</f>
        <v/>
      </c>
      <c r="G46" s="17" t="str">
        <f>IF('1'!G46="","",'1'!G46)</f>
        <v/>
      </c>
    </row>
    <row r="47" spans="1:7" ht="23.1" customHeight="1">
      <c r="A47" s="16" t="str">
        <f>IF('1'!A47="","",'1'!A47)</f>
        <v/>
      </c>
      <c r="B47" s="16" t="str">
        <f>IF('1'!B47="","",'1'!B47)</f>
        <v/>
      </c>
      <c r="C47" s="17" t="str">
        <f>IF('1'!C47="","",'1'!C47)</f>
        <v/>
      </c>
      <c r="D47" s="219" t="str">
        <f>IF('1'!D47="","",'1'!D47)</f>
        <v/>
      </c>
      <c r="E47" s="17" t="str">
        <f>IF('1'!E47="","",'1'!E47)</f>
        <v/>
      </c>
      <c r="F47" s="219" t="str">
        <f>IF('1'!F47="","",'1'!F47)</f>
        <v/>
      </c>
      <c r="G47" s="17" t="str">
        <f>IF('1'!G47="","",'1'!G47)</f>
        <v/>
      </c>
    </row>
    <row r="48" spans="1:7" ht="23.1" customHeight="1">
      <c r="A48" s="16" t="str">
        <f>IF('1'!A48="","",'1'!A48)</f>
        <v/>
      </c>
      <c r="B48" s="16" t="str">
        <f>IF('1'!B48="","",'1'!B48)</f>
        <v/>
      </c>
      <c r="C48" s="17" t="str">
        <f>IF('1'!C48="","",'1'!C48)</f>
        <v/>
      </c>
      <c r="D48" s="219" t="str">
        <f>IF('1'!D48="","",'1'!D48)</f>
        <v/>
      </c>
      <c r="E48" s="17" t="str">
        <f>IF('1'!E48="","",'1'!E48)</f>
        <v/>
      </c>
      <c r="F48" s="219" t="str">
        <f>IF('1'!F48="","",'1'!F48)</f>
        <v/>
      </c>
      <c r="G48" s="17" t="str">
        <f>IF('1'!G48="","",'1'!G48)</f>
        <v/>
      </c>
    </row>
    <row r="49" spans="1:7" ht="23.1" customHeight="1">
      <c r="A49" s="16" t="str">
        <f>IF('1'!A49="","",'1'!A49)</f>
        <v/>
      </c>
      <c r="B49" s="16" t="str">
        <f>IF('1'!B49="","",'1'!B49)</f>
        <v/>
      </c>
      <c r="C49" s="17" t="str">
        <f>IF('1'!C49="","",'1'!C49)</f>
        <v/>
      </c>
      <c r="D49" s="219" t="str">
        <f>IF('1'!D49="","",'1'!D49)</f>
        <v/>
      </c>
      <c r="E49" s="17" t="str">
        <f>IF('1'!E49="","",'1'!E49)</f>
        <v/>
      </c>
      <c r="F49" s="219" t="str">
        <f>IF('1'!F49="","",'1'!F49)</f>
        <v/>
      </c>
      <c r="G49" s="17" t="str">
        <f>IF('1'!G49="","",'1'!G49)</f>
        <v/>
      </c>
    </row>
    <row r="50" spans="1:7" ht="23.1" customHeight="1">
      <c r="A50" s="16" t="str">
        <f>IF('1'!A50="","",'1'!A50)</f>
        <v/>
      </c>
      <c r="B50" s="16" t="str">
        <f>IF('1'!B50="","",'1'!B50)</f>
        <v/>
      </c>
      <c r="C50" s="17" t="str">
        <f>IF('1'!C50="","",'1'!C50)</f>
        <v/>
      </c>
      <c r="D50" s="219" t="str">
        <f>IF('1'!D50="","",'1'!D50)</f>
        <v/>
      </c>
      <c r="E50" s="17" t="str">
        <f>IF('1'!E50="","",'1'!E50)</f>
        <v/>
      </c>
      <c r="F50" s="219" t="str">
        <f>IF('1'!F50="","",'1'!F50)</f>
        <v/>
      </c>
      <c r="G50" s="17" t="str">
        <f>IF('1'!G50="","",'1'!G50)</f>
        <v/>
      </c>
    </row>
    <row r="51" spans="1:7" ht="23.1" customHeight="1">
      <c r="A51" s="16" t="str">
        <f>IF('1'!A51="","",'1'!A51)</f>
        <v/>
      </c>
      <c r="B51" s="16" t="str">
        <f>IF('1'!B51="","",'1'!B51)</f>
        <v/>
      </c>
      <c r="C51" s="17" t="str">
        <f>IF('1'!C51="","",'1'!C51)</f>
        <v/>
      </c>
      <c r="D51" s="219" t="str">
        <f>IF('1'!D51="","",'1'!D51)</f>
        <v/>
      </c>
      <c r="E51" s="17" t="str">
        <f>IF('1'!E51="","",'1'!E51)</f>
        <v/>
      </c>
      <c r="F51" s="219" t="str">
        <f>IF('1'!F51="","",'1'!F51)</f>
        <v/>
      </c>
      <c r="G51" s="17" t="str">
        <f>IF('1'!G51="","",'1'!G51)</f>
        <v/>
      </c>
    </row>
    <row r="52" spans="1:7" ht="23.1" customHeight="1">
      <c r="A52" s="16" t="str">
        <f>IF('1'!A52="","",'1'!A52)</f>
        <v/>
      </c>
      <c r="B52" s="16" t="str">
        <f>IF('1'!B52="","",'1'!B52)</f>
        <v/>
      </c>
      <c r="C52" s="17" t="str">
        <f>IF('1'!C52="","",'1'!C52)</f>
        <v/>
      </c>
      <c r="D52" s="219" t="str">
        <f>IF('1'!D52="","",'1'!D52)</f>
        <v/>
      </c>
      <c r="E52" s="17" t="str">
        <f>IF('1'!E52="","",'1'!E52)</f>
        <v/>
      </c>
      <c r="F52" s="219" t="str">
        <f>IF('1'!F52="","",'1'!F52)</f>
        <v/>
      </c>
      <c r="G52" s="17" t="str">
        <f>IF('1'!G52="","",'1'!G52)</f>
        <v/>
      </c>
    </row>
    <row r="53" spans="1:7" ht="23.1" customHeight="1">
      <c r="A53" s="16" t="str">
        <f>IF('1'!A53="","",'1'!A53)</f>
        <v/>
      </c>
      <c r="B53" s="16" t="str">
        <f>IF('1'!B53="","",'1'!B53)</f>
        <v/>
      </c>
      <c r="C53" s="17" t="str">
        <f>IF('1'!C53="","",'1'!C53)</f>
        <v/>
      </c>
      <c r="D53" s="219" t="str">
        <f>IF('1'!D53="","",'1'!D53)</f>
        <v/>
      </c>
      <c r="E53" s="17" t="str">
        <f>IF('1'!E53="","",'1'!E53)</f>
        <v/>
      </c>
      <c r="F53" s="219" t="str">
        <f>IF('1'!F53="","",'1'!F53)</f>
        <v/>
      </c>
      <c r="G53" s="17" t="str">
        <f>IF('1'!G53="","",'1'!G53)</f>
        <v/>
      </c>
    </row>
    <row r="54" spans="1:7" ht="23.1" customHeight="1">
      <c r="A54" s="16" t="str">
        <f>IF('1'!A54="","",'1'!A54)</f>
        <v/>
      </c>
      <c r="B54" s="16" t="str">
        <f>IF('1'!B54="","",'1'!B54)</f>
        <v/>
      </c>
      <c r="C54" s="17" t="str">
        <f>IF('1'!C54="","",'1'!C54)</f>
        <v/>
      </c>
      <c r="D54" s="219" t="str">
        <f>IF('1'!D54="","",'1'!D54)</f>
        <v/>
      </c>
      <c r="E54" s="17" t="str">
        <f>IF('1'!E54="","",'1'!E54)</f>
        <v/>
      </c>
      <c r="F54" s="219" t="str">
        <f>IF('1'!F54="","",'1'!F54)</f>
        <v/>
      </c>
      <c r="G54" s="17" t="str">
        <f>IF('1'!G54="","",'1'!G54)</f>
        <v/>
      </c>
    </row>
    <row r="55" spans="1:7" ht="23.1" customHeight="1">
      <c r="A55" s="16" t="str">
        <f>IF('1'!A55="","",'1'!A55)</f>
        <v/>
      </c>
      <c r="B55" s="16" t="str">
        <f>IF('1'!B55="","",'1'!B55)</f>
        <v/>
      </c>
      <c r="C55" s="17" t="str">
        <f>IF('1'!C55="","",'1'!C55)</f>
        <v/>
      </c>
      <c r="D55" s="219" t="str">
        <f>IF('1'!D55="","",'1'!D55)</f>
        <v/>
      </c>
      <c r="E55" s="17" t="str">
        <f>IF('1'!E55="","",'1'!E55)</f>
        <v/>
      </c>
      <c r="F55" s="219" t="str">
        <f>IF('1'!F55="","",'1'!F55)</f>
        <v/>
      </c>
      <c r="G55" s="17" t="str">
        <f>IF('1'!G55="","",'1'!G55)</f>
        <v/>
      </c>
    </row>
    <row r="56" spans="1:7" ht="23.1" customHeight="1">
      <c r="A56" s="16" t="str">
        <f>IF('1'!A56="","",'1'!A56)</f>
        <v/>
      </c>
      <c r="B56" s="16" t="str">
        <f>IF('1'!B56="","",'1'!B56)</f>
        <v/>
      </c>
      <c r="C56" s="17" t="str">
        <f>IF('1'!C56="","",'1'!C56)</f>
        <v/>
      </c>
      <c r="D56" s="219" t="str">
        <f>IF('1'!D56="","",'1'!D56)</f>
        <v/>
      </c>
      <c r="E56" s="17" t="str">
        <f>IF('1'!E56="","",'1'!E56)</f>
        <v/>
      </c>
      <c r="F56" s="219" t="str">
        <f>IF('1'!F56="","",'1'!F56)</f>
        <v/>
      </c>
      <c r="G56" s="17" t="str">
        <f>IF('1'!G56="","",'1'!G56)</f>
        <v/>
      </c>
    </row>
    <row r="57" spans="1:7" ht="23.1" customHeight="1">
      <c r="A57" s="16" t="str">
        <f>IF('1'!A57="","",'1'!A57)</f>
        <v/>
      </c>
      <c r="B57" s="16" t="str">
        <f>IF('1'!B57="","",'1'!B57)</f>
        <v/>
      </c>
      <c r="C57" s="17" t="str">
        <f>IF('1'!C57="","",'1'!C57)</f>
        <v/>
      </c>
      <c r="D57" s="219" t="str">
        <f>IF('1'!D57="","",'1'!D57)</f>
        <v/>
      </c>
      <c r="E57" s="17" t="str">
        <f>IF('1'!E57="","",'1'!E57)</f>
        <v/>
      </c>
      <c r="F57" s="219" t="str">
        <f>IF('1'!F57="","",'1'!F57)</f>
        <v/>
      </c>
      <c r="G57" s="17" t="str">
        <f>IF('1'!G57="","",'1'!G57)</f>
        <v/>
      </c>
    </row>
    <row r="58" spans="1:7" ht="23.1" customHeight="1">
      <c r="A58" s="16" t="str">
        <f>IF('1'!A58="","",'1'!A58)</f>
        <v/>
      </c>
      <c r="B58" s="16" t="str">
        <f>IF('1'!B58="","",'1'!B58)</f>
        <v/>
      </c>
      <c r="C58" s="17" t="str">
        <f>IF('1'!C58="","",'1'!C58)</f>
        <v/>
      </c>
      <c r="D58" s="219" t="str">
        <f>IF('1'!D58="","",'1'!D58)</f>
        <v/>
      </c>
      <c r="E58" s="17" t="str">
        <f>IF('1'!E58="","",'1'!E58)</f>
        <v/>
      </c>
      <c r="F58" s="219" t="str">
        <f>IF('1'!F58="","",'1'!F58)</f>
        <v/>
      </c>
      <c r="G58" s="17" t="str">
        <f>IF('1'!G58="","",'1'!G58)</f>
        <v/>
      </c>
    </row>
    <row r="59" spans="1:7" ht="23.1" customHeight="1">
      <c r="A59" s="16" t="str">
        <f>IF('1'!A59="","",'1'!A59)</f>
        <v/>
      </c>
      <c r="B59" s="16" t="str">
        <f>IF('1'!B59="","",'1'!B59)</f>
        <v/>
      </c>
      <c r="C59" s="17" t="str">
        <f>IF('1'!C59="","",'1'!C59)</f>
        <v/>
      </c>
      <c r="D59" s="219" t="str">
        <f>IF('1'!D59="","",'1'!D59)</f>
        <v/>
      </c>
      <c r="E59" s="17" t="str">
        <f>IF('1'!E59="","",'1'!E59)</f>
        <v/>
      </c>
      <c r="F59" s="219" t="str">
        <f>IF('1'!F59="","",'1'!F59)</f>
        <v/>
      </c>
      <c r="G59" s="17" t="str">
        <f>IF('1'!G59="","",'1'!G59)</f>
        <v/>
      </c>
    </row>
    <row r="60" spans="1:7" ht="23.1" customHeight="1">
      <c r="A60" s="16" t="str">
        <f>IF('1'!A60="","",'1'!A60)</f>
        <v/>
      </c>
      <c r="B60" s="16" t="str">
        <f>IF('1'!B60="","",'1'!B60)</f>
        <v/>
      </c>
      <c r="C60" s="17" t="str">
        <f>IF('1'!C60="","",'1'!C60)</f>
        <v/>
      </c>
      <c r="D60" s="219" t="str">
        <f>IF('1'!D60="","",'1'!D60)</f>
        <v/>
      </c>
      <c r="E60" s="17" t="str">
        <f>IF('1'!E60="","",'1'!E60)</f>
        <v/>
      </c>
      <c r="F60" s="219" t="str">
        <f>IF('1'!F60="","",'1'!F60)</f>
        <v/>
      </c>
      <c r="G60" s="17" t="str">
        <f>IF('1'!G60="","",'1'!G60)</f>
        <v/>
      </c>
    </row>
    <row r="61" spans="1:7" ht="23.1" customHeight="1">
      <c r="A61" s="16" t="str">
        <f>IF('1'!A61="","",'1'!A61)</f>
        <v/>
      </c>
      <c r="B61" s="16" t="str">
        <f>IF('1'!B61="","",'1'!B61)</f>
        <v/>
      </c>
      <c r="C61" s="17" t="str">
        <f>IF('1'!C61="","",'1'!C61)</f>
        <v/>
      </c>
      <c r="D61" s="219" t="str">
        <f>IF('1'!D61="","",'1'!D61)</f>
        <v/>
      </c>
      <c r="E61" s="17" t="str">
        <f>IF('1'!E61="","",'1'!E61)</f>
        <v/>
      </c>
      <c r="F61" s="219" t="str">
        <f>IF('1'!F61="","",'1'!F61)</f>
        <v/>
      </c>
      <c r="G61" s="17" t="str">
        <f>IF('1'!G61="","",'1'!G61)</f>
        <v/>
      </c>
    </row>
    <row r="62" spans="1:7" ht="23.1" customHeight="1">
      <c r="A62" s="16" t="str">
        <f>IF('1'!A62="","",'1'!A62)</f>
        <v/>
      </c>
      <c r="B62" s="16" t="str">
        <f>IF('1'!B62="","",'1'!B62)</f>
        <v/>
      </c>
      <c r="C62" s="17" t="str">
        <f>IF('1'!C62="","",'1'!C62)</f>
        <v/>
      </c>
      <c r="D62" s="219" t="str">
        <f>IF('1'!D62="","",'1'!D62)</f>
        <v/>
      </c>
      <c r="E62" s="17" t="str">
        <f>IF('1'!E62="","",'1'!E62)</f>
        <v/>
      </c>
      <c r="F62" s="219" t="str">
        <f>IF('1'!F62="","",'1'!F62)</f>
        <v/>
      </c>
      <c r="G62" s="17" t="str">
        <f>IF('1'!G62="","",'1'!G62)</f>
        <v/>
      </c>
    </row>
    <row r="63" spans="1:7" ht="23.1" customHeight="1">
      <c r="A63" s="16" t="str">
        <f>IF('1'!A63="","",'1'!A63)</f>
        <v/>
      </c>
      <c r="B63" s="16" t="str">
        <f>IF('1'!B63="","",'1'!B63)</f>
        <v/>
      </c>
      <c r="C63" s="17" t="str">
        <f>IF('1'!C63="","",'1'!C63)</f>
        <v/>
      </c>
      <c r="D63" s="219" t="str">
        <f>IF('1'!D63="","",'1'!D63)</f>
        <v/>
      </c>
      <c r="E63" s="17" t="str">
        <f>IF('1'!E63="","",'1'!E63)</f>
        <v/>
      </c>
      <c r="F63" s="219" t="str">
        <f>IF('1'!F63="","",'1'!F63)</f>
        <v/>
      </c>
      <c r="G63" s="17" t="str">
        <f>IF('1'!G63="","",'1'!G63)</f>
        <v/>
      </c>
    </row>
    <row r="64" spans="1:7" ht="23.1" customHeight="1">
      <c r="A64" s="16" t="str">
        <f>IF('1'!A64="","",'1'!A64)</f>
        <v/>
      </c>
      <c r="B64" s="16" t="str">
        <f>IF('1'!B64="","",'1'!B64)</f>
        <v/>
      </c>
      <c r="C64" s="17" t="str">
        <f>IF('1'!C64="","",'1'!C64)</f>
        <v/>
      </c>
      <c r="D64" s="219" t="str">
        <f>IF('1'!D64="","",'1'!D64)</f>
        <v/>
      </c>
      <c r="E64" s="17" t="str">
        <f>IF('1'!E64="","",'1'!E64)</f>
        <v/>
      </c>
      <c r="F64" s="219" t="str">
        <f>IF('1'!F64="","",'1'!F64)</f>
        <v/>
      </c>
      <c r="G64" s="17" t="str">
        <f>IF('1'!G64="","",'1'!G64)</f>
        <v/>
      </c>
    </row>
    <row r="65" spans="1:7" ht="23.1" customHeight="1">
      <c r="A65" s="16" t="str">
        <f>IF('1'!A65="","",'1'!A65)</f>
        <v/>
      </c>
      <c r="B65" s="16" t="str">
        <f>IF('1'!B65="","",'1'!B65)</f>
        <v/>
      </c>
      <c r="C65" s="17" t="str">
        <f>IF('1'!C65="","",'1'!C65)</f>
        <v/>
      </c>
      <c r="D65" s="219" t="str">
        <f>IF('1'!D65="","",'1'!D65)</f>
        <v/>
      </c>
      <c r="E65" s="17" t="str">
        <f>IF('1'!E65="","",'1'!E65)</f>
        <v/>
      </c>
      <c r="F65" s="219" t="str">
        <f>IF('1'!F65="","",'1'!F65)</f>
        <v/>
      </c>
      <c r="G65" s="17" t="str">
        <f>IF('1'!G65="","",'1'!G65)</f>
        <v/>
      </c>
    </row>
    <row r="66" spans="1:7" ht="23.1" customHeight="1">
      <c r="A66" s="16" t="str">
        <f>IF('1'!A66="","",'1'!A66)</f>
        <v/>
      </c>
      <c r="B66" s="16" t="str">
        <f>IF('1'!B66="","",'1'!B66)</f>
        <v/>
      </c>
      <c r="C66" s="17" t="str">
        <f>IF('1'!C66="","",'1'!C66)</f>
        <v/>
      </c>
      <c r="D66" s="219" t="str">
        <f>IF('1'!D66="","",'1'!D66)</f>
        <v/>
      </c>
      <c r="E66" s="17" t="str">
        <f>IF('1'!E66="","",'1'!E66)</f>
        <v/>
      </c>
      <c r="F66" s="219" t="str">
        <f>IF('1'!F66="","",'1'!F66)</f>
        <v/>
      </c>
      <c r="G66" s="17" t="str">
        <f>IF('1'!G66="","",'1'!G66)</f>
        <v/>
      </c>
    </row>
    <row r="67" spans="1:7" ht="23.1" customHeight="1">
      <c r="A67" s="16" t="str">
        <f>IF('1'!A67="","",'1'!A67)</f>
        <v/>
      </c>
      <c r="B67" s="16" t="str">
        <f>IF('1'!B67="","",'1'!B67)</f>
        <v/>
      </c>
      <c r="C67" s="17" t="str">
        <f>IF('1'!C67="","",'1'!C67)</f>
        <v/>
      </c>
      <c r="D67" s="219" t="str">
        <f>IF('1'!D67="","",'1'!D67)</f>
        <v/>
      </c>
      <c r="E67" s="17" t="str">
        <f>IF('1'!E67="","",'1'!E67)</f>
        <v/>
      </c>
      <c r="F67" s="219" t="str">
        <f>IF('1'!F67="","",'1'!F67)</f>
        <v/>
      </c>
      <c r="G67" s="17" t="str">
        <f>IF('1'!G67="","",'1'!G67)</f>
        <v/>
      </c>
    </row>
    <row r="68" spans="1:7" ht="23.1" customHeight="1">
      <c r="A68" s="16" t="str">
        <f>IF('1'!A68="","",'1'!A68)</f>
        <v/>
      </c>
      <c r="B68" s="16" t="str">
        <f>IF('1'!B68="","",'1'!B68)</f>
        <v/>
      </c>
      <c r="C68" s="17" t="str">
        <f>IF('1'!C68="","",'1'!C68)</f>
        <v/>
      </c>
      <c r="D68" s="219" t="str">
        <f>IF('1'!D68="","",'1'!D68)</f>
        <v/>
      </c>
      <c r="E68" s="17" t="str">
        <f>IF('1'!E68="","",'1'!E68)</f>
        <v/>
      </c>
      <c r="F68" s="219" t="str">
        <f>IF('1'!F68="","",'1'!F68)</f>
        <v/>
      </c>
      <c r="G68" s="17" t="str">
        <f>IF('1'!G68="","",'1'!G68)</f>
        <v/>
      </c>
    </row>
    <row r="69" spans="1:7" ht="23.1" customHeight="1">
      <c r="A69" s="16" t="str">
        <f>IF('1'!A69="","",'1'!A69)</f>
        <v/>
      </c>
      <c r="B69" s="16" t="str">
        <f>IF('1'!B69="","",'1'!B69)</f>
        <v/>
      </c>
      <c r="C69" s="17" t="str">
        <f>IF('1'!C69="","",'1'!C69)</f>
        <v/>
      </c>
      <c r="D69" s="219" t="str">
        <f>IF('1'!D69="","",'1'!D69)</f>
        <v/>
      </c>
      <c r="E69" s="17" t="str">
        <f>IF('1'!E69="","",'1'!E69)</f>
        <v/>
      </c>
      <c r="F69" s="219" t="str">
        <f>IF('1'!F69="","",'1'!F69)</f>
        <v/>
      </c>
      <c r="G69" s="17" t="str">
        <f>IF('1'!G69="","",'1'!G69)</f>
        <v/>
      </c>
    </row>
    <row r="70" spans="1:7" ht="23.1" customHeight="1">
      <c r="A70" s="16" t="str">
        <f>IF('1'!A70="","",'1'!A70)</f>
        <v/>
      </c>
      <c r="B70" s="16" t="str">
        <f>IF('1'!B70="","",'1'!B70)</f>
        <v/>
      </c>
      <c r="C70" s="17" t="str">
        <f>IF('1'!C70="","",'1'!C70)</f>
        <v/>
      </c>
      <c r="D70" s="219" t="str">
        <f>IF('1'!D70="","",'1'!D70)</f>
        <v/>
      </c>
      <c r="E70" s="17" t="str">
        <f>IF('1'!E70="","",'1'!E70)</f>
        <v/>
      </c>
      <c r="F70" s="219" t="str">
        <f>IF('1'!F70="","",'1'!F70)</f>
        <v/>
      </c>
      <c r="G70" s="17" t="str">
        <f>IF('1'!G70="","",'1'!G70)</f>
        <v/>
      </c>
    </row>
    <row r="71" spans="1:7" ht="23.1" customHeight="1">
      <c r="A71" s="16" t="str">
        <f>IF('1'!A71="","",'1'!A71)</f>
        <v/>
      </c>
      <c r="B71" s="16" t="str">
        <f>IF('1'!B71="","",'1'!B71)</f>
        <v/>
      </c>
      <c r="C71" s="17" t="str">
        <f>IF('1'!C71="","",'1'!C71)</f>
        <v/>
      </c>
      <c r="D71" s="219" t="str">
        <f>IF('1'!D71="","",'1'!D71)</f>
        <v/>
      </c>
      <c r="E71" s="17" t="str">
        <f>IF('1'!E71="","",'1'!E71)</f>
        <v/>
      </c>
      <c r="F71" s="219" t="str">
        <f>IF('1'!F71="","",'1'!F71)</f>
        <v/>
      </c>
      <c r="G71" s="17" t="str">
        <f>IF('1'!G71="","",'1'!G71)</f>
        <v/>
      </c>
    </row>
    <row r="72" spans="1:7" ht="23.1" customHeight="1">
      <c r="A72" s="16" t="str">
        <f>IF('1'!A72="","",'1'!A72)</f>
        <v/>
      </c>
      <c r="B72" s="16" t="str">
        <f>IF('1'!B72="","",'1'!B72)</f>
        <v/>
      </c>
      <c r="C72" s="17" t="str">
        <f>IF('1'!C72="","",'1'!C72)</f>
        <v/>
      </c>
      <c r="D72" s="219" t="str">
        <f>IF('1'!D72="","",'1'!D72)</f>
        <v/>
      </c>
      <c r="E72" s="17" t="str">
        <f>IF('1'!E72="","",'1'!E72)</f>
        <v/>
      </c>
      <c r="F72" s="219" t="str">
        <f>IF('1'!F72="","",'1'!F72)</f>
        <v/>
      </c>
      <c r="G72" s="17" t="str">
        <f>IF('1'!G72="","",'1'!G72)</f>
        <v/>
      </c>
    </row>
    <row r="73" spans="1:7" ht="23.1" customHeight="1">
      <c r="A73" s="16" t="str">
        <f>IF('1'!A73="","",'1'!A73)</f>
        <v/>
      </c>
      <c r="B73" s="16" t="str">
        <f>IF('1'!B73="","",'1'!B73)</f>
        <v/>
      </c>
      <c r="C73" s="17" t="str">
        <f>IF('1'!C73="","",'1'!C73)</f>
        <v/>
      </c>
      <c r="D73" s="219" t="str">
        <f>IF('1'!D73="","",'1'!D73)</f>
        <v/>
      </c>
      <c r="E73" s="17" t="str">
        <f>IF('1'!E73="","",'1'!E73)</f>
        <v/>
      </c>
      <c r="F73" s="219" t="str">
        <f>IF('1'!F73="","",'1'!F73)</f>
        <v/>
      </c>
      <c r="G73" s="17" t="str">
        <f>IF('1'!G73="","",'1'!G73)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7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r:id="rId1"/>
  <headerFooter alignWithMargins="0">
    <oddHeader>&amp;R&amp;P/&amp;N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5F2C-955D-4CC8-9751-4971C8FAF166}">
  <sheetPr codeName="Sheet2">
    <tabColor rgb="FF0070C0"/>
  </sheetPr>
  <dimension ref="A4:J16"/>
  <sheetViews>
    <sheetView workbookViewId="0">
      <selection activeCell="L15" sqref="L15"/>
    </sheetView>
  </sheetViews>
  <sheetFormatPr defaultColWidth="8.88671875" defaultRowHeight="30" customHeight="1"/>
  <cols>
    <col min="1" max="1" width="8.88671875" style="107"/>
    <col min="2" max="3" width="8.88671875" style="105"/>
    <col min="4" max="4" width="13.6640625" style="106" customWidth="1"/>
    <col min="5" max="16384" width="8.88671875" style="105"/>
  </cols>
  <sheetData>
    <row r="4" spans="1:10" ht="30" customHeight="1">
      <c r="A4" s="244" t="str">
        <f>'2-80'!C7</f>
        <v xml:space="preserve">2026 Fuji Horse Show Autumn Grand Prix </v>
      </c>
      <c r="B4" s="244"/>
      <c r="C4" s="244"/>
      <c r="D4" s="244"/>
      <c r="E4" s="244"/>
      <c r="F4" s="244"/>
      <c r="G4" s="244"/>
      <c r="H4" s="244"/>
      <c r="I4" s="244"/>
      <c r="J4" s="244"/>
    </row>
    <row r="6" spans="1:10" ht="30" customHeight="1">
      <c r="A6" s="107" t="s">
        <v>41</v>
      </c>
      <c r="B6" s="110">
        <f>'2-80'!B8</f>
        <v>2</v>
      </c>
      <c r="C6" s="105" t="s">
        <v>42</v>
      </c>
      <c r="D6" s="108" t="str">
        <f>'2-80'!D8:F8</f>
        <v>バーティカルジャンプ８０</v>
      </c>
    </row>
    <row r="8" spans="1:10" ht="30" customHeight="1">
      <c r="C8" s="105" t="s">
        <v>96</v>
      </c>
      <c r="E8" s="109" t="s">
        <v>101</v>
      </c>
    </row>
    <row r="9" spans="1:10" ht="30" customHeight="1">
      <c r="C9" s="105" t="s">
        <v>95</v>
      </c>
      <c r="E9" s="109" t="s">
        <v>102</v>
      </c>
      <c r="F9" s="105" t="s">
        <v>94</v>
      </c>
    </row>
    <row r="10" spans="1:10" ht="30" customHeight="1">
      <c r="A10" s="246" t="s">
        <v>99</v>
      </c>
      <c r="B10" s="246"/>
      <c r="C10" s="246"/>
      <c r="D10" s="246"/>
      <c r="E10" s="246"/>
      <c r="F10" s="246"/>
      <c r="G10" s="246"/>
      <c r="H10" s="246"/>
    </row>
    <row r="11" spans="1:10" ht="30" customHeight="1">
      <c r="A11" s="246"/>
      <c r="B11" s="246"/>
      <c r="C11" s="246"/>
      <c r="D11" s="246"/>
      <c r="E11" s="246"/>
      <c r="F11" s="246"/>
      <c r="G11" s="246"/>
      <c r="H11" s="246"/>
    </row>
    <row r="12" spans="1:10" ht="30" customHeight="1">
      <c r="D12" s="105"/>
      <c r="F12" s="106"/>
      <c r="G12" s="106"/>
    </row>
    <row r="13" spans="1:10" ht="30" customHeight="1">
      <c r="D13" s="105"/>
      <c r="F13" s="106"/>
      <c r="G13" s="106"/>
    </row>
    <row r="14" spans="1:10" ht="30" customHeight="1">
      <c r="D14" s="105"/>
      <c r="G14" s="106"/>
    </row>
    <row r="15" spans="1:10" ht="30" customHeight="1">
      <c r="D15" s="105"/>
      <c r="G15" s="106"/>
    </row>
    <row r="16" spans="1:10" ht="30" customHeight="1">
      <c r="D16" s="108"/>
      <c r="E16" s="108"/>
      <c r="F16" s="108"/>
      <c r="G16" s="108"/>
    </row>
  </sheetData>
  <mergeCells count="2">
    <mergeCell ref="A4:J4"/>
    <mergeCell ref="A10:H11"/>
  </mergeCells>
  <phoneticPr fontId="7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>
    <tabColor rgb="FF0070C0"/>
  </sheetPr>
  <dimension ref="A1:G73"/>
  <sheetViews>
    <sheetView view="pageBreakPreview" topLeftCell="A6" zoomScale="89" zoomScaleNormal="100" zoomScaleSheetLayoutView="89" workbookViewId="0">
      <selection activeCell="F13" sqref="F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'2'!C2</f>
        <v>0</v>
      </c>
      <c r="D6" s="3"/>
      <c r="F6" s="4" t="s">
        <v>2</v>
      </c>
      <c r="G6" s="6">
        <v>46276</v>
      </c>
    </row>
    <row r="7" spans="1:7" ht="24" customHeight="1">
      <c r="A7" s="7"/>
      <c r="B7" s="4" t="s">
        <v>4</v>
      </c>
      <c r="C7" s="8" t="str">
        <f>'2'!C3</f>
        <v xml:space="preserve">2026 Fuji Horse Show Autumn Grand Prix </v>
      </c>
      <c r="D7" s="9"/>
      <c r="E7" s="9"/>
      <c r="F7" s="9"/>
      <c r="G7" s="117" t="s">
        <v>727</v>
      </c>
    </row>
    <row r="8" spans="1:7" ht="21" customHeight="1">
      <c r="A8" s="10" t="s">
        <v>41</v>
      </c>
      <c r="B8" s="68">
        <f>'2'!C4</f>
        <v>2</v>
      </c>
      <c r="C8" s="4" t="s">
        <v>42</v>
      </c>
      <c r="D8" s="237" t="str">
        <f>'2'!F4</f>
        <v>バーティカルジャンプ８０</v>
      </c>
      <c r="E8" s="237"/>
      <c r="F8" s="237"/>
    </row>
    <row r="9" spans="1:7" ht="18.75" customHeight="1">
      <c r="C9" s="11" t="s">
        <v>11</v>
      </c>
      <c r="D9" s="217" t="str">
        <f>'2'!D5</f>
        <v>-</v>
      </c>
      <c r="E9" s="4" t="s">
        <v>9</v>
      </c>
      <c r="F9" s="220" t="str">
        <f>'2'!K4</f>
        <v>-</v>
      </c>
    </row>
    <row r="10" spans="1:7" ht="21" customHeight="1">
      <c r="A10" s="12" t="s">
        <v>43</v>
      </c>
      <c r="B10" s="12"/>
      <c r="C10" s="12"/>
      <c r="D10" s="218" t="str">
        <f>'2'!D6</f>
        <v>-</v>
      </c>
      <c r="E10" s="4" t="s">
        <v>12</v>
      </c>
      <c r="F10" s="221" t="str">
        <f>'2'!F5</f>
        <v>-</v>
      </c>
      <c r="G10" s="13" t="s">
        <v>44</v>
      </c>
    </row>
    <row r="11" spans="1:7" ht="5.0999999999999996" customHeight="1"/>
    <row r="12" spans="1:7" ht="15" customHeight="1">
      <c r="A12" s="238" t="s">
        <v>45</v>
      </c>
      <c r="B12" s="240" t="s">
        <v>46</v>
      </c>
      <c r="C12" s="242" t="s">
        <v>47</v>
      </c>
      <c r="D12" s="243"/>
      <c r="E12" s="235" t="s">
        <v>48</v>
      </c>
      <c r="F12" s="235"/>
      <c r="G12" s="235" t="s">
        <v>49</v>
      </c>
    </row>
    <row r="13" spans="1:7" ht="24" customHeight="1">
      <c r="A13" s="239"/>
      <c r="B13" s="241"/>
      <c r="C13" s="14" t="s">
        <v>52</v>
      </c>
      <c r="D13" s="15" t="s">
        <v>53</v>
      </c>
      <c r="E13" s="15" t="s">
        <v>54</v>
      </c>
      <c r="F13" s="15" t="s">
        <v>55</v>
      </c>
      <c r="G13" s="236"/>
    </row>
    <row r="14" spans="1:7" s="19" customFormat="1" ht="23.1" customHeight="1">
      <c r="A14" s="16" t="str">
        <f>IF('2'!A14="","",'2'!A14)</f>
        <v>ＯＰ</v>
      </c>
      <c r="B14" s="16">
        <f>IF('2'!B14="","",'2'!B14)</f>
        <v>1</v>
      </c>
      <c r="C14" s="17" t="str">
        <f>IF('2'!C14="","",'2'!C14)</f>
        <v>鈴木　裕介</v>
      </c>
      <c r="D14" s="219">
        <f>IF('2'!D14="","",'2'!D14)</f>
        <v>23529</v>
      </c>
      <c r="E14" s="17" t="str">
        <f>IF('2'!E14="","",'2'!E14)</f>
        <v>ワンダークラッシー</v>
      </c>
      <c r="F14" s="219" t="str">
        <f>IF('2'!F14="","",'2'!F14)</f>
        <v>-</v>
      </c>
      <c r="G14" s="17" t="str">
        <f>IF('2'!G14="","",'2'!G14)</f>
        <v>北駿ホースヴィラ</v>
      </c>
    </row>
    <row r="15" spans="1:7" s="19" customFormat="1" ht="23.1" customHeight="1">
      <c r="A15" s="16" t="str">
        <f>IF('2'!A15="","",'2'!A15)</f>
        <v>ＯＰ</v>
      </c>
      <c r="B15" s="16">
        <f>IF('2'!B15="","",'2'!B15)</f>
        <v>2</v>
      </c>
      <c r="C15" s="17" t="str">
        <f>IF('2'!C15="","",'2'!C15)</f>
        <v>伊藤　正平</v>
      </c>
      <c r="D15" s="219">
        <f>IF('2'!D15="","",'2'!D15)</f>
        <v>11976</v>
      </c>
      <c r="E15" s="17" t="str">
        <f>IF('2'!E15="","",'2'!E15)</f>
        <v>ベルナルドI</v>
      </c>
      <c r="F15" s="219">
        <f>IF('2'!F15="","",'2'!F15)</f>
        <v>58347</v>
      </c>
      <c r="G15" s="17" t="str">
        <f>IF('2'!G15="","",'2'!G15)</f>
        <v>乗馬クラブクレイン伊奈</v>
      </c>
    </row>
    <row r="16" spans="1:7" s="19" customFormat="1" ht="23.1" customHeight="1">
      <c r="A16" s="16" t="str">
        <f>IF('2'!A16="","",'2'!A16)</f>
        <v>ＯＰ</v>
      </c>
      <c r="B16" s="16">
        <f>IF('2'!B16="","",'2'!B16)</f>
        <v>3</v>
      </c>
      <c r="C16" s="17" t="str">
        <f>IF('2'!C16="","",'2'!C16)</f>
        <v>村上　篤</v>
      </c>
      <c r="D16" s="219">
        <f>IF('2'!D16="","",'2'!D16)</f>
        <v>4416</v>
      </c>
      <c r="E16" s="17" t="str">
        <f>IF('2'!E16="","",'2'!E16)</f>
        <v>メアラス</v>
      </c>
      <c r="F16" s="219">
        <f>IF('2'!F16="","",'2'!F16)</f>
        <v>59173</v>
      </c>
      <c r="G16" s="17" t="str">
        <f>IF('2'!G16="","",'2'!G16)</f>
        <v>オリエント馬事センター</v>
      </c>
    </row>
    <row r="17" spans="1:7" s="19" customFormat="1" ht="23.1" customHeight="1">
      <c r="A17" s="16" t="str">
        <f>IF('2'!A17="","",'2'!A17)</f>
        <v>ＯＰ</v>
      </c>
      <c r="B17" s="16">
        <f>IF('2'!B17="","",'2'!B17)</f>
        <v>4</v>
      </c>
      <c r="C17" s="17" t="str">
        <f>IF('2'!C17="","",'2'!C17)</f>
        <v>小野　敬司</v>
      </c>
      <c r="D17" s="219">
        <f>IF('2'!D17="","",'2'!D17)</f>
        <v>21867</v>
      </c>
      <c r="E17" s="17" t="str">
        <f>IF('2'!E17="","",'2'!E17)</f>
        <v>リモーネ</v>
      </c>
      <c r="F17" s="219">
        <f>IF('2'!F17="","",'2'!F17)</f>
        <v>58308</v>
      </c>
      <c r="G17" s="17" t="str">
        <f>IF('2'!G17="","",'2'!G17)</f>
        <v>乗馬クラブクレイン東京</v>
      </c>
    </row>
    <row r="18" spans="1:7" s="19" customFormat="1" ht="23.1" customHeight="1">
      <c r="A18" s="16" t="str">
        <f>IF('2'!A18="","",'2'!A18)</f>
        <v/>
      </c>
      <c r="B18" s="16">
        <f>IF('2'!B18="","",'2'!B18)</f>
        <v>5</v>
      </c>
      <c r="C18" s="17" t="str">
        <f>IF('2'!C18="","",'2'!C18)</f>
        <v>林　高志</v>
      </c>
      <c r="D18" s="219">
        <f>IF('2'!D18="","",'2'!D18)</f>
        <v>32890</v>
      </c>
      <c r="E18" s="17" t="str">
        <f>IF('2'!E18="","",'2'!E18)</f>
        <v>ガライヤ</v>
      </c>
      <c r="F18" s="219">
        <f>IF('2'!F18="","",'2'!F18)</f>
        <v>58668</v>
      </c>
      <c r="G18" s="17" t="str">
        <f>IF('2'!G18="","",'2'!G18)</f>
        <v>ペガサス乗馬クラブ</v>
      </c>
    </row>
    <row r="19" spans="1:7" s="19" customFormat="1" ht="23.1" customHeight="1">
      <c r="A19" s="16" t="str">
        <f>IF('2'!A19="","",'2'!A19)</f>
        <v>ＯＰ</v>
      </c>
      <c r="B19" s="16">
        <f>IF('2'!B19="","",'2'!B19)</f>
        <v>6</v>
      </c>
      <c r="C19" s="17" t="str">
        <f>IF('2'!C19="","",'2'!C19)</f>
        <v>本間　唯純</v>
      </c>
      <c r="D19" s="219">
        <f>IF('2'!D19="","",'2'!D19)</f>
        <v>14546</v>
      </c>
      <c r="E19" s="17" t="str">
        <f>IF('2'!E19="","",'2'!E19)</f>
        <v>ごま丸</v>
      </c>
      <c r="F19" s="219" t="str">
        <f>IF('2'!F19="","",'2'!F19)</f>
        <v>-</v>
      </c>
      <c r="G19" s="17" t="str">
        <f>IF('2'!G19="","",'2'!G19)</f>
        <v>乗馬クラブクレイン神奈川</v>
      </c>
    </row>
    <row r="20" spans="1:7" s="19" customFormat="1" ht="23.1" customHeight="1">
      <c r="A20" s="16" t="str">
        <f>IF('2'!A20="","",'2'!A20)</f>
        <v/>
      </c>
      <c r="B20" s="16">
        <f>IF('2'!B20="","",'2'!B20)</f>
        <v>7</v>
      </c>
      <c r="C20" s="17" t="str">
        <f>IF('2'!C20="","",'2'!C20)</f>
        <v>小山　知美</v>
      </c>
      <c r="D20" s="219">
        <f>IF('2'!D20="","",'2'!D20)</f>
        <v>33226</v>
      </c>
      <c r="E20" s="17" t="str">
        <f>IF('2'!E20="","",'2'!E20)</f>
        <v>イクスプロージョン</v>
      </c>
      <c r="F20" s="219">
        <f>IF('2'!F20="","",'2'!F20)</f>
        <v>61773</v>
      </c>
      <c r="G20" s="17" t="str">
        <f>IF('2'!G20="","",'2'!G20)</f>
        <v>ライディングクラブモーヴァン</v>
      </c>
    </row>
    <row r="21" spans="1:7" s="19" customFormat="1" ht="23.1" customHeight="1">
      <c r="A21" s="16" t="str">
        <f>IF('2'!A21="","",'2'!A21)</f>
        <v/>
      </c>
      <c r="B21" s="16">
        <f>IF('2'!B21="","",'2'!B21)</f>
        <v>8</v>
      </c>
      <c r="C21" s="17" t="str">
        <f>IF('2'!C21="","",'2'!C21)</f>
        <v>鈴木　絢子</v>
      </c>
      <c r="D21" s="219" t="str">
        <f>IF('2'!D21="","",'2'!D21)</f>
        <v>-</v>
      </c>
      <c r="E21" s="17" t="str">
        <f>IF('2'!E21="","",'2'!E21)</f>
        <v>リモーネ</v>
      </c>
      <c r="F21" s="219">
        <f>IF('2'!F21="","",'2'!F21)</f>
        <v>58308</v>
      </c>
      <c r="G21" s="17" t="str">
        <f>IF('2'!G21="","",'2'!G21)</f>
        <v>乗馬クラブクレイン東京</v>
      </c>
    </row>
    <row r="22" spans="1:7" s="19" customFormat="1" ht="23.1" customHeight="1">
      <c r="A22" s="16" t="str">
        <f>IF('2'!A22="","",'2'!A22)</f>
        <v/>
      </c>
      <c r="B22" s="16">
        <f>IF('2'!B22="","",'2'!B22)</f>
        <v>9</v>
      </c>
      <c r="C22" s="17" t="str">
        <f>IF('2'!C22="","",'2'!C22)</f>
        <v>古賀　有希</v>
      </c>
      <c r="D22" s="219" t="str">
        <f>IF('2'!D22="","",'2'!D22)</f>
        <v>-</v>
      </c>
      <c r="E22" s="17" t="str">
        <f>IF('2'!E22="","",'2'!E22)</f>
        <v>遠宝16</v>
      </c>
      <c r="F22" s="219">
        <f>IF('2'!F22="","",'2'!F22)</f>
        <v>57574</v>
      </c>
      <c r="G22" s="17" t="str">
        <f>IF('2'!G22="","",'2'!G22)</f>
        <v>ペガサス乗馬クラブ</v>
      </c>
    </row>
    <row r="23" spans="1:7" s="19" customFormat="1" ht="23.1" customHeight="1">
      <c r="A23" s="16" t="str">
        <f>IF('2'!A23="","",'2'!A23)</f>
        <v/>
      </c>
      <c r="B23" s="16">
        <f>IF('2'!B23="","",'2'!B23)</f>
        <v>10</v>
      </c>
      <c r="C23" s="17" t="str">
        <f>IF('2'!C23="","",'2'!C23)</f>
        <v>村上　万理</v>
      </c>
      <c r="D23" s="219">
        <f>IF('2'!D23="","",'2'!D23)</f>
        <v>5665</v>
      </c>
      <c r="E23" s="17" t="str">
        <f>IF('2'!E23="","",'2'!E23)</f>
        <v>キートス・サクラ</v>
      </c>
      <c r="F23" s="219">
        <f>IF('2'!F23="","",'2'!F23)</f>
        <v>56664</v>
      </c>
      <c r="G23" s="17" t="str">
        <f>IF('2'!G23="","",'2'!G23)</f>
        <v>オリエント馬事センター</v>
      </c>
    </row>
    <row r="24" spans="1:7" s="19" customFormat="1" ht="23.1" customHeight="1">
      <c r="A24" s="16" t="str">
        <f>IF('2'!A24="","",'2'!A24)</f>
        <v>WD</v>
      </c>
      <c r="B24" s="16">
        <f>IF('2'!B24="","",'2'!B24)</f>
        <v>11</v>
      </c>
      <c r="C24" s="17" t="str">
        <f>IF('2'!C24="","",'2'!C24)</f>
        <v>櫻井　飛鳥</v>
      </c>
      <c r="D24" s="219">
        <f>IF('2'!D24="","",'2'!D24)</f>
        <v>32214</v>
      </c>
      <c r="E24" s="17" t="str">
        <f>IF('2'!E24="","",'2'!E24)</f>
        <v>ワンダークラッシー</v>
      </c>
      <c r="F24" s="219" t="str">
        <f>IF('2'!F24="","",'2'!F24)</f>
        <v>-</v>
      </c>
      <c r="G24" s="17" t="str">
        <f>IF('2'!G24="","",'2'!G24)</f>
        <v>北駿ホースヴィラ</v>
      </c>
    </row>
    <row r="25" spans="1:7" s="19" customFormat="1" ht="23.1" customHeight="1">
      <c r="A25" s="16" t="str">
        <f>IF('2'!A25="","",'2'!A25)</f>
        <v>WD</v>
      </c>
      <c r="B25" s="16">
        <f>IF('2'!B25="","",'2'!B25)</f>
        <v>12</v>
      </c>
      <c r="C25" s="17" t="str">
        <f>IF('2'!C25="","",'2'!C25)</f>
        <v>秋山　花吏奈</v>
      </c>
      <c r="D25" s="219">
        <f>IF('2'!D25="","",'2'!D25)</f>
        <v>32313</v>
      </c>
      <c r="E25" s="17" t="str">
        <f>IF('2'!E25="","",'2'!E25)</f>
        <v>ラッキーリングス・M</v>
      </c>
      <c r="F25" s="219" t="str">
        <f>IF('2'!F25="","",'2'!F25)</f>
        <v>-</v>
      </c>
      <c r="G25" s="17" t="str">
        <f>IF('2'!G25="","",'2'!G25)</f>
        <v>Horses' New Stage</v>
      </c>
    </row>
    <row r="26" spans="1:7" s="19" customFormat="1" ht="23.1" customHeight="1">
      <c r="A26" s="16" t="str">
        <f>IF('2'!A26="","",'2'!A26)</f>
        <v>WD</v>
      </c>
      <c r="B26" s="16">
        <f>IF('2'!B26="","",'2'!B26)</f>
        <v>13</v>
      </c>
      <c r="C26" s="17" t="str">
        <f>IF('2'!C26="","",'2'!C26)</f>
        <v>山下　永聖</v>
      </c>
      <c r="D26" s="219">
        <f>IF('2'!D26="","",'2'!D26)</f>
        <v>34299</v>
      </c>
      <c r="E26" s="17" t="str">
        <f>IF('2'!E26="","",'2'!E26)</f>
        <v>ジェノベーゼ</v>
      </c>
      <c r="F26" s="219">
        <f>IF('2'!F26="","",'2'!F26)</f>
        <v>62092</v>
      </c>
      <c r="G26" s="17" t="str">
        <f>IF('2'!G26="","",'2'!G26)</f>
        <v>拓殖大学馬術部</v>
      </c>
    </row>
    <row r="27" spans="1:7" s="19" customFormat="1" ht="23.1" customHeight="1">
      <c r="A27" s="16" t="str">
        <f>IF('2'!A27="","",'2'!A27)</f>
        <v/>
      </c>
      <c r="B27" s="16">
        <f>IF('2'!B27="","",'2'!B27)</f>
        <v>14</v>
      </c>
      <c r="C27" s="17" t="str">
        <f>IF('2'!C27="","",'2'!C27)</f>
        <v/>
      </c>
      <c r="D27" s="219" t="str">
        <f>IF('2'!D27="","",'2'!D27)</f>
        <v/>
      </c>
      <c r="E27" s="17" t="str">
        <f>IF('2'!E27="","",'2'!E27)</f>
        <v/>
      </c>
      <c r="F27" s="219" t="str">
        <f>IF('2'!F27="","",'2'!F27)</f>
        <v/>
      </c>
      <c r="G27" s="17" t="str">
        <f>IF('2'!G27="","",'2'!G27)</f>
        <v/>
      </c>
    </row>
    <row r="28" spans="1:7" s="19" customFormat="1" ht="23.1" customHeight="1">
      <c r="A28" s="16" t="str">
        <f>IF('2'!A28="","",'2'!A28)</f>
        <v/>
      </c>
      <c r="B28" s="16">
        <f>IF('2'!B28="","",'2'!B28)</f>
        <v>15</v>
      </c>
      <c r="C28" s="17" t="str">
        <f>IF('2'!C28="","",'2'!C28)</f>
        <v/>
      </c>
      <c r="D28" s="219" t="str">
        <f>IF('2'!D28="","",'2'!D28)</f>
        <v/>
      </c>
      <c r="E28" s="17" t="str">
        <f>IF('2'!E28="","",'2'!E28)</f>
        <v/>
      </c>
      <c r="F28" s="219" t="str">
        <f>IF('2'!F28="","",'2'!F28)</f>
        <v/>
      </c>
      <c r="G28" s="17" t="str">
        <f>IF('2'!G28="","",'2'!G28)</f>
        <v/>
      </c>
    </row>
    <row r="29" spans="1:7" s="19" customFormat="1" ht="23.1" customHeight="1">
      <c r="A29" s="16" t="str">
        <f>IF('2'!A29="","",'2'!A29)</f>
        <v/>
      </c>
      <c r="B29" s="16">
        <f>IF('2'!B29="","",'2'!B29)</f>
        <v>16</v>
      </c>
      <c r="C29" s="17" t="str">
        <f>IF('2'!C29="","",'2'!C29)</f>
        <v/>
      </c>
      <c r="D29" s="219" t="str">
        <f>IF('2'!D29="","",'2'!D29)</f>
        <v/>
      </c>
      <c r="E29" s="17" t="str">
        <f>IF('2'!E29="","",'2'!E29)</f>
        <v/>
      </c>
      <c r="F29" s="219" t="str">
        <f>IF('2'!F29="","",'2'!F29)</f>
        <v/>
      </c>
      <c r="G29" s="17" t="str">
        <f>IF('2'!G29="","",'2'!G29)</f>
        <v/>
      </c>
    </row>
    <row r="30" spans="1:7" s="19" customFormat="1" ht="23.1" customHeight="1">
      <c r="A30" s="16" t="str">
        <f>IF('2'!A30="","",'2'!A30)</f>
        <v/>
      </c>
      <c r="B30" s="16">
        <f>IF('2'!B30="","",'2'!B30)</f>
        <v>17</v>
      </c>
      <c r="C30" s="17" t="str">
        <f>IF('2'!C30="","",'2'!C30)</f>
        <v/>
      </c>
      <c r="D30" s="219" t="str">
        <f>IF('2'!D30="","",'2'!D30)</f>
        <v/>
      </c>
      <c r="E30" s="17" t="str">
        <f>IF('2'!E30="","",'2'!E30)</f>
        <v/>
      </c>
      <c r="F30" s="219" t="str">
        <f>IF('2'!F30="","",'2'!F30)</f>
        <v/>
      </c>
      <c r="G30" s="17" t="str">
        <f>IF('2'!G30="","",'2'!G30)</f>
        <v/>
      </c>
    </row>
    <row r="31" spans="1:7" s="19" customFormat="1" ht="23.1" customHeight="1">
      <c r="A31" s="16" t="str">
        <f>IF('2'!A31="","",'2'!A31)</f>
        <v/>
      </c>
      <c r="B31" s="16">
        <f>IF('2'!B31="","",'2'!B31)</f>
        <v>18</v>
      </c>
      <c r="C31" s="17" t="str">
        <f>IF('2'!C31="","",'2'!C31)</f>
        <v/>
      </c>
      <c r="D31" s="219" t="str">
        <f>IF('2'!D31="","",'2'!D31)</f>
        <v/>
      </c>
      <c r="E31" s="17" t="str">
        <f>IF('2'!E31="","",'2'!E31)</f>
        <v/>
      </c>
      <c r="F31" s="219" t="str">
        <f>IF('2'!F31="","",'2'!F31)</f>
        <v/>
      </c>
      <c r="G31" s="17" t="str">
        <f>IF('2'!G31="","",'2'!G31)</f>
        <v/>
      </c>
    </row>
    <row r="32" spans="1:7" s="19" customFormat="1" ht="23.1" customHeight="1">
      <c r="A32" s="16" t="str">
        <f>IF('2'!A32="","",'2'!A32)</f>
        <v/>
      </c>
      <c r="B32" s="16">
        <f>IF('2'!B32="","",'2'!B32)</f>
        <v>19</v>
      </c>
      <c r="C32" s="17" t="str">
        <f>IF('2'!C32="","",'2'!C32)</f>
        <v/>
      </c>
      <c r="D32" s="219" t="str">
        <f>IF('2'!D32="","",'2'!D32)</f>
        <v/>
      </c>
      <c r="E32" s="17" t="str">
        <f>IF('2'!E32="","",'2'!E32)</f>
        <v/>
      </c>
      <c r="F32" s="219" t="str">
        <f>IF('2'!F32="","",'2'!F32)</f>
        <v/>
      </c>
      <c r="G32" s="17" t="str">
        <f>IF('2'!G32="","",'2'!G32)</f>
        <v/>
      </c>
    </row>
    <row r="33" spans="1:7" s="19" customFormat="1" ht="23.1" customHeight="1">
      <c r="A33" s="16" t="str">
        <f>IF('2'!A33="","",'2'!A33)</f>
        <v/>
      </c>
      <c r="B33" s="16">
        <f>IF('2'!B33="","",'2'!B33)</f>
        <v>20</v>
      </c>
      <c r="C33" s="17" t="str">
        <f>IF('2'!C33="","",'2'!C33)</f>
        <v/>
      </c>
      <c r="D33" s="219" t="str">
        <f>IF('2'!D33="","",'2'!D33)</f>
        <v/>
      </c>
      <c r="E33" s="17" t="str">
        <f>IF('2'!E33="","",'2'!E33)</f>
        <v/>
      </c>
      <c r="F33" s="219" t="str">
        <f>IF('2'!F33="","",'2'!F33)</f>
        <v/>
      </c>
      <c r="G33" s="17" t="str">
        <f>IF('2'!G33="","",'2'!G33)</f>
        <v/>
      </c>
    </row>
    <row r="34" spans="1:7" s="19" customFormat="1" ht="23.1" customHeight="1">
      <c r="A34" s="16" t="str">
        <f>IF('2'!A34="","",'2'!A34)</f>
        <v/>
      </c>
      <c r="B34" s="16">
        <f>IF('2'!B34="","",'2'!B34)</f>
        <v>21</v>
      </c>
      <c r="C34" s="17" t="str">
        <f>IF('2'!C34="","",'2'!C34)</f>
        <v/>
      </c>
      <c r="D34" s="219" t="str">
        <f>IF('2'!D34="","",'2'!D34)</f>
        <v/>
      </c>
      <c r="E34" s="17" t="str">
        <f>IF('2'!E34="","",'2'!E34)</f>
        <v/>
      </c>
      <c r="F34" s="219" t="str">
        <f>IF('2'!F34="","",'2'!F34)</f>
        <v/>
      </c>
      <c r="G34" s="17" t="str">
        <f>IF('2'!G34="","",'2'!G34)</f>
        <v/>
      </c>
    </row>
    <row r="35" spans="1:7" s="19" customFormat="1" ht="23.1" customHeight="1">
      <c r="A35" s="16" t="str">
        <f>IF('2'!A35="","",'2'!A35)</f>
        <v/>
      </c>
      <c r="B35" s="16">
        <f>IF('2'!B35="","",'2'!B35)</f>
        <v>22</v>
      </c>
      <c r="C35" s="17" t="str">
        <f>IF('2'!C35="","",'2'!C35)</f>
        <v/>
      </c>
      <c r="D35" s="219" t="str">
        <f>IF('2'!D35="","",'2'!D35)</f>
        <v/>
      </c>
      <c r="E35" s="17" t="str">
        <f>IF('2'!E35="","",'2'!E35)</f>
        <v/>
      </c>
      <c r="F35" s="219" t="str">
        <f>IF('2'!F35="","",'2'!F35)</f>
        <v/>
      </c>
      <c r="G35" s="17" t="str">
        <f>IF('2'!G35="","",'2'!G35)</f>
        <v/>
      </c>
    </row>
    <row r="36" spans="1:7" s="19" customFormat="1" ht="23.1" customHeight="1">
      <c r="A36" s="16" t="str">
        <f>IF('2'!A36="","",'2'!A36)</f>
        <v/>
      </c>
      <c r="B36" s="16">
        <f>IF('2'!B36="","",'2'!B36)</f>
        <v>23</v>
      </c>
      <c r="C36" s="17" t="str">
        <f>IF('2'!C36="","",'2'!C36)</f>
        <v/>
      </c>
      <c r="D36" s="219" t="str">
        <f>IF('2'!D36="","",'2'!D36)</f>
        <v/>
      </c>
      <c r="E36" s="17" t="str">
        <f>IF('2'!E36="","",'2'!E36)</f>
        <v/>
      </c>
      <c r="F36" s="219" t="str">
        <f>IF('2'!F36="","",'2'!F36)</f>
        <v/>
      </c>
      <c r="G36" s="17" t="str">
        <f>IF('2'!G36="","",'2'!G36)</f>
        <v/>
      </c>
    </row>
    <row r="37" spans="1:7" s="19" customFormat="1" ht="23.1" customHeight="1">
      <c r="A37" s="16" t="str">
        <f>IF('2'!A37="","",'2'!A37)</f>
        <v/>
      </c>
      <c r="B37" s="16">
        <f>IF('2'!B37="","",'2'!B37)</f>
        <v>24</v>
      </c>
      <c r="C37" s="17" t="str">
        <f>IF('2'!C37="","",'2'!C37)</f>
        <v/>
      </c>
      <c r="D37" s="219" t="str">
        <f>IF('2'!D37="","",'2'!D37)</f>
        <v/>
      </c>
      <c r="E37" s="17" t="str">
        <f>IF('2'!E37="","",'2'!E37)</f>
        <v/>
      </c>
      <c r="F37" s="219" t="str">
        <f>IF('2'!F37="","",'2'!F37)</f>
        <v/>
      </c>
      <c r="G37" s="17" t="str">
        <f>IF('2'!G37="","",'2'!G37)</f>
        <v/>
      </c>
    </row>
    <row r="38" spans="1:7" s="19" customFormat="1" ht="23.1" customHeight="1">
      <c r="A38" s="16" t="str">
        <f>IF('2'!A38="","",'2'!A38)</f>
        <v/>
      </c>
      <c r="B38" s="16">
        <f>IF('2'!B38="","",'2'!B38)</f>
        <v>25</v>
      </c>
      <c r="C38" s="17" t="str">
        <f>IF('2'!C38="","",'2'!C38)</f>
        <v/>
      </c>
      <c r="D38" s="219" t="str">
        <f>IF('2'!D38="","",'2'!D38)</f>
        <v/>
      </c>
      <c r="E38" s="17" t="str">
        <f>IF('2'!E38="","",'2'!E38)</f>
        <v/>
      </c>
      <c r="F38" s="219" t="str">
        <f>IF('2'!F38="","",'2'!F38)</f>
        <v/>
      </c>
      <c r="G38" s="17" t="str">
        <f>IF('2'!G38="","",'2'!G38)</f>
        <v/>
      </c>
    </row>
    <row r="39" spans="1:7" s="19" customFormat="1" ht="23.1" customHeight="1">
      <c r="A39" s="16" t="str">
        <f>IF('2'!A39="","",'2'!A39)</f>
        <v/>
      </c>
      <c r="B39" s="16">
        <f>IF('2'!B39="","",'2'!B39)</f>
        <v>26</v>
      </c>
      <c r="C39" s="17" t="str">
        <f>IF('2'!C39="","",'2'!C39)</f>
        <v/>
      </c>
      <c r="D39" s="219" t="str">
        <f>IF('2'!D39="","",'2'!D39)</f>
        <v/>
      </c>
      <c r="E39" s="17" t="str">
        <f>IF('2'!E39="","",'2'!E39)</f>
        <v/>
      </c>
      <c r="F39" s="219" t="str">
        <f>IF('2'!F39="","",'2'!F39)</f>
        <v/>
      </c>
      <c r="G39" s="17" t="str">
        <f>IF('2'!G39="","",'2'!G39)</f>
        <v/>
      </c>
    </row>
    <row r="40" spans="1:7" s="19" customFormat="1" ht="23.1" customHeight="1">
      <c r="A40" s="16" t="str">
        <f>IF('2'!A40="","",'2'!A40)</f>
        <v/>
      </c>
      <c r="B40" s="16">
        <f>IF('2'!B40="","",'2'!B40)</f>
        <v>27</v>
      </c>
      <c r="C40" s="17" t="str">
        <f>IF('2'!C40="","",'2'!C40)</f>
        <v/>
      </c>
      <c r="D40" s="219" t="str">
        <f>IF('2'!D40="","",'2'!D40)</f>
        <v/>
      </c>
      <c r="E40" s="17" t="str">
        <f>IF('2'!E40="","",'2'!E40)</f>
        <v/>
      </c>
      <c r="F40" s="219" t="str">
        <f>IF('2'!F40="","",'2'!F40)</f>
        <v/>
      </c>
      <c r="G40" s="17" t="str">
        <f>IF('2'!G40="","",'2'!G40)</f>
        <v/>
      </c>
    </row>
    <row r="41" spans="1:7" s="19" customFormat="1" ht="23.1" customHeight="1">
      <c r="A41" s="16" t="str">
        <f>IF('2'!A41="","",'2'!A41)</f>
        <v/>
      </c>
      <c r="B41" s="16">
        <f>IF('2'!B41="","",'2'!B41)</f>
        <v>28</v>
      </c>
      <c r="C41" s="17" t="str">
        <f>IF('2'!C41="","",'2'!C41)</f>
        <v/>
      </c>
      <c r="D41" s="219" t="str">
        <f>IF('2'!D41="","",'2'!D41)</f>
        <v/>
      </c>
      <c r="E41" s="17" t="str">
        <f>IF('2'!E41="","",'2'!E41)</f>
        <v/>
      </c>
      <c r="F41" s="219" t="str">
        <f>IF('2'!F41="","",'2'!F41)</f>
        <v/>
      </c>
      <c r="G41" s="17" t="str">
        <f>IF('2'!G41="","",'2'!G41)</f>
        <v/>
      </c>
    </row>
    <row r="42" spans="1:7" s="19" customFormat="1" ht="23.1" customHeight="1">
      <c r="A42" s="16" t="str">
        <f>IF('2'!A42="","",'2'!A42)</f>
        <v/>
      </c>
      <c r="B42" s="16">
        <f>IF('2'!B42="","",'2'!B42)</f>
        <v>29</v>
      </c>
      <c r="C42" s="17" t="str">
        <f>IF('2'!C42="","",'2'!C42)</f>
        <v/>
      </c>
      <c r="D42" s="219" t="str">
        <f>IF('2'!D42="","",'2'!D42)</f>
        <v/>
      </c>
      <c r="E42" s="17" t="str">
        <f>IF('2'!E42="","",'2'!E42)</f>
        <v/>
      </c>
      <c r="F42" s="219" t="str">
        <f>IF('2'!F42="","",'2'!F42)</f>
        <v/>
      </c>
      <c r="G42" s="17" t="str">
        <f>IF('2'!G42="","",'2'!G42)</f>
        <v/>
      </c>
    </row>
    <row r="43" spans="1:7" s="19" customFormat="1" ht="23.1" customHeight="1">
      <c r="A43" s="16" t="str">
        <f>IF('2'!A43="","",'2'!A43)</f>
        <v/>
      </c>
      <c r="B43" s="16">
        <f>IF('2'!B43="","",'2'!B43)</f>
        <v>30</v>
      </c>
      <c r="C43" s="17" t="str">
        <f>IF('2'!C43="","",'2'!C43)</f>
        <v/>
      </c>
      <c r="D43" s="219" t="str">
        <f>IF('2'!D43="","",'2'!D43)</f>
        <v/>
      </c>
      <c r="E43" s="17" t="str">
        <f>IF('2'!E43="","",'2'!E43)</f>
        <v/>
      </c>
      <c r="F43" s="219" t="str">
        <f>IF('2'!F43="","",'2'!F43)</f>
        <v/>
      </c>
      <c r="G43" s="17" t="str">
        <f>IF('2'!G43="","",'2'!G43)</f>
        <v/>
      </c>
    </row>
    <row r="44" spans="1:7" ht="23.1" customHeight="1">
      <c r="A44" s="16" t="str">
        <f>IF('2'!A44="","",'2'!A44)</f>
        <v/>
      </c>
      <c r="B44" s="16" t="str">
        <f>IF('2'!B44="","",'2'!B44)</f>
        <v/>
      </c>
      <c r="C44" s="17" t="str">
        <f>IF('2'!C44="","",'2'!C44)</f>
        <v/>
      </c>
      <c r="D44" s="219" t="str">
        <f>IF('2'!D44="","",'2'!D44)</f>
        <v/>
      </c>
      <c r="E44" s="17" t="str">
        <f>IF('2'!E44="","",'2'!E44)</f>
        <v/>
      </c>
      <c r="F44" s="219" t="str">
        <f>IF('2'!F44="","",'2'!F44)</f>
        <v/>
      </c>
      <c r="G44" s="17" t="str">
        <f>IF('2'!G44="","",'2'!G44)</f>
        <v/>
      </c>
    </row>
    <row r="45" spans="1:7" ht="23.1" customHeight="1">
      <c r="A45" s="16" t="str">
        <f>IF('2'!A45="","",'2'!A45)</f>
        <v/>
      </c>
      <c r="B45" s="16" t="str">
        <f>IF('2'!B45="","",'2'!B45)</f>
        <v/>
      </c>
      <c r="C45" s="17" t="str">
        <f>IF('2'!C45="","",'2'!C45)</f>
        <v/>
      </c>
      <c r="D45" s="219" t="str">
        <f>IF('2'!D45="","",'2'!D45)</f>
        <v/>
      </c>
      <c r="E45" s="17" t="str">
        <f>IF('2'!E45="","",'2'!E45)</f>
        <v/>
      </c>
      <c r="F45" s="219" t="str">
        <f>IF('2'!F45="","",'2'!F45)</f>
        <v/>
      </c>
      <c r="G45" s="17" t="str">
        <f>IF('2'!G45="","",'2'!G45)</f>
        <v/>
      </c>
    </row>
    <row r="46" spans="1:7" ht="23.1" customHeight="1">
      <c r="A46" s="16" t="str">
        <f>IF('2'!A46="","",'2'!A46)</f>
        <v/>
      </c>
      <c r="B46" s="16" t="str">
        <f>IF('2'!B46="","",'2'!B46)</f>
        <v/>
      </c>
      <c r="C46" s="17" t="str">
        <f>IF('2'!C46="","",'2'!C46)</f>
        <v/>
      </c>
      <c r="D46" s="219" t="str">
        <f>IF('2'!D46="","",'2'!D46)</f>
        <v/>
      </c>
      <c r="E46" s="17" t="str">
        <f>IF('2'!E46="","",'2'!E46)</f>
        <v/>
      </c>
      <c r="F46" s="219" t="str">
        <f>IF('2'!F46="","",'2'!F46)</f>
        <v/>
      </c>
      <c r="G46" s="17" t="str">
        <f>IF('2'!G46="","",'2'!G46)</f>
        <v/>
      </c>
    </row>
    <row r="47" spans="1:7" ht="23.1" customHeight="1">
      <c r="A47" s="16" t="str">
        <f>IF('2'!A47="","",'2'!A47)</f>
        <v/>
      </c>
      <c r="B47" s="16" t="str">
        <f>IF('2'!B47="","",'2'!B47)</f>
        <v/>
      </c>
      <c r="C47" s="17" t="str">
        <f>IF('2'!C47="","",'2'!C47)</f>
        <v/>
      </c>
      <c r="D47" s="219" t="str">
        <f>IF('2'!D47="","",'2'!D47)</f>
        <v/>
      </c>
      <c r="E47" s="17" t="str">
        <f>IF('2'!E47="","",'2'!E47)</f>
        <v/>
      </c>
      <c r="F47" s="219" t="str">
        <f>IF('2'!F47="","",'2'!F47)</f>
        <v/>
      </c>
      <c r="G47" s="17" t="str">
        <f>IF('2'!G47="","",'2'!G47)</f>
        <v/>
      </c>
    </row>
    <row r="48" spans="1:7" ht="23.1" customHeight="1">
      <c r="A48" s="16" t="str">
        <f>IF('2'!A48="","",'2'!A48)</f>
        <v/>
      </c>
      <c r="B48" s="16" t="str">
        <f>IF('2'!B48="","",'2'!B48)</f>
        <v/>
      </c>
      <c r="C48" s="17" t="str">
        <f>IF('2'!C48="","",'2'!C48)</f>
        <v/>
      </c>
      <c r="D48" s="219" t="str">
        <f>IF('2'!D48="","",'2'!D48)</f>
        <v/>
      </c>
      <c r="E48" s="17" t="str">
        <f>IF('2'!E48="","",'2'!E48)</f>
        <v/>
      </c>
      <c r="F48" s="219" t="str">
        <f>IF('2'!F48="","",'2'!F48)</f>
        <v/>
      </c>
      <c r="G48" s="17" t="str">
        <f>IF('2'!G48="","",'2'!G48)</f>
        <v/>
      </c>
    </row>
    <row r="49" spans="1:7" ht="23.1" customHeight="1">
      <c r="A49" s="16" t="str">
        <f>IF('2'!A49="","",'2'!A49)</f>
        <v/>
      </c>
      <c r="B49" s="16" t="str">
        <f>IF('2'!B49="","",'2'!B49)</f>
        <v/>
      </c>
      <c r="C49" s="17" t="str">
        <f>IF('2'!C49="","",'2'!C49)</f>
        <v/>
      </c>
      <c r="D49" s="219" t="str">
        <f>IF('2'!D49="","",'2'!D49)</f>
        <v/>
      </c>
      <c r="E49" s="17" t="str">
        <f>IF('2'!E49="","",'2'!E49)</f>
        <v/>
      </c>
      <c r="F49" s="219" t="str">
        <f>IF('2'!F49="","",'2'!F49)</f>
        <v/>
      </c>
      <c r="G49" s="17" t="str">
        <f>IF('2'!G49="","",'2'!G49)</f>
        <v/>
      </c>
    </row>
    <row r="50" spans="1:7" ht="23.1" customHeight="1">
      <c r="A50" s="16" t="str">
        <f>IF('2'!A50="","",'2'!A50)</f>
        <v/>
      </c>
      <c r="B50" s="16" t="str">
        <f>IF('2'!B50="","",'2'!B50)</f>
        <v/>
      </c>
      <c r="C50" s="17" t="str">
        <f>IF('2'!C50="","",'2'!C50)</f>
        <v/>
      </c>
      <c r="D50" s="219" t="str">
        <f>IF('2'!D50="","",'2'!D50)</f>
        <v/>
      </c>
      <c r="E50" s="17" t="str">
        <f>IF('2'!E50="","",'2'!E50)</f>
        <v/>
      </c>
      <c r="F50" s="219" t="str">
        <f>IF('2'!F50="","",'2'!F50)</f>
        <v/>
      </c>
      <c r="G50" s="17" t="str">
        <f>IF('2'!G50="","",'2'!G50)</f>
        <v/>
      </c>
    </row>
    <row r="51" spans="1:7" ht="23.1" customHeight="1">
      <c r="A51" s="16" t="str">
        <f>IF('2'!A51="","",'2'!A51)</f>
        <v/>
      </c>
      <c r="B51" s="16" t="str">
        <f>IF('2'!B51="","",'2'!B51)</f>
        <v/>
      </c>
      <c r="C51" s="17" t="str">
        <f>IF('2'!C51="","",'2'!C51)</f>
        <v/>
      </c>
      <c r="D51" s="219" t="str">
        <f>IF('2'!D51="","",'2'!D51)</f>
        <v/>
      </c>
      <c r="E51" s="17" t="str">
        <f>IF('2'!E51="","",'2'!E51)</f>
        <v/>
      </c>
      <c r="F51" s="219" t="str">
        <f>IF('2'!F51="","",'2'!F51)</f>
        <v/>
      </c>
      <c r="G51" s="17" t="str">
        <f>IF('2'!G51="","",'2'!G51)</f>
        <v/>
      </c>
    </row>
    <row r="52" spans="1:7" ht="23.1" customHeight="1">
      <c r="A52" s="16" t="str">
        <f>IF('2'!A52="","",'2'!A52)</f>
        <v/>
      </c>
      <c r="B52" s="16" t="str">
        <f>IF('2'!B52="","",'2'!B52)</f>
        <v/>
      </c>
      <c r="C52" s="17" t="str">
        <f>IF('2'!C52="","",'2'!C52)</f>
        <v/>
      </c>
      <c r="D52" s="219" t="str">
        <f>IF('2'!D52="","",'2'!D52)</f>
        <v/>
      </c>
      <c r="E52" s="17" t="str">
        <f>IF('2'!E52="","",'2'!E52)</f>
        <v/>
      </c>
      <c r="F52" s="219" t="str">
        <f>IF('2'!F52="","",'2'!F52)</f>
        <v/>
      </c>
      <c r="G52" s="17" t="str">
        <f>IF('2'!G52="","",'2'!G52)</f>
        <v/>
      </c>
    </row>
    <row r="53" spans="1:7" ht="23.1" customHeight="1">
      <c r="A53" s="16" t="str">
        <f>IF('2'!A53="","",'2'!A53)</f>
        <v/>
      </c>
      <c r="B53" s="16" t="str">
        <f>IF('2'!B53="","",'2'!B53)</f>
        <v/>
      </c>
      <c r="C53" s="17" t="str">
        <f>IF('2'!C53="","",'2'!C53)</f>
        <v/>
      </c>
      <c r="D53" s="219" t="str">
        <f>IF('2'!D53="","",'2'!D53)</f>
        <v/>
      </c>
      <c r="E53" s="17" t="str">
        <f>IF('2'!E53="","",'2'!E53)</f>
        <v/>
      </c>
      <c r="F53" s="219" t="str">
        <f>IF('2'!F53="","",'2'!F53)</f>
        <v/>
      </c>
      <c r="G53" s="17" t="str">
        <f>IF('2'!G53="","",'2'!G53)</f>
        <v/>
      </c>
    </row>
    <row r="54" spans="1:7" ht="23.1" customHeight="1">
      <c r="A54" s="16" t="str">
        <f>IF('2'!A54="","",'2'!A54)</f>
        <v/>
      </c>
      <c r="B54" s="16" t="str">
        <f>IF('2'!B54="","",'2'!B54)</f>
        <v/>
      </c>
      <c r="C54" s="17" t="str">
        <f>IF('2'!C54="","",'2'!C54)</f>
        <v/>
      </c>
      <c r="D54" s="219" t="str">
        <f>IF('2'!D54="","",'2'!D54)</f>
        <v/>
      </c>
      <c r="E54" s="17" t="str">
        <f>IF('2'!E54="","",'2'!E54)</f>
        <v/>
      </c>
      <c r="F54" s="219" t="str">
        <f>IF('2'!F54="","",'2'!F54)</f>
        <v/>
      </c>
      <c r="G54" s="17" t="str">
        <f>IF('2'!G54="","",'2'!G54)</f>
        <v/>
      </c>
    </row>
    <row r="55" spans="1:7" ht="23.1" customHeight="1">
      <c r="A55" s="16" t="str">
        <f>IF('2'!A55="","",'2'!A55)</f>
        <v/>
      </c>
      <c r="B55" s="16" t="str">
        <f>IF('2'!B55="","",'2'!B55)</f>
        <v/>
      </c>
      <c r="C55" s="17" t="str">
        <f>IF('2'!C55="","",'2'!C55)</f>
        <v/>
      </c>
      <c r="D55" s="219" t="str">
        <f>IF('2'!D55="","",'2'!D55)</f>
        <v/>
      </c>
      <c r="E55" s="17" t="str">
        <f>IF('2'!E55="","",'2'!E55)</f>
        <v/>
      </c>
      <c r="F55" s="219" t="str">
        <f>IF('2'!F55="","",'2'!F55)</f>
        <v/>
      </c>
      <c r="G55" s="17" t="str">
        <f>IF('2'!G55="","",'2'!G55)</f>
        <v/>
      </c>
    </row>
    <row r="56" spans="1:7" ht="23.1" customHeight="1">
      <c r="A56" s="16" t="str">
        <f>IF('2'!A56="","",'2'!A56)</f>
        <v/>
      </c>
      <c r="B56" s="16" t="str">
        <f>IF('2'!B56="","",'2'!B56)</f>
        <v/>
      </c>
      <c r="C56" s="17" t="str">
        <f>IF('2'!C56="","",'2'!C56)</f>
        <v/>
      </c>
      <c r="D56" s="219" t="str">
        <f>IF('2'!D56="","",'2'!D56)</f>
        <v/>
      </c>
      <c r="E56" s="17" t="str">
        <f>IF('2'!E56="","",'2'!E56)</f>
        <v/>
      </c>
      <c r="F56" s="219" t="str">
        <f>IF('2'!F56="","",'2'!F56)</f>
        <v/>
      </c>
      <c r="G56" s="17" t="str">
        <f>IF('2'!G56="","",'2'!G56)</f>
        <v/>
      </c>
    </row>
    <row r="57" spans="1:7" ht="23.1" customHeight="1">
      <c r="A57" s="16" t="str">
        <f>IF('2'!A57="","",'2'!A57)</f>
        <v/>
      </c>
      <c r="B57" s="16" t="str">
        <f>IF('2'!B57="","",'2'!B57)</f>
        <v/>
      </c>
      <c r="C57" s="17" t="str">
        <f>IF('2'!C57="","",'2'!C57)</f>
        <v/>
      </c>
      <c r="D57" s="219" t="str">
        <f>IF('2'!D57="","",'2'!D57)</f>
        <v/>
      </c>
      <c r="E57" s="17" t="str">
        <f>IF('2'!E57="","",'2'!E57)</f>
        <v/>
      </c>
      <c r="F57" s="219" t="str">
        <f>IF('2'!F57="","",'2'!F57)</f>
        <v/>
      </c>
      <c r="G57" s="17" t="str">
        <f>IF('2'!G57="","",'2'!G57)</f>
        <v/>
      </c>
    </row>
    <row r="58" spans="1:7" ht="23.1" customHeight="1">
      <c r="A58" s="16" t="str">
        <f>IF('2'!A58="","",'2'!A58)</f>
        <v/>
      </c>
      <c r="B58" s="16" t="str">
        <f>IF('2'!B58="","",'2'!B58)</f>
        <v/>
      </c>
      <c r="C58" s="17" t="str">
        <f>IF('2'!C58="","",'2'!C58)</f>
        <v/>
      </c>
      <c r="D58" s="219" t="str">
        <f>IF('2'!D58="","",'2'!D58)</f>
        <v/>
      </c>
      <c r="E58" s="17" t="str">
        <f>IF('2'!E58="","",'2'!E58)</f>
        <v/>
      </c>
      <c r="F58" s="219" t="str">
        <f>IF('2'!F58="","",'2'!F58)</f>
        <v/>
      </c>
      <c r="G58" s="17" t="str">
        <f>IF('2'!G58="","",'2'!G58)</f>
        <v/>
      </c>
    </row>
    <row r="59" spans="1:7" ht="23.1" customHeight="1">
      <c r="A59" s="16" t="str">
        <f>IF('2'!A59="","",'2'!A59)</f>
        <v/>
      </c>
      <c r="B59" s="16" t="str">
        <f>IF('2'!B59="","",'2'!B59)</f>
        <v/>
      </c>
      <c r="C59" s="17" t="str">
        <f>IF('2'!C59="","",'2'!C59)</f>
        <v/>
      </c>
      <c r="D59" s="219" t="str">
        <f>IF('2'!D59="","",'2'!D59)</f>
        <v/>
      </c>
      <c r="E59" s="17" t="str">
        <f>IF('2'!E59="","",'2'!E59)</f>
        <v/>
      </c>
      <c r="F59" s="219" t="str">
        <f>IF('2'!F59="","",'2'!F59)</f>
        <v/>
      </c>
      <c r="G59" s="17" t="str">
        <f>IF('2'!G59="","",'2'!G59)</f>
        <v/>
      </c>
    </row>
    <row r="60" spans="1:7" ht="23.1" customHeight="1">
      <c r="A60" s="16" t="str">
        <f>IF('2'!A60="","",'2'!A60)</f>
        <v/>
      </c>
      <c r="B60" s="16" t="str">
        <f>IF('2'!B60="","",'2'!B60)</f>
        <v/>
      </c>
      <c r="C60" s="17" t="str">
        <f>IF('2'!C60="","",'2'!C60)</f>
        <v/>
      </c>
      <c r="D60" s="219" t="str">
        <f>IF('2'!D60="","",'2'!D60)</f>
        <v/>
      </c>
      <c r="E60" s="17" t="str">
        <f>IF('2'!E60="","",'2'!E60)</f>
        <v/>
      </c>
      <c r="F60" s="219" t="str">
        <f>IF('2'!F60="","",'2'!F60)</f>
        <v/>
      </c>
      <c r="G60" s="17" t="str">
        <f>IF('2'!G60="","",'2'!G60)</f>
        <v/>
      </c>
    </row>
    <row r="61" spans="1:7" ht="23.1" customHeight="1">
      <c r="A61" s="16" t="str">
        <f>IF('2'!A61="","",'2'!A61)</f>
        <v/>
      </c>
      <c r="B61" s="16" t="str">
        <f>IF('2'!B61="","",'2'!B61)</f>
        <v/>
      </c>
      <c r="C61" s="17" t="str">
        <f>IF('2'!C61="","",'2'!C61)</f>
        <v/>
      </c>
      <c r="D61" s="219" t="str">
        <f>IF('2'!D61="","",'2'!D61)</f>
        <v/>
      </c>
      <c r="E61" s="17" t="str">
        <f>IF('2'!E61="","",'2'!E61)</f>
        <v/>
      </c>
      <c r="F61" s="219" t="str">
        <f>IF('2'!F61="","",'2'!F61)</f>
        <v/>
      </c>
      <c r="G61" s="17" t="str">
        <f>IF('2'!G61="","",'2'!G61)</f>
        <v/>
      </c>
    </row>
    <row r="62" spans="1:7" ht="23.1" customHeight="1">
      <c r="A62" s="16" t="str">
        <f>IF('2'!A62="","",'2'!A62)</f>
        <v/>
      </c>
      <c r="B62" s="16" t="str">
        <f>IF('2'!B62="","",'2'!B62)</f>
        <v/>
      </c>
      <c r="C62" s="17" t="str">
        <f>IF('2'!C62="","",'2'!C62)</f>
        <v/>
      </c>
      <c r="D62" s="219" t="str">
        <f>IF('2'!D62="","",'2'!D62)</f>
        <v/>
      </c>
      <c r="E62" s="17" t="str">
        <f>IF('2'!E62="","",'2'!E62)</f>
        <v/>
      </c>
      <c r="F62" s="219" t="str">
        <f>IF('2'!F62="","",'2'!F62)</f>
        <v/>
      </c>
      <c r="G62" s="17" t="str">
        <f>IF('2'!G62="","",'2'!G62)</f>
        <v/>
      </c>
    </row>
    <row r="63" spans="1:7" ht="23.1" customHeight="1">
      <c r="A63" s="16" t="str">
        <f>IF('2'!A63="","",'2'!A63)</f>
        <v/>
      </c>
      <c r="B63" s="16" t="str">
        <f>IF('2'!B63="","",'2'!B63)</f>
        <v/>
      </c>
      <c r="C63" s="17" t="str">
        <f>IF('2'!C63="","",'2'!C63)</f>
        <v/>
      </c>
      <c r="D63" s="219" t="str">
        <f>IF('2'!D63="","",'2'!D63)</f>
        <v/>
      </c>
      <c r="E63" s="17" t="str">
        <f>IF('2'!E63="","",'2'!E63)</f>
        <v/>
      </c>
      <c r="F63" s="219" t="str">
        <f>IF('2'!F63="","",'2'!F63)</f>
        <v/>
      </c>
      <c r="G63" s="17" t="str">
        <f>IF('2'!G63="","",'2'!G63)</f>
        <v/>
      </c>
    </row>
    <row r="64" spans="1:7" ht="23.1" customHeight="1">
      <c r="A64" s="16" t="str">
        <f>IF('2'!A64="","",'2'!A64)</f>
        <v/>
      </c>
      <c r="B64" s="16" t="str">
        <f>IF('2'!B64="","",'2'!B64)</f>
        <v/>
      </c>
      <c r="C64" s="17" t="str">
        <f>IF('2'!C64="","",'2'!C64)</f>
        <v/>
      </c>
      <c r="D64" s="219" t="str">
        <f>IF('2'!D64="","",'2'!D64)</f>
        <v/>
      </c>
      <c r="E64" s="17" t="str">
        <f>IF('2'!E64="","",'2'!E64)</f>
        <v/>
      </c>
      <c r="F64" s="219" t="str">
        <f>IF('2'!F64="","",'2'!F64)</f>
        <v/>
      </c>
      <c r="G64" s="17" t="str">
        <f>IF('2'!G64="","",'2'!G64)</f>
        <v/>
      </c>
    </row>
    <row r="65" spans="1:7" ht="23.1" customHeight="1">
      <c r="A65" s="16" t="str">
        <f>IF('2'!A65="","",'2'!A65)</f>
        <v/>
      </c>
      <c r="B65" s="16" t="str">
        <f>IF('2'!B65="","",'2'!B65)</f>
        <v/>
      </c>
      <c r="C65" s="17" t="str">
        <f>IF('2'!C65="","",'2'!C65)</f>
        <v/>
      </c>
      <c r="D65" s="219" t="str">
        <f>IF('2'!D65="","",'2'!D65)</f>
        <v/>
      </c>
      <c r="E65" s="17" t="str">
        <f>IF('2'!E65="","",'2'!E65)</f>
        <v/>
      </c>
      <c r="F65" s="219" t="str">
        <f>IF('2'!F65="","",'2'!F65)</f>
        <v/>
      </c>
      <c r="G65" s="17" t="str">
        <f>IF('2'!G65="","",'2'!G65)</f>
        <v/>
      </c>
    </row>
    <row r="66" spans="1:7" ht="23.1" customHeight="1">
      <c r="A66" s="16" t="str">
        <f>IF('2'!A66="","",'2'!A66)</f>
        <v/>
      </c>
      <c r="B66" s="16" t="str">
        <f>IF('2'!B66="","",'2'!B66)</f>
        <v/>
      </c>
      <c r="C66" s="17" t="str">
        <f>IF('2'!C66="","",'2'!C66)</f>
        <v/>
      </c>
      <c r="D66" s="219" t="str">
        <f>IF('2'!D66="","",'2'!D66)</f>
        <v/>
      </c>
      <c r="E66" s="17" t="str">
        <f>IF('2'!E66="","",'2'!E66)</f>
        <v/>
      </c>
      <c r="F66" s="219" t="str">
        <f>IF('2'!F66="","",'2'!F66)</f>
        <v/>
      </c>
      <c r="G66" s="17" t="str">
        <f>IF('2'!G66="","",'2'!G66)</f>
        <v/>
      </c>
    </row>
    <row r="67" spans="1:7" ht="23.1" customHeight="1">
      <c r="A67" s="16" t="str">
        <f>IF('2'!A67="","",'2'!A67)</f>
        <v/>
      </c>
      <c r="B67" s="16" t="str">
        <f>IF('2'!B67="","",'2'!B67)</f>
        <v/>
      </c>
      <c r="C67" s="17" t="str">
        <f>IF('2'!C67="","",'2'!C67)</f>
        <v/>
      </c>
      <c r="D67" s="219" t="str">
        <f>IF('2'!D67="","",'2'!D67)</f>
        <v/>
      </c>
      <c r="E67" s="17" t="str">
        <f>IF('2'!E67="","",'2'!E67)</f>
        <v/>
      </c>
      <c r="F67" s="219" t="str">
        <f>IF('2'!F67="","",'2'!F67)</f>
        <v/>
      </c>
      <c r="G67" s="17" t="str">
        <f>IF('2'!G67="","",'2'!G67)</f>
        <v/>
      </c>
    </row>
    <row r="68" spans="1:7" ht="23.1" customHeight="1">
      <c r="A68" s="16" t="str">
        <f>IF('2'!A68="","",'2'!A68)</f>
        <v/>
      </c>
      <c r="B68" s="16" t="str">
        <f>IF('2'!B68="","",'2'!B68)</f>
        <v/>
      </c>
      <c r="C68" s="17" t="str">
        <f>IF('2'!C68="","",'2'!C68)</f>
        <v/>
      </c>
      <c r="D68" s="219" t="str">
        <f>IF('2'!D68="","",'2'!D68)</f>
        <v/>
      </c>
      <c r="E68" s="17" t="str">
        <f>IF('2'!E68="","",'2'!E68)</f>
        <v/>
      </c>
      <c r="F68" s="219" t="str">
        <f>IF('2'!F68="","",'2'!F68)</f>
        <v/>
      </c>
      <c r="G68" s="17" t="str">
        <f>IF('2'!G68="","",'2'!G68)</f>
        <v/>
      </c>
    </row>
    <row r="69" spans="1:7" ht="23.1" customHeight="1">
      <c r="A69" s="16" t="str">
        <f>IF('2'!A69="","",'2'!A69)</f>
        <v/>
      </c>
      <c r="B69" s="16" t="str">
        <f>IF('2'!B69="","",'2'!B69)</f>
        <v/>
      </c>
      <c r="C69" s="17" t="str">
        <f>IF('2'!C69="","",'2'!C69)</f>
        <v/>
      </c>
      <c r="D69" s="219" t="str">
        <f>IF('2'!D69="","",'2'!D69)</f>
        <v/>
      </c>
      <c r="E69" s="17" t="str">
        <f>IF('2'!E69="","",'2'!E69)</f>
        <v/>
      </c>
      <c r="F69" s="219" t="str">
        <f>IF('2'!F69="","",'2'!F69)</f>
        <v/>
      </c>
      <c r="G69" s="17" t="str">
        <f>IF('2'!G69="","",'2'!G69)</f>
        <v/>
      </c>
    </row>
    <row r="70" spans="1:7" ht="23.1" customHeight="1">
      <c r="A70" s="16" t="str">
        <f>IF('2'!A70="","",'2'!A70)</f>
        <v/>
      </c>
      <c r="B70" s="16" t="str">
        <f>IF('2'!B70="","",'2'!B70)</f>
        <v/>
      </c>
      <c r="C70" s="17" t="str">
        <f>IF('2'!C70="","",'2'!C70)</f>
        <v/>
      </c>
      <c r="D70" s="219" t="str">
        <f>IF('2'!D70="","",'2'!D70)</f>
        <v/>
      </c>
      <c r="E70" s="17" t="str">
        <f>IF('2'!E70="","",'2'!E70)</f>
        <v/>
      </c>
      <c r="F70" s="219" t="str">
        <f>IF('2'!F70="","",'2'!F70)</f>
        <v/>
      </c>
      <c r="G70" s="17" t="str">
        <f>IF('2'!G70="","",'2'!G70)</f>
        <v/>
      </c>
    </row>
    <row r="71" spans="1:7" ht="23.1" customHeight="1">
      <c r="A71" s="16" t="str">
        <f>IF('2'!A71="","",'2'!A71)</f>
        <v/>
      </c>
      <c r="B71" s="16" t="str">
        <f>IF('2'!B71="","",'2'!B71)</f>
        <v/>
      </c>
      <c r="C71" s="17" t="str">
        <f>IF('2'!C71="","",'2'!C71)</f>
        <v/>
      </c>
      <c r="D71" s="219" t="str">
        <f>IF('2'!D71="","",'2'!D71)</f>
        <v/>
      </c>
      <c r="E71" s="17" t="str">
        <f>IF('2'!E71="","",'2'!E71)</f>
        <v/>
      </c>
      <c r="F71" s="219" t="str">
        <f>IF('2'!F71="","",'2'!F71)</f>
        <v/>
      </c>
      <c r="G71" s="17" t="str">
        <f>IF('2'!G71="","",'2'!G71)</f>
        <v/>
      </c>
    </row>
    <row r="72" spans="1:7" ht="23.1" customHeight="1">
      <c r="A72" s="16" t="str">
        <f>IF('2'!A72="","",'2'!A72)</f>
        <v/>
      </c>
      <c r="B72" s="16" t="str">
        <f>IF('2'!B72="","",'2'!B72)</f>
        <v/>
      </c>
      <c r="C72" s="17" t="str">
        <f>IF('2'!C72="","",'2'!C72)</f>
        <v/>
      </c>
      <c r="D72" s="219" t="str">
        <f>IF('2'!D72="","",'2'!D72)</f>
        <v/>
      </c>
      <c r="E72" s="17" t="str">
        <f>IF('2'!E72="","",'2'!E72)</f>
        <v/>
      </c>
      <c r="F72" s="219" t="str">
        <f>IF('2'!F72="","",'2'!F72)</f>
        <v/>
      </c>
      <c r="G72" s="17" t="str">
        <f>IF('2'!G72="","",'2'!G72)</f>
        <v/>
      </c>
    </row>
    <row r="73" spans="1:7" ht="23.1" customHeight="1">
      <c r="A73" s="16" t="str">
        <f>IF('2'!A73="","",'2'!A73)</f>
        <v/>
      </c>
      <c r="B73" s="16" t="str">
        <f>IF('2'!B73="","",'2'!B73)</f>
        <v/>
      </c>
      <c r="C73" s="17" t="str">
        <f>IF('2'!C73="","",'2'!C73)</f>
        <v/>
      </c>
      <c r="D73" s="219" t="str">
        <f>IF('2'!D73="","",'2'!D73)</f>
        <v/>
      </c>
      <c r="E73" s="17" t="str">
        <f>IF('2'!E73="","",'2'!E73)</f>
        <v/>
      </c>
      <c r="F73" s="219" t="str">
        <f>IF('2'!F73="","",'2'!F73)</f>
        <v/>
      </c>
      <c r="G73" s="17" t="str">
        <f>IF('2'!G73="","",'2'!G73)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7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r:id="rId1"/>
  <headerFooter alignWithMargins="0">
    <oddHeader>&amp;R&amp;P/&amp;N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D74E-8C1A-462B-B90A-A83C64312E34}">
  <sheetPr codeName="Sheet3">
    <tabColor rgb="FF0070C0"/>
  </sheetPr>
  <dimension ref="A4:J16"/>
  <sheetViews>
    <sheetView topLeftCell="A2" workbookViewId="0">
      <selection activeCell="L15" sqref="L15"/>
    </sheetView>
  </sheetViews>
  <sheetFormatPr defaultColWidth="8.88671875" defaultRowHeight="30" customHeight="1"/>
  <cols>
    <col min="1" max="1" width="8.88671875" style="107"/>
    <col min="2" max="3" width="8.88671875" style="105"/>
    <col min="4" max="4" width="13.6640625" style="106" customWidth="1"/>
    <col min="5" max="16384" width="8.88671875" style="105"/>
  </cols>
  <sheetData>
    <row r="4" spans="1:10" ht="30" customHeight="1">
      <c r="A4" s="244" t="str">
        <f>'3-90'!C7</f>
        <v xml:space="preserve">2026 Fuji Horse Show Autumn Grand Prix </v>
      </c>
      <c r="B4" s="244"/>
      <c r="C4" s="244"/>
      <c r="D4" s="244"/>
      <c r="E4" s="244"/>
      <c r="F4" s="244"/>
      <c r="G4" s="244"/>
      <c r="H4" s="244"/>
      <c r="I4" s="244"/>
      <c r="J4" s="244"/>
    </row>
    <row r="6" spans="1:10" ht="30" customHeight="1">
      <c r="A6" s="107" t="s">
        <v>41</v>
      </c>
      <c r="B6" s="110">
        <f>'3-90'!B8</f>
        <v>3</v>
      </c>
      <c r="C6" s="105" t="s">
        <v>42</v>
      </c>
      <c r="D6" s="108" t="str">
        <f>'3-90'!D8:F8</f>
        <v>Ｌ－Ｂ級障害飛越競技</v>
      </c>
    </row>
    <row r="8" spans="1:10" ht="30" customHeight="1">
      <c r="C8" s="105" t="s">
        <v>96</v>
      </c>
      <c r="E8" s="109">
        <v>0.34027777777777779</v>
      </c>
    </row>
    <row r="9" spans="1:10" ht="30" customHeight="1">
      <c r="C9" s="105" t="s">
        <v>95</v>
      </c>
      <c r="E9" s="109">
        <v>0.35069444444444442</v>
      </c>
      <c r="F9" s="105" t="s">
        <v>94</v>
      </c>
    </row>
    <row r="11" spans="1:10" ht="30" customHeight="1">
      <c r="C11" s="245"/>
      <c r="D11" s="245"/>
      <c r="E11" s="245"/>
      <c r="F11" s="245"/>
      <c r="G11" s="245"/>
    </row>
    <row r="12" spans="1:10" ht="30" customHeight="1">
      <c r="D12" s="105"/>
      <c r="F12" s="106"/>
      <c r="G12" s="106"/>
    </row>
    <row r="13" spans="1:10" ht="30" customHeight="1">
      <c r="D13" s="105"/>
      <c r="F13" s="106"/>
      <c r="G13" s="106"/>
    </row>
    <row r="14" spans="1:10" ht="30" customHeight="1">
      <c r="D14" s="105"/>
      <c r="G14" s="106"/>
    </row>
    <row r="15" spans="1:10" ht="30" customHeight="1">
      <c r="D15" s="105"/>
      <c r="G15" s="106"/>
    </row>
    <row r="16" spans="1:10" ht="30" customHeight="1">
      <c r="D16" s="108"/>
      <c r="E16" s="108"/>
      <c r="F16" s="108"/>
      <c r="G16" s="108"/>
    </row>
  </sheetData>
  <mergeCells count="2">
    <mergeCell ref="A4:J4"/>
    <mergeCell ref="C11:G11"/>
  </mergeCells>
  <phoneticPr fontId="7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>
    <tabColor rgb="FF0070C0"/>
  </sheetPr>
  <dimension ref="A1:G73"/>
  <sheetViews>
    <sheetView view="pageBreakPreview" topLeftCell="A6" zoomScale="95" zoomScaleNormal="100" zoomScaleSheetLayoutView="95" workbookViewId="0">
      <selection activeCell="F13" sqref="F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'3'!C2</f>
        <v>0</v>
      </c>
      <c r="D6" s="3"/>
      <c r="F6" s="4" t="s">
        <v>2</v>
      </c>
      <c r="G6" s="6">
        <v>46276</v>
      </c>
    </row>
    <row r="7" spans="1:7" ht="24" customHeight="1">
      <c r="A7" s="7"/>
      <c r="B7" s="4" t="s">
        <v>4</v>
      </c>
      <c r="C7" s="8" t="str">
        <f>'3'!C3</f>
        <v xml:space="preserve">2026 Fuji Horse Show Autumn Grand Prix </v>
      </c>
      <c r="D7" s="9"/>
      <c r="E7" s="9"/>
      <c r="F7" s="9"/>
      <c r="G7" s="117" t="s">
        <v>727</v>
      </c>
    </row>
    <row r="8" spans="1:7" ht="21" customHeight="1">
      <c r="A8" s="10" t="s">
        <v>41</v>
      </c>
      <c r="B8" s="68">
        <f>'3'!C4</f>
        <v>3</v>
      </c>
      <c r="C8" s="4" t="s">
        <v>42</v>
      </c>
      <c r="D8" s="237" t="str">
        <f>'3'!F4</f>
        <v>Ｌ－Ｂ級障害飛越競技</v>
      </c>
      <c r="E8" s="237"/>
      <c r="F8" s="237"/>
    </row>
    <row r="9" spans="1:7" ht="18.75" customHeight="1">
      <c r="C9" s="11" t="s">
        <v>11</v>
      </c>
      <c r="D9" s="217" t="str">
        <f>'3'!D5</f>
        <v>-</v>
      </c>
      <c r="E9" s="4" t="s">
        <v>9</v>
      </c>
      <c r="F9" s="220" t="str">
        <f>'3'!K4</f>
        <v>-</v>
      </c>
    </row>
    <row r="10" spans="1:7" ht="21" customHeight="1">
      <c r="A10" s="12" t="s">
        <v>43</v>
      </c>
      <c r="B10" s="12"/>
      <c r="C10" s="12"/>
      <c r="D10" s="218" t="str">
        <f>'3'!D6</f>
        <v>-</v>
      </c>
      <c r="E10" s="4" t="s">
        <v>12</v>
      </c>
      <c r="F10" s="221" t="str">
        <f>'3'!F5</f>
        <v>-</v>
      </c>
      <c r="G10" s="13" t="s">
        <v>44</v>
      </c>
    </row>
    <row r="11" spans="1:7" ht="5.0999999999999996" customHeight="1"/>
    <row r="12" spans="1:7" ht="15" customHeight="1">
      <c r="A12" s="238" t="s">
        <v>45</v>
      </c>
      <c r="B12" s="240" t="s">
        <v>46</v>
      </c>
      <c r="C12" s="242" t="s">
        <v>47</v>
      </c>
      <c r="D12" s="243"/>
      <c r="E12" s="235" t="s">
        <v>48</v>
      </c>
      <c r="F12" s="235"/>
      <c r="G12" s="235" t="s">
        <v>49</v>
      </c>
    </row>
    <row r="13" spans="1:7" ht="24" customHeight="1">
      <c r="A13" s="239"/>
      <c r="B13" s="241"/>
      <c r="C13" s="14" t="s">
        <v>52</v>
      </c>
      <c r="D13" s="15" t="s">
        <v>53</v>
      </c>
      <c r="E13" s="15" t="s">
        <v>54</v>
      </c>
      <c r="F13" s="15" t="s">
        <v>55</v>
      </c>
      <c r="G13" s="236"/>
    </row>
    <row r="14" spans="1:7" s="19" customFormat="1" ht="23.1" customHeight="1">
      <c r="A14" s="16" t="str">
        <f>IF('3'!A14="","",'3'!A14)</f>
        <v>ＯＰ</v>
      </c>
      <c r="B14" s="16">
        <f>IF('3'!B14="","",'3'!B14)</f>
        <v>1</v>
      </c>
      <c r="C14" s="17" t="str">
        <f>IF('3'!C14="","",'3'!C14)</f>
        <v>村上　篤</v>
      </c>
      <c r="D14" s="219">
        <f>IF('3'!D14="","",'3'!D14)</f>
        <v>4416</v>
      </c>
      <c r="E14" s="17" t="str">
        <f>IF('3'!E14="","",'3'!E14)</f>
        <v>ピノ</v>
      </c>
      <c r="F14" s="219">
        <f>IF('3'!F14="","",'3'!F14)</f>
        <v>58525</v>
      </c>
      <c r="G14" s="17" t="str">
        <f>IF('3'!G14="","",'3'!G14)</f>
        <v>オリエント馬事センター</v>
      </c>
    </row>
    <row r="15" spans="1:7" s="19" customFormat="1" ht="23.1" customHeight="1">
      <c r="A15" s="16" t="str">
        <f>IF('3'!A15="","",'3'!A15)</f>
        <v/>
      </c>
      <c r="B15" s="16">
        <f>IF('3'!B15="","",'3'!B15)</f>
        <v>2</v>
      </c>
      <c r="C15" s="17" t="str">
        <f>IF('3'!C15="","",'3'!C15)</f>
        <v>林　義昌</v>
      </c>
      <c r="D15" s="219">
        <f>IF('3'!D15="","",'3'!D15)</f>
        <v>18717</v>
      </c>
      <c r="E15" s="17" t="str">
        <f>IF('3'!E15="","",'3'!E15)</f>
        <v>熊野八咫烏</v>
      </c>
      <c r="F15" s="219" t="str">
        <f>IF('3'!F15="","",'3'!F15)</f>
        <v>‐</v>
      </c>
      <c r="G15" s="17" t="str">
        <f>IF('3'!G15="","",'3'!G15)</f>
        <v>北総乗馬クラブ</v>
      </c>
    </row>
    <row r="16" spans="1:7" s="19" customFormat="1" ht="23.1" customHeight="1">
      <c r="A16" s="16" t="str">
        <f>IF('3'!A16="","",'3'!A16)</f>
        <v>ＯＰ</v>
      </c>
      <c r="B16" s="16">
        <f>IF('3'!B16="","",'3'!B16)</f>
        <v>3</v>
      </c>
      <c r="C16" s="17" t="str">
        <f>IF('3'!C16="","",'3'!C16)</f>
        <v>鈴木　裕介</v>
      </c>
      <c r="D16" s="219">
        <f>IF('3'!D16="","",'3'!D16)</f>
        <v>23529</v>
      </c>
      <c r="E16" s="17" t="str">
        <f>IF('3'!E16="","",'3'!E16)</f>
        <v>ミサキシャンティ</v>
      </c>
      <c r="F16" s="219" t="str">
        <f>IF('3'!F16="","",'3'!F16)</f>
        <v>-</v>
      </c>
      <c r="G16" s="17" t="str">
        <f>IF('3'!G16="","",'3'!G16)</f>
        <v>北駿ホースヴィラ</v>
      </c>
    </row>
    <row r="17" spans="1:7" s="19" customFormat="1" ht="23.1" customHeight="1">
      <c r="A17" s="16" t="str">
        <f>IF('3'!A17="","",'3'!A17)</f>
        <v/>
      </c>
      <c r="B17" s="16">
        <f>IF('3'!B17="","",'3'!B17)</f>
        <v>4</v>
      </c>
      <c r="C17" s="17" t="str">
        <f>IF('3'!C17="","",'3'!C17)</f>
        <v>山下　永聖</v>
      </c>
      <c r="D17" s="219">
        <f>IF('3'!D17="","",'3'!D17)</f>
        <v>34299</v>
      </c>
      <c r="E17" s="17" t="str">
        <f>IF('3'!E17="","",'3'!E17)</f>
        <v>紅愛</v>
      </c>
      <c r="F17" s="219">
        <f>IF('3'!F17="","",'3'!F17)</f>
        <v>59843</v>
      </c>
      <c r="G17" s="17" t="str">
        <f>IF('3'!G17="","",'3'!G17)</f>
        <v>拓殖大学馬術部</v>
      </c>
    </row>
    <row r="18" spans="1:7" s="19" customFormat="1" ht="23.1" customHeight="1">
      <c r="A18" s="16" t="str">
        <f>IF('3'!A18="","",'3'!A18)</f>
        <v/>
      </c>
      <c r="B18" s="16">
        <f>IF('3'!B18="","",'3'!B18)</f>
        <v>5</v>
      </c>
      <c r="C18" s="17" t="str">
        <f>IF('3'!C18="","",'3'!C18)</f>
        <v>服部　亮太</v>
      </c>
      <c r="D18" s="219" t="str">
        <f>IF('3'!D18="","",'3'!D18)</f>
        <v>-</v>
      </c>
      <c r="E18" s="17" t="str">
        <f>IF('3'!E18="","",'3'!E18)</f>
        <v>フレデリカ</v>
      </c>
      <c r="F18" s="219" t="str">
        <f>IF('3'!F18="","",'3'!F18)</f>
        <v>-</v>
      </c>
      <c r="G18" s="17" t="str">
        <f>IF('3'!G18="","",'3'!G18)</f>
        <v>乗馬クラブクレイン神奈川</v>
      </c>
    </row>
    <row r="19" spans="1:7" s="19" customFormat="1" ht="23.1" customHeight="1">
      <c r="A19" s="16" t="str">
        <f>IF('3'!A19="","",'3'!A19)</f>
        <v>ＯＰ</v>
      </c>
      <c r="B19" s="16">
        <f>IF('3'!B19="","",'3'!B19)</f>
        <v>6</v>
      </c>
      <c r="C19" s="17" t="str">
        <f>IF('3'!C19="","",'3'!C19)</f>
        <v>村上　万理</v>
      </c>
      <c r="D19" s="219">
        <f>IF('3'!D19="","",'3'!D19)</f>
        <v>5665</v>
      </c>
      <c r="E19" s="17" t="str">
        <f>IF('3'!E19="","",'3'!E19)</f>
        <v>ブリッツ</v>
      </c>
      <c r="F19" s="219">
        <f>IF('3'!F19="","",'3'!F19)</f>
        <v>58339</v>
      </c>
      <c r="G19" s="17" t="str">
        <f>IF('3'!G19="","",'3'!G19)</f>
        <v>オリエント馬事センター</v>
      </c>
    </row>
    <row r="20" spans="1:7" s="19" customFormat="1" ht="23.1" customHeight="1">
      <c r="A20" s="16" t="str">
        <f>IF('3'!A20="","",'3'!A20)</f>
        <v/>
      </c>
      <c r="B20" s="16">
        <f>IF('3'!B20="","",'3'!B20)</f>
        <v>7</v>
      </c>
      <c r="C20" s="17" t="str">
        <f>IF('3'!C20="","",'3'!C20)</f>
        <v>西浦　芽衣</v>
      </c>
      <c r="D20" s="219" t="str">
        <f>IF('3'!D20="","",'3'!D20)</f>
        <v>-</v>
      </c>
      <c r="E20" s="17" t="str">
        <f>IF('3'!E20="","",'3'!E20)</f>
        <v>星娘</v>
      </c>
      <c r="F20" s="219">
        <f>IF('3'!F20="","",'3'!F20)</f>
        <v>59867</v>
      </c>
      <c r="G20" s="17" t="str">
        <f>IF('3'!G20="","",'3'!G20)</f>
        <v>筑波スカイラインスティーブル</v>
      </c>
    </row>
    <row r="21" spans="1:7" s="19" customFormat="1" ht="23.1" customHeight="1">
      <c r="A21" s="16" t="str">
        <f>IF('3'!A21="","",'3'!A21)</f>
        <v/>
      </c>
      <c r="B21" s="16">
        <f>IF('3'!B21="","",'3'!B21)</f>
        <v>8</v>
      </c>
      <c r="C21" s="17" t="str">
        <f>IF('3'!C21="","",'3'!C21)</f>
        <v>三田村　忍</v>
      </c>
      <c r="D21" s="219" t="str">
        <f>IF('3'!D21="","",'3'!D21)</f>
        <v>-</v>
      </c>
      <c r="E21" s="17" t="str">
        <f>IF('3'!E21="","",'3'!E21)</f>
        <v>エヴァンダ</v>
      </c>
      <c r="F21" s="219">
        <f>IF('3'!F21="","",'3'!F21)</f>
        <v>57887</v>
      </c>
      <c r="G21" s="17" t="str">
        <f>IF('3'!G21="","",'3'!G21)</f>
        <v>ペガサス乗馬クラブ</v>
      </c>
    </row>
    <row r="22" spans="1:7" s="19" customFormat="1" ht="23.1" customHeight="1">
      <c r="A22" s="16" t="str">
        <f>IF('3'!A22="","",'3'!A22)</f>
        <v>ＯＰ</v>
      </c>
      <c r="B22" s="16">
        <f>IF('3'!B22="","",'3'!B22)</f>
        <v>9</v>
      </c>
      <c r="C22" s="17" t="str">
        <f>IF('3'!C22="","",'3'!C22)</f>
        <v>本間　唯純</v>
      </c>
      <c r="D22" s="219">
        <f>IF('3'!D22="","",'3'!D22)</f>
        <v>14546</v>
      </c>
      <c r="E22" s="17" t="str">
        <f>IF('3'!E22="","",'3'!E22)</f>
        <v>ごま丸</v>
      </c>
      <c r="F22" s="219" t="str">
        <f>IF('3'!F22="","",'3'!F22)</f>
        <v>-</v>
      </c>
      <c r="G22" s="17" t="str">
        <f>IF('3'!G22="","",'3'!G22)</f>
        <v>乗馬クラブクレイン神奈川</v>
      </c>
    </row>
    <row r="23" spans="1:7" s="19" customFormat="1" ht="23.1" customHeight="1">
      <c r="A23" s="16" t="str">
        <f>IF('3'!A23="","",'3'!A23)</f>
        <v/>
      </c>
      <c r="B23" s="16">
        <f>IF('3'!B23="","",'3'!B23)</f>
        <v>10</v>
      </c>
      <c r="C23" s="17" t="str">
        <f>IF('3'!C23="","",'3'!C23)</f>
        <v>明渡　則和</v>
      </c>
      <c r="D23" s="219">
        <f>IF('3'!D23="","",'3'!D23)</f>
        <v>32215</v>
      </c>
      <c r="E23" s="17" t="str">
        <f>IF('3'!E23="","",'3'!E23)</f>
        <v>ミサキシャンティ</v>
      </c>
      <c r="F23" s="219" t="str">
        <f>IF('3'!F23="","",'3'!F23)</f>
        <v>-</v>
      </c>
      <c r="G23" s="17" t="str">
        <f>IF('3'!G23="","",'3'!G23)</f>
        <v>北駿ホースヴィラ</v>
      </c>
    </row>
    <row r="24" spans="1:7" s="19" customFormat="1" ht="23.1" customHeight="1">
      <c r="A24" s="16" t="str">
        <f>IF('3'!A24="","",'3'!A24)</f>
        <v/>
      </c>
      <c r="B24" s="16">
        <f>IF('3'!B24="","",'3'!B24)</f>
        <v>11</v>
      </c>
      <c r="C24" s="17" t="str">
        <f>IF('3'!C24="","",'3'!C24)</f>
        <v>林　義昌</v>
      </c>
      <c r="D24" s="219">
        <f>IF('3'!D24="","",'3'!D24)</f>
        <v>18717</v>
      </c>
      <c r="E24" s="17" t="str">
        <f>IF('3'!E24="","",'3'!E24)</f>
        <v>ラーグルフ</v>
      </c>
      <c r="F24" s="219" t="str">
        <f>IF('3'!F24="","",'3'!F24)</f>
        <v>‐</v>
      </c>
      <c r="G24" s="17" t="str">
        <f>IF('3'!G24="","",'3'!G24)</f>
        <v>北総乗馬クラブ</v>
      </c>
    </row>
    <row r="25" spans="1:7" s="19" customFormat="1" ht="23.1" customHeight="1">
      <c r="A25" s="16" t="str">
        <f>IF('3'!A25="","",'3'!A25)</f>
        <v/>
      </c>
      <c r="B25" s="16">
        <f>IF('3'!B25="","",'3'!B25)</f>
        <v>12</v>
      </c>
      <c r="C25" s="17" t="str">
        <f>IF('3'!C25="","",'3'!C25)</f>
        <v>伊藤　正平</v>
      </c>
      <c r="D25" s="219">
        <f>IF('3'!D25="","",'3'!D25)</f>
        <v>11976</v>
      </c>
      <c r="E25" s="17" t="str">
        <f>IF('3'!E25="","",'3'!E25)</f>
        <v>ブルーカップ</v>
      </c>
      <c r="F25" s="219" t="str">
        <f>IF('3'!F25="","",'3'!F25)</f>
        <v>-</v>
      </c>
      <c r="G25" s="17" t="str">
        <f>IF('3'!G25="","",'3'!G25)</f>
        <v>乗馬クラブクレイン伊奈</v>
      </c>
    </row>
    <row r="26" spans="1:7" s="19" customFormat="1" ht="23.1" customHeight="1">
      <c r="A26" s="16" t="str">
        <f>IF('3'!A26="","",'3'!A26)</f>
        <v>ＯＰ</v>
      </c>
      <c r="B26" s="16">
        <f>IF('3'!B26="","",'3'!B26)</f>
        <v>13</v>
      </c>
      <c r="C26" s="17" t="str">
        <f>IF('3'!C26="","",'3'!C26)</f>
        <v>服部　亮太</v>
      </c>
      <c r="D26" s="219" t="str">
        <f>IF('3'!D26="","",'3'!D26)</f>
        <v>-</v>
      </c>
      <c r="E26" s="17" t="str">
        <f>IF('3'!E26="","",'3'!E26)</f>
        <v>ティラミス</v>
      </c>
      <c r="F26" s="219" t="str">
        <f>IF('3'!F26="","",'3'!F26)</f>
        <v>-</v>
      </c>
      <c r="G26" s="17" t="str">
        <f>IF('3'!G26="","",'3'!G26)</f>
        <v>乗馬クラブクレイン神奈川</v>
      </c>
    </row>
    <row r="27" spans="1:7" s="19" customFormat="1" ht="23.1" customHeight="1">
      <c r="A27" s="16" t="str">
        <f>IF('3'!A27="","",'3'!A27)</f>
        <v>ＯＰ</v>
      </c>
      <c r="B27" s="16">
        <f>IF('3'!B27="","",'3'!B27)</f>
        <v>14</v>
      </c>
      <c r="C27" s="17" t="str">
        <f>IF('3'!C27="","",'3'!C27)</f>
        <v>村上　篤</v>
      </c>
      <c r="D27" s="219">
        <f>IF('3'!D27="","",'3'!D27)</f>
        <v>4416</v>
      </c>
      <c r="E27" s="17" t="str">
        <f>IF('3'!E27="","",'3'!E27)</f>
        <v>ペリドット</v>
      </c>
      <c r="F27" s="219" t="str">
        <f>IF('3'!F27="","",'3'!F27)</f>
        <v>-</v>
      </c>
      <c r="G27" s="17" t="str">
        <f>IF('3'!G27="","",'3'!G27)</f>
        <v>オリエント馬事センター</v>
      </c>
    </row>
    <row r="28" spans="1:7" s="19" customFormat="1" ht="23.1" customHeight="1">
      <c r="A28" s="16" t="str">
        <f>IF('3'!A28="","",'3'!A28)</f>
        <v/>
      </c>
      <c r="B28" s="16">
        <f>IF('3'!B28="","",'3'!B28)</f>
        <v>15</v>
      </c>
      <c r="C28" s="17" t="str">
        <f>IF('3'!C28="","",'3'!C28)</f>
        <v>秋山　花吏奈</v>
      </c>
      <c r="D28" s="219">
        <f>IF('3'!D28="","",'3'!D28)</f>
        <v>32313</v>
      </c>
      <c r="E28" s="17" t="str">
        <f>IF('3'!E28="","",'3'!E28)</f>
        <v>ラッキーリングス・M</v>
      </c>
      <c r="F28" s="219" t="str">
        <f>IF('3'!F28="","",'3'!F28)</f>
        <v>-</v>
      </c>
      <c r="G28" s="17" t="str">
        <f>IF('3'!G28="","",'3'!G28)</f>
        <v>Horses' New Stage</v>
      </c>
    </row>
    <row r="29" spans="1:7" s="19" customFormat="1" ht="23.1" customHeight="1">
      <c r="A29" s="16" t="str">
        <f>IF('3'!A29="","",'3'!A29)</f>
        <v/>
      </c>
      <c r="B29" s="16">
        <f>IF('3'!B29="","",'3'!B29)</f>
        <v>16</v>
      </c>
      <c r="C29" s="17" t="str">
        <f>IF('3'!C29="","",'3'!C29)</f>
        <v>山下　永聖</v>
      </c>
      <c r="D29" s="219">
        <f>IF('3'!D29="","",'3'!D29)</f>
        <v>34299</v>
      </c>
      <c r="E29" s="17" t="str">
        <f>IF('3'!E29="","",'3'!E29)</f>
        <v>ジェノベーゼ</v>
      </c>
      <c r="F29" s="219">
        <f>IF('3'!F29="","",'3'!F29)</f>
        <v>62092</v>
      </c>
      <c r="G29" s="17" t="str">
        <f>IF('3'!G29="","",'3'!G29)</f>
        <v>拓殖大学馬術部</v>
      </c>
    </row>
    <row r="30" spans="1:7" s="19" customFormat="1" ht="23.1" customHeight="1">
      <c r="A30" s="16" t="str">
        <f>IF('3'!A30="","",'3'!A30)</f>
        <v>WD</v>
      </c>
      <c r="B30" s="16">
        <f>IF('3'!B30="","",'3'!B30)</f>
        <v>17</v>
      </c>
      <c r="C30" s="17" t="str">
        <f>IF('3'!C30="","",'3'!C30)</f>
        <v>戸田　侑汰</v>
      </c>
      <c r="D30" s="219" t="str">
        <f>IF('3'!D30="","",'3'!D30)</f>
        <v>-</v>
      </c>
      <c r="E30" s="17" t="str">
        <f>IF('3'!E30="","",'3'!E30)</f>
        <v>カスミチャン</v>
      </c>
      <c r="F30" s="219">
        <f>IF('3'!F30="","",'3'!F30)</f>
        <v>61736</v>
      </c>
      <c r="G30" s="17" t="str">
        <f>IF('3'!G30="","",'3'!G30)</f>
        <v>拓殖大学馬術部</v>
      </c>
    </row>
    <row r="31" spans="1:7" s="19" customFormat="1" ht="23.1" customHeight="1">
      <c r="A31" s="16" t="str">
        <f>IF('3'!A31="","",'3'!A31)</f>
        <v/>
      </c>
      <c r="B31" s="16">
        <f>IF('3'!B31="","",'3'!B31)</f>
        <v>18</v>
      </c>
      <c r="C31" s="17" t="str">
        <f>IF('3'!C31="","",'3'!C31)</f>
        <v/>
      </c>
      <c r="D31" s="219" t="str">
        <f>IF('3'!D31="","",'3'!D31)</f>
        <v/>
      </c>
      <c r="E31" s="17" t="str">
        <f>IF('3'!E31="","",'3'!E31)</f>
        <v/>
      </c>
      <c r="F31" s="219" t="str">
        <f>IF('3'!F31="","",'3'!F31)</f>
        <v/>
      </c>
      <c r="G31" s="17" t="str">
        <f>IF('3'!G31="","",'3'!G31)</f>
        <v/>
      </c>
    </row>
    <row r="32" spans="1:7" s="19" customFormat="1" ht="23.1" customHeight="1">
      <c r="A32" s="16" t="str">
        <f>IF('3'!A32="","",'3'!A32)</f>
        <v/>
      </c>
      <c r="B32" s="16">
        <f>IF('3'!B32="","",'3'!B32)</f>
        <v>19</v>
      </c>
      <c r="C32" s="17" t="str">
        <f>IF('3'!C32="","",'3'!C32)</f>
        <v/>
      </c>
      <c r="D32" s="219" t="str">
        <f>IF('3'!D32="","",'3'!D32)</f>
        <v/>
      </c>
      <c r="E32" s="17" t="str">
        <f>IF('3'!E32="","",'3'!E32)</f>
        <v/>
      </c>
      <c r="F32" s="219" t="str">
        <f>IF('3'!F32="","",'3'!F32)</f>
        <v/>
      </c>
      <c r="G32" s="17" t="str">
        <f>IF('3'!G32="","",'3'!G32)</f>
        <v/>
      </c>
    </row>
    <row r="33" spans="1:7" s="19" customFormat="1" ht="23.1" customHeight="1">
      <c r="A33" s="16" t="str">
        <f>IF('3'!A33="","",'3'!A33)</f>
        <v/>
      </c>
      <c r="B33" s="16">
        <f>IF('3'!B33="","",'3'!B33)</f>
        <v>20</v>
      </c>
      <c r="C33" s="17" t="str">
        <f>IF('3'!C33="","",'3'!C33)</f>
        <v/>
      </c>
      <c r="D33" s="219" t="str">
        <f>IF('3'!D33="","",'3'!D33)</f>
        <v/>
      </c>
      <c r="E33" s="17" t="str">
        <f>IF('3'!E33="","",'3'!E33)</f>
        <v/>
      </c>
      <c r="F33" s="219" t="str">
        <f>IF('3'!F33="","",'3'!F33)</f>
        <v/>
      </c>
      <c r="G33" s="17" t="str">
        <f>IF('3'!G33="","",'3'!G33)</f>
        <v/>
      </c>
    </row>
    <row r="34" spans="1:7" s="19" customFormat="1" ht="23.1" customHeight="1">
      <c r="A34" s="16" t="str">
        <f>IF('3'!A34="","",'3'!A34)</f>
        <v/>
      </c>
      <c r="B34" s="16">
        <f>IF('3'!B34="","",'3'!B34)</f>
        <v>21</v>
      </c>
      <c r="C34" s="17" t="str">
        <f>IF('3'!C34="","",'3'!C34)</f>
        <v/>
      </c>
      <c r="D34" s="219" t="str">
        <f>IF('3'!D34="","",'3'!D34)</f>
        <v/>
      </c>
      <c r="E34" s="17" t="str">
        <f>IF('3'!E34="","",'3'!E34)</f>
        <v/>
      </c>
      <c r="F34" s="219" t="str">
        <f>IF('3'!F34="","",'3'!F34)</f>
        <v/>
      </c>
      <c r="G34" s="17" t="str">
        <f>IF('3'!G34="","",'3'!G34)</f>
        <v/>
      </c>
    </row>
    <row r="35" spans="1:7" s="19" customFormat="1" ht="23.1" customHeight="1">
      <c r="A35" s="16" t="str">
        <f>IF('3'!A35="","",'3'!A35)</f>
        <v/>
      </c>
      <c r="B35" s="16">
        <f>IF('3'!B35="","",'3'!B35)</f>
        <v>22</v>
      </c>
      <c r="C35" s="17" t="str">
        <f>IF('3'!C35="","",'3'!C35)</f>
        <v/>
      </c>
      <c r="D35" s="219" t="str">
        <f>IF('3'!D35="","",'3'!D35)</f>
        <v/>
      </c>
      <c r="E35" s="17" t="str">
        <f>IF('3'!E35="","",'3'!E35)</f>
        <v/>
      </c>
      <c r="F35" s="219" t="str">
        <f>IF('3'!F35="","",'3'!F35)</f>
        <v/>
      </c>
      <c r="G35" s="17" t="str">
        <f>IF('3'!G35="","",'3'!G35)</f>
        <v/>
      </c>
    </row>
    <row r="36" spans="1:7" s="19" customFormat="1" ht="23.1" customHeight="1">
      <c r="A36" s="16" t="str">
        <f>IF('3'!A36="","",'3'!A36)</f>
        <v/>
      </c>
      <c r="B36" s="16">
        <f>IF('3'!B36="","",'3'!B36)</f>
        <v>23</v>
      </c>
      <c r="C36" s="17" t="str">
        <f>IF('3'!C36="","",'3'!C36)</f>
        <v/>
      </c>
      <c r="D36" s="219" t="str">
        <f>IF('3'!D36="","",'3'!D36)</f>
        <v/>
      </c>
      <c r="E36" s="17" t="str">
        <f>IF('3'!E36="","",'3'!E36)</f>
        <v/>
      </c>
      <c r="F36" s="219" t="str">
        <f>IF('3'!F36="","",'3'!F36)</f>
        <v/>
      </c>
      <c r="G36" s="17" t="str">
        <f>IF('3'!G36="","",'3'!G36)</f>
        <v/>
      </c>
    </row>
    <row r="37" spans="1:7" s="19" customFormat="1" ht="23.1" customHeight="1">
      <c r="A37" s="16" t="str">
        <f>IF('3'!A37="","",'3'!A37)</f>
        <v/>
      </c>
      <c r="B37" s="16">
        <f>IF('3'!B37="","",'3'!B37)</f>
        <v>24</v>
      </c>
      <c r="C37" s="17" t="str">
        <f>IF('3'!C37="","",'3'!C37)</f>
        <v/>
      </c>
      <c r="D37" s="219" t="str">
        <f>IF('3'!D37="","",'3'!D37)</f>
        <v/>
      </c>
      <c r="E37" s="17" t="str">
        <f>IF('3'!E37="","",'3'!E37)</f>
        <v/>
      </c>
      <c r="F37" s="219" t="str">
        <f>IF('3'!F37="","",'3'!F37)</f>
        <v/>
      </c>
      <c r="G37" s="17" t="str">
        <f>IF('3'!G37="","",'3'!G37)</f>
        <v/>
      </c>
    </row>
    <row r="38" spans="1:7" s="19" customFormat="1" ht="23.1" customHeight="1">
      <c r="A38" s="16" t="str">
        <f>IF('3'!A38="","",'3'!A38)</f>
        <v/>
      </c>
      <c r="B38" s="16">
        <f>IF('3'!B38="","",'3'!B38)</f>
        <v>25</v>
      </c>
      <c r="C38" s="17" t="str">
        <f>IF('3'!C38="","",'3'!C38)</f>
        <v/>
      </c>
      <c r="D38" s="219" t="str">
        <f>IF('3'!D38="","",'3'!D38)</f>
        <v/>
      </c>
      <c r="E38" s="17" t="str">
        <f>IF('3'!E38="","",'3'!E38)</f>
        <v/>
      </c>
      <c r="F38" s="219" t="str">
        <f>IF('3'!F38="","",'3'!F38)</f>
        <v/>
      </c>
      <c r="G38" s="17" t="str">
        <f>IF('3'!G38="","",'3'!G38)</f>
        <v/>
      </c>
    </row>
    <row r="39" spans="1:7" s="19" customFormat="1" ht="23.1" customHeight="1">
      <c r="A39" s="16" t="str">
        <f>IF('3'!A39="","",'3'!A39)</f>
        <v/>
      </c>
      <c r="B39" s="16">
        <f>IF('3'!B39="","",'3'!B39)</f>
        <v>26</v>
      </c>
      <c r="C39" s="17" t="str">
        <f>IF('3'!C39="","",'3'!C39)</f>
        <v/>
      </c>
      <c r="D39" s="219" t="str">
        <f>IF('3'!D39="","",'3'!D39)</f>
        <v/>
      </c>
      <c r="E39" s="17" t="str">
        <f>IF('3'!E39="","",'3'!E39)</f>
        <v/>
      </c>
      <c r="F39" s="219" t="str">
        <f>IF('3'!F39="","",'3'!F39)</f>
        <v/>
      </c>
      <c r="G39" s="17" t="str">
        <f>IF('3'!G39="","",'3'!G39)</f>
        <v/>
      </c>
    </row>
    <row r="40" spans="1:7" s="19" customFormat="1" ht="23.1" customHeight="1">
      <c r="A40" s="16" t="str">
        <f>IF('3'!A40="","",'3'!A40)</f>
        <v/>
      </c>
      <c r="B40" s="16">
        <f>IF('3'!B40="","",'3'!B40)</f>
        <v>27</v>
      </c>
      <c r="C40" s="17" t="str">
        <f>IF('3'!C40="","",'3'!C40)</f>
        <v/>
      </c>
      <c r="D40" s="219" t="str">
        <f>IF('3'!D40="","",'3'!D40)</f>
        <v/>
      </c>
      <c r="E40" s="17" t="str">
        <f>IF('3'!E40="","",'3'!E40)</f>
        <v/>
      </c>
      <c r="F40" s="219" t="str">
        <f>IF('3'!F40="","",'3'!F40)</f>
        <v/>
      </c>
      <c r="G40" s="17" t="str">
        <f>IF('3'!G40="","",'3'!G40)</f>
        <v/>
      </c>
    </row>
    <row r="41" spans="1:7" s="19" customFormat="1" ht="23.1" customHeight="1">
      <c r="A41" s="16" t="str">
        <f>IF('3'!A41="","",'3'!A41)</f>
        <v/>
      </c>
      <c r="B41" s="16">
        <f>IF('3'!B41="","",'3'!B41)</f>
        <v>28</v>
      </c>
      <c r="C41" s="17" t="str">
        <f>IF('3'!C41="","",'3'!C41)</f>
        <v/>
      </c>
      <c r="D41" s="219" t="str">
        <f>IF('3'!D41="","",'3'!D41)</f>
        <v/>
      </c>
      <c r="E41" s="17" t="str">
        <f>IF('3'!E41="","",'3'!E41)</f>
        <v/>
      </c>
      <c r="F41" s="219" t="str">
        <f>IF('3'!F41="","",'3'!F41)</f>
        <v/>
      </c>
      <c r="G41" s="17" t="str">
        <f>IF('3'!G41="","",'3'!G41)</f>
        <v/>
      </c>
    </row>
    <row r="42" spans="1:7" s="19" customFormat="1" ht="23.1" customHeight="1">
      <c r="A42" s="16" t="str">
        <f>IF('3'!A42="","",'3'!A42)</f>
        <v/>
      </c>
      <c r="B42" s="16">
        <f>IF('3'!B42="","",'3'!B42)</f>
        <v>29</v>
      </c>
      <c r="C42" s="17" t="str">
        <f>IF('3'!C42="","",'3'!C42)</f>
        <v/>
      </c>
      <c r="D42" s="219" t="str">
        <f>IF('3'!D42="","",'3'!D42)</f>
        <v/>
      </c>
      <c r="E42" s="17" t="str">
        <f>IF('3'!E42="","",'3'!E42)</f>
        <v/>
      </c>
      <c r="F42" s="219" t="str">
        <f>IF('3'!F42="","",'3'!F42)</f>
        <v/>
      </c>
      <c r="G42" s="17" t="str">
        <f>IF('3'!G42="","",'3'!G42)</f>
        <v/>
      </c>
    </row>
    <row r="43" spans="1:7" s="19" customFormat="1" ht="23.1" customHeight="1">
      <c r="A43" s="16" t="str">
        <f>IF('3'!A43="","",'3'!A43)</f>
        <v/>
      </c>
      <c r="B43" s="16">
        <f>IF('3'!B43="","",'3'!B43)</f>
        <v>30</v>
      </c>
      <c r="C43" s="17" t="str">
        <f>IF('3'!C43="","",'3'!C43)</f>
        <v/>
      </c>
      <c r="D43" s="219" t="str">
        <f>IF('3'!D43="","",'3'!D43)</f>
        <v/>
      </c>
      <c r="E43" s="17" t="str">
        <f>IF('3'!E43="","",'3'!E43)</f>
        <v/>
      </c>
      <c r="F43" s="219" t="str">
        <f>IF('3'!F43="","",'3'!F43)</f>
        <v/>
      </c>
      <c r="G43" s="17" t="str">
        <f>IF('3'!G43="","",'3'!G43)</f>
        <v/>
      </c>
    </row>
    <row r="44" spans="1:7" ht="23.1" customHeight="1">
      <c r="A44" s="16" t="str">
        <f>IF('3'!A44="","",'3'!A44)</f>
        <v/>
      </c>
      <c r="B44" s="16" t="str">
        <f>IF('3'!B44="","",'3'!B44)</f>
        <v/>
      </c>
      <c r="C44" s="17" t="str">
        <f>IF('3'!C44="","",'3'!C44)</f>
        <v/>
      </c>
      <c r="D44" s="219" t="str">
        <f>IF('3'!D44="","",'3'!D44)</f>
        <v/>
      </c>
      <c r="E44" s="17" t="str">
        <f>IF('3'!E44="","",'3'!E44)</f>
        <v/>
      </c>
      <c r="F44" s="219" t="str">
        <f>IF('3'!F44="","",'3'!F44)</f>
        <v/>
      </c>
      <c r="G44" s="17" t="str">
        <f>IF('3'!G44="","",'3'!G44)</f>
        <v/>
      </c>
    </row>
    <row r="45" spans="1:7" ht="23.1" customHeight="1">
      <c r="A45" s="16" t="str">
        <f>IF('3'!A45="","",'3'!A45)</f>
        <v/>
      </c>
      <c r="B45" s="16" t="str">
        <f>IF('3'!B45="","",'3'!B45)</f>
        <v/>
      </c>
      <c r="C45" s="17" t="str">
        <f>IF('3'!C45="","",'3'!C45)</f>
        <v/>
      </c>
      <c r="D45" s="219" t="str">
        <f>IF('3'!D45="","",'3'!D45)</f>
        <v/>
      </c>
      <c r="E45" s="17" t="str">
        <f>IF('3'!E45="","",'3'!E45)</f>
        <v/>
      </c>
      <c r="F45" s="219" t="str">
        <f>IF('3'!F45="","",'3'!F45)</f>
        <v/>
      </c>
      <c r="G45" s="17" t="str">
        <f>IF('3'!G45="","",'3'!G45)</f>
        <v/>
      </c>
    </row>
    <row r="46" spans="1:7" ht="23.1" customHeight="1">
      <c r="A46" s="16" t="str">
        <f>IF('3'!A46="","",'3'!A46)</f>
        <v/>
      </c>
      <c r="B46" s="16" t="str">
        <f>IF('3'!B46="","",'3'!B46)</f>
        <v/>
      </c>
      <c r="C46" s="17" t="str">
        <f>IF('3'!C46="","",'3'!C46)</f>
        <v/>
      </c>
      <c r="D46" s="219" t="str">
        <f>IF('3'!D46="","",'3'!D46)</f>
        <v/>
      </c>
      <c r="E46" s="17" t="str">
        <f>IF('3'!E46="","",'3'!E46)</f>
        <v/>
      </c>
      <c r="F46" s="219" t="str">
        <f>IF('3'!F46="","",'3'!F46)</f>
        <v/>
      </c>
      <c r="G46" s="17" t="str">
        <f>IF('3'!G46="","",'3'!G46)</f>
        <v/>
      </c>
    </row>
    <row r="47" spans="1:7" ht="23.1" customHeight="1">
      <c r="A47" s="16" t="str">
        <f>IF('3'!A47="","",'3'!A47)</f>
        <v/>
      </c>
      <c r="B47" s="16" t="str">
        <f>IF('3'!B47="","",'3'!B47)</f>
        <v/>
      </c>
      <c r="C47" s="17" t="str">
        <f>IF('3'!C47="","",'3'!C47)</f>
        <v/>
      </c>
      <c r="D47" s="219" t="str">
        <f>IF('3'!D47="","",'3'!D47)</f>
        <v/>
      </c>
      <c r="E47" s="17" t="str">
        <f>IF('3'!E47="","",'3'!E47)</f>
        <v/>
      </c>
      <c r="F47" s="219" t="str">
        <f>IF('3'!F47="","",'3'!F47)</f>
        <v/>
      </c>
      <c r="G47" s="17" t="str">
        <f>IF('3'!G47="","",'3'!G47)</f>
        <v/>
      </c>
    </row>
    <row r="48" spans="1:7" ht="23.1" customHeight="1">
      <c r="A48" s="16" t="str">
        <f>IF('3'!A48="","",'3'!A48)</f>
        <v/>
      </c>
      <c r="B48" s="16" t="str">
        <f>IF('3'!B48="","",'3'!B48)</f>
        <v/>
      </c>
      <c r="C48" s="17" t="str">
        <f>IF('3'!C48="","",'3'!C48)</f>
        <v/>
      </c>
      <c r="D48" s="219" t="str">
        <f>IF('3'!D48="","",'3'!D48)</f>
        <v/>
      </c>
      <c r="E48" s="17" t="str">
        <f>IF('3'!E48="","",'3'!E48)</f>
        <v/>
      </c>
      <c r="F48" s="219" t="str">
        <f>IF('3'!F48="","",'3'!F48)</f>
        <v/>
      </c>
      <c r="G48" s="17" t="str">
        <f>IF('3'!G48="","",'3'!G48)</f>
        <v/>
      </c>
    </row>
    <row r="49" spans="1:7" ht="23.1" customHeight="1">
      <c r="A49" s="16" t="str">
        <f>IF('3'!A49="","",'3'!A49)</f>
        <v/>
      </c>
      <c r="B49" s="16" t="str">
        <f>IF('3'!B49="","",'3'!B49)</f>
        <v/>
      </c>
      <c r="C49" s="17" t="str">
        <f>IF('3'!C49="","",'3'!C49)</f>
        <v/>
      </c>
      <c r="D49" s="219" t="str">
        <f>IF('3'!D49="","",'3'!D49)</f>
        <v/>
      </c>
      <c r="E49" s="17" t="str">
        <f>IF('3'!E49="","",'3'!E49)</f>
        <v/>
      </c>
      <c r="F49" s="219" t="str">
        <f>IF('3'!F49="","",'3'!F49)</f>
        <v/>
      </c>
      <c r="G49" s="17" t="str">
        <f>IF('3'!G49="","",'3'!G49)</f>
        <v/>
      </c>
    </row>
    <row r="50" spans="1:7" ht="23.1" customHeight="1">
      <c r="A50" s="16" t="str">
        <f>IF('3'!A50="","",'3'!A50)</f>
        <v/>
      </c>
      <c r="B50" s="16" t="str">
        <f>IF('3'!B50="","",'3'!B50)</f>
        <v/>
      </c>
      <c r="C50" s="17" t="str">
        <f>IF('3'!C50="","",'3'!C50)</f>
        <v/>
      </c>
      <c r="D50" s="219" t="str">
        <f>IF('3'!D50="","",'3'!D50)</f>
        <v/>
      </c>
      <c r="E50" s="17" t="str">
        <f>IF('3'!E50="","",'3'!E50)</f>
        <v/>
      </c>
      <c r="F50" s="219" t="str">
        <f>IF('3'!F50="","",'3'!F50)</f>
        <v/>
      </c>
      <c r="G50" s="17" t="str">
        <f>IF('3'!G50="","",'3'!G50)</f>
        <v/>
      </c>
    </row>
    <row r="51" spans="1:7" ht="23.1" customHeight="1">
      <c r="A51" s="16" t="str">
        <f>IF('3'!A51="","",'3'!A51)</f>
        <v/>
      </c>
      <c r="B51" s="16" t="str">
        <f>IF('3'!B51="","",'3'!B51)</f>
        <v/>
      </c>
      <c r="C51" s="17" t="str">
        <f>IF('3'!C51="","",'3'!C51)</f>
        <v/>
      </c>
      <c r="D51" s="219" t="str">
        <f>IF('3'!D51="","",'3'!D51)</f>
        <v/>
      </c>
      <c r="E51" s="17" t="str">
        <f>IF('3'!E51="","",'3'!E51)</f>
        <v/>
      </c>
      <c r="F51" s="219" t="str">
        <f>IF('3'!F51="","",'3'!F51)</f>
        <v/>
      </c>
      <c r="G51" s="17" t="str">
        <f>IF('3'!G51="","",'3'!G51)</f>
        <v/>
      </c>
    </row>
    <row r="52" spans="1:7" ht="23.1" customHeight="1">
      <c r="A52" s="16" t="str">
        <f>IF('3'!A52="","",'3'!A52)</f>
        <v/>
      </c>
      <c r="B52" s="16" t="str">
        <f>IF('3'!B52="","",'3'!B52)</f>
        <v/>
      </c>
      <c r="C52" s="17" t="str">
        <f>IF('3'!C52="","",'3'!C52)</f>
        <v/>
      </c>
      <c r="D52" s="219" t="str">
        <f>IF('3'!D52="","",'3'!D52)</f>
        <v/>
      </c>
      <c r="E52" s="17" t="str">
        <f>IF('3'!E52="","",'3'!E52)</f>
        <v/>
      </c>
      <c r="F52" s="219" t="str">
        <f>IF('3'!F52="","",'3'!F52)</f>
        <v/>
      </c>
      <c r="G52" s="17" t="str">
        <f>IF('3'!G52="","",'3'!G52)</f>
        <v/>
      </c>
    </row>
    <row r="53" spans="1:7" ht="23.1" customHeight="1">
      <c r="A53" s="16" t="str">
        <f>IF('3'!A53="","",'3'!A53)</f>
        <v/>
      </c>
      <c r="B53" s="16" t="str">
        <f>IF('3'!B53="","",'3'!B53)</f>
        <v/>
      </c>
      <c r="C53" s="17" t="str">
        <f>IF('3'!C53="","",'3'!C53)</f>
        <v/>
      </c>
      <c r="D53" s="219" t="str">
        <f>IF('3'!D53="","",'3'!D53)</f>
        <v/>
      </c>
      <c r="E53" s="17" t="str">
        <f>IF('3'!E53="","",'3'!E53)</f>
        <v/>
      </c>
      <c r="F53" s="219" t="str">
        <f>IF('3'!F53="","",'3'!F53)</f>
        <v/>
      </c>
      <c r="G53" s="17" t="str">
        <f>IF('3'!G53="","",'3'!G53)</f>
        <v/>
      </c>
    </row>
    <row r="54" spans="1:7" ht="23.1" customHeight="1">
      <c r="A54" s="16" t="str">
        <f>IF('3'!A54="","",'3'!A54)</f>
        <v/>
      </c>
      <c r="B54" s="16" t="str">
        <f>IF('3'!B54="","",'3'!B54)</f>
        <v/>
      </c>
      <c r="C54" s="17" t="str">
        <f>IF('3'!C54="","",'3'!C54)</f>
        <v/>
      </c>
      <c r="D54" s="219" t="str">
        <f>IF('3'!D54="","",'3'!D54)</f>
        <v/>
      </c>
      <c r="E54" s="17" t="str">
        <f>IF('3'!E54="","",'3'!E54)</f>
        <v/>
      </c>
      <c r="F54" s="219" t="str">
        <f>IF('3'!F54="","",'3'!F54)</f>
        <v/>
      </c>
      <c r="G54" s="17" t="str">
        <f>IF('3'!G54="","",'3'!G54)</f>
        <v/>
      </c>
    </row>
    <row r="55" spans="1:7" ht="23.1" customHeight="1">
      <c r="A55" s="16" t="str">
        <f>IF('3'!A55="","",'3'!A55)</f>
        <v/>
      </c>
      <c r="B55" s="16" t="str">
        <f>IF('3'!B55="","",'3'!B55)</f>
        <v/>
      </c>
      <c r="C55" s="17" t="str">
        <f>IF('3'!C55="","",'3'!C55)</f>
        <v/>
      </c>
      <c r="D55" s="219" t="str">
        <f>IF('3'!D55="","",'3'!D55)</f>
        <v/>
      </c>
      <c r="E55" s="17" t="str">
        <f>IF('3'!E55="","",'3'!E55)</f>
        <v/>
      </c>
      <c r="F55" s="219" t="str">
        <f>IF('3'!F55="","",'3'!F55)</f>
        <v/>
      </c>
      <c r="G55" s="17" t="str">
        <f>IF('3'!G55="","",'3'!G55)</f>
        <v/>
      </c>
    </row>
    <row r="56" spans="1:7" ht="23.1" customHeight="1">
      <c r="A56" s="16" t="str">
        <f>IF('3'!A56="","",'3'!A56)</f>
        <v/>
      </c>
      <c r="B56" s="16" t="str">
        <f>IF('3'!B56="","",'3'!B56)</f>
        <v/>
      </c>
      <c r="C56" s="17" t="str">
        <f>IF('3'!C56="","",'3'!C56)</f>
        <v/>
      </c>
      <c r="D56" s="219" t="str">
        <f>IF('3'!D56="","",'3'!D56)</f>
        <v/>
      </c>
      <c r="E56" s="17" t="str">
        <f>IF('3'!E56="","",'3'!E56)</f>
        <v/>
      </c>
      <c r="F56" s="219" t="str">
        <f>IF('3'!F56="","",'3'!F56)</f>
        <v/>
      </c>
      <c r="G56" s="17" t="str">
        <f>IF('3'!G56="","",'3'!G56)</f>
        <v/>
      </c>
    </row>
    <row r="57" spans="1:7" ht="23.1" customHeight="1">
      <c r="A57" s="16" t="str">
        <f>IF('3'!A57="","",'3'!A57)</f>
        <v/>
      </c>
      <c r="B57" s="16" t="str">
        <f>IF('3'!B57="","",'3'!B57)</f>
        <v/>
      </c>
      <c r="C57" s="17" t="str">
        <f>IF('3'!C57="","",'3'!C57)</f>
        <v/>
      </c>
      <c r="D57" s="219" t="str">
        <f>IF('3'!D57="","",'3'!D57)</f>
        <v/>
      </c>
      <c r="E57" s="17" t="str">
        <f>IF('3'!E57="","",'3'!E57)</f>
        <v/>
      </c>
      <c r="F57" s="219" t="str">
        <f>IF('3'!F57="","",'3'!F57)</f>
        <v/>
      </c>
      <c r="G57" s="17" t="str">
        <f>IF('3'!G57="","",'3'!G57)</f>
        <v/>
      </c>
    </row>
    <row r="58" spans="1:7" ht="23.1" customHeight="1">
      <c r="A58" s="16" t="str">
        <f>IF('3'!A58="","",'3'!A58)</f>
        <v/>
      </c>
      <c r="B58" s="16" t="str">
        <f>IF('3'!B58="","",'3'!B58)</f>
        <v/>
      </c>
      <c r="C58" s="17" t="str">
        <f>IF('3'!C58="","",'3'!C58)</f>
        <v/>
      </c>
      <c r="D58" s="219" t="str">
        <f>IF('3'!D58="","",'3'!D58)</f>
        <v/>
      </c>
      <c r="E58" s="17" t="str">
        <f>IF('3'!E58="","",'3'!E58)</f>
        <v/>
      </c>
      <c r="F58" s="219" t="str">
        <f>IF('3'!F58="","",'3'!F58)</f>
        <v/>
      </c>
      <c r="G58" s="17" t="str">
        <f>IF('3'!G58="","",'3'!G58)</f>
        <v/>
      </c>
    </row>
    <row r="59" spans="1:7" ht="23.1" customHeight="1">
      <c r="A59" s="16" t="str">
        <f>IF('3'!A59="","",'3'!A59)</f>
        <v/>
      </c>
      <c r="B59" s="16" t="str">
        <f>IF('3'!B59="","",'3'!B59)</f>
        <v/>
      </c>
      <c r="C59" s="17" t="str">
        <f>IF('3'!C59="","",'3'!C59)</f>
        <v/>
      </c>
      <c r="D59" s="219" t="str">
        <f>IF('3'!D59="","",'3'!D59)</f>
        <v/>
      </c>
      <c r="E59" s="17" t="str">
        <f>IF('3'!E59="","",'3'!E59)</f>
        <v/>
      </c>
      <c r="F59" s="219" t="str">
        <f>IF('3'!F59="","",'3'!F59)</f>
        <v/>
      </c>
      <c r="G59" s="17" t="str">
        <f>IF('3'!G59="","",'3'!G59)</f>
        <v/>
      </c>
    </row>
    <row r="60" spans="1:7" ht="23.1" customHeight="1">
      <c r="A60" s="16" t="str">
        <f>IF('3'!A60="","",'3'!A60)</f>
        <v/>
      </c>
      <c r="B60" s="16" t="str">
        <f>IF('3'!B60="","",'3'!B60)</f>
        <v/>
      </c>
      <c r="C60" s="17" t="str">
        <f>IF('3'!C60="","",'3'!C60)</f>
        <v/>
      </c>
      <c r="D60" s="219" t="str">
        <f>IF('3'!D60="","",'3'!D60)</f>
        <v/>
      </c>
      <c r="E60" s="17" t="str">
        <f>IF('3'!E60="","",'3'!E60)</f>
        <v/>
      </c>
      <c r="F60" s="219" t="str">
        <f>IF('3'!F60="","",'3'!F60)</f>
        <v/>
      </c>
      <c r="G60" s="17" t="str">
        <f>IF('3'!G60="","",'3'!G60)</f>
        <v/>
      </c>
    </row>
    <row r="61" spans="1:7" ht="23.1" customHeight="1">
      <c r="A61" s="16" t="str">
        <f>IF('3'!A61="","",'3'!A61)</f>
        <v/>
      </c>
      <c r="B61" s="16" t="str">
        <f>IF('3'!B61="","",'3'!B61)</f>
        <v/>
      </c>
      <c r="C61" s="17" t="str">
        <f>IF('3'!C61="","",'3'!C61)</f>
        <v/>
      </c>
      <c r="D61" s="219" t="str">
        <f>IF('3'!D61="","",'3'!D61)</f>
        <v/>
      </c>
      <c r="E61" s="17" t="str">
        <f>IF('3'!E61="","",'3'!E61)</f>
        <v/>
      </c>
      <c r="F61" s="219" t="str">
        <f>IF('3'!F61="","",'3'!F61)</f>
        <v/>
      </c>
      <c r="G61" s="17" t="str">
        <f>IF('3'!G61="","",'3'!G61)</f>
        <v/>
      </c>
    </row>
    <row r="62" spans="1:7" ht="23.1" customHeight="1">
      <c r="A62" s="16" t="str">
        <f>IF('3'!A62="","",'3'!A62)</f>
        <v/>
      </c>
      <c r="B62" s="16" t="str">
        <f>IF('3'!B62="","",'3'!B62)</f>
        <v/>
      </c>
      <c r="C62" s="17" t="str">
        <f>IF('3'!C62="","",'3'!C62)</f>
        <v/>
      </c>
      <c r="D62" s="219" t="str">
        <f>IF('3'!D62="","",'3'!D62)</f>
        <v/>
      </c>
      <c r="E62" s="17" t="str">
        <f>IF('3'!E62="","",'3'!E62)</f>
        <v/>
      </c>
      <c r="F62" s="219" t="str">
        <f>IF('3'!F62="","",'3'!F62)</f>
        <v/>
      </c>
      <c r="G62" s="17" t="str">
        <f>IF('3'!G62="","",'3'!G62)</f>
        <v/>
      </c>
    </row>
    <row r="63" spans="1:7" ht="23.1" customHeight="1">
      <c r="A63" s="16" t="str">
        <f>IF('3'!A63="","",'3'!A63)</f>
        <v/>
      </c>
      <c r="B63" s="16" t="str">
        <f>IF('3'!B63="","",'3'!B63)</f>
        <v/>
      </c>
      <c r="C63" s="17" t="str">
        <f>IF('3'!C63="","",'3'!C63)</f>
        <v/>
      </c>
      <c r="D63" s="219" t="str">
        <f>IF('3'!D63="","",'3'!D63)</f>
        <v/>
      </c>
      <c r="E63" s="17" t="str">
        <f>IF('3'!E63="","",'3'!E63)</f>
        <v/>
      </c>
      <c r="F63" s="219" t="str">
        <f>IF('3'!F63="","",'3'!F63)</f>
        <v/>
      </c>
      <c r="G63" s="17" t="str">
        <f>IF('3'!G63="","",'3'!G63)</f>
        <v/>
      </c>
    </row>
    <row r="64" spans="1:7" ht="23.1" customHeight="1">
      <c r="A64" s="16" t="str">
        <f>IF('3'!A64="","",'3'!A64)</f>
        <v/>
      </c>
      <c r="B64" s="16" t="str">
        <f>IF('3'!B64="","",'3'!B64)</f>
        <v/>
      </c>
      <c r="C64" s="17" t="str">
        <f>IF('3'!C64="","",'3'!C64)</f>
        <v/>
      </c>
      <c r="D64" s="219" t="str">
        <f>IF('3'!D64="","",'3'!D64)</f>
        <v/>
      </c>
      <c r="E64" s="17" t="str">
        <f>IF('3'!E64="","",'3'!E64)</f>
        <v/>
      </c>
      <c r="F64" s="219" t="str">
        <f>IF('3'!F64="","",'3'!F64)</f>
        <v/>
      </c>
      <c r="G64" s="17" t="str">
        <f>IF('3'!G64="","",'3'!G64)</f>
        <v/>
      </c>
    </row>
    <row r="65" spans="1:7" ht="23.1" customHeight="1">
      <c r="A65" s="16" t="str">
        <f>IF('3'!A65="","",'3'!A65)</f>
        <v/>
      </c>
      <c r="B65" s="16" t="str">
        <f>IF('3'!B65="","",'3'!B65)</f>
        <v/>
      </c>
      <c r="C65" s="17" t="str">
        <f>IF('3'!C65="","",'3'!C65)</f>
        <v/>
      </c>
      <c r="D65" s="219" t="str">
        <f>IF('3'!D65="","",'3'!D65)</f>
        <v/>
      </c>
      <c r="E65" s="17" t="str">
        <f>IF('3'!E65="","",'3'!E65)</f>
        <v/>
      </c>
      <c r="F65" s="219" t="str">
        <f>IF('3'!F65="","",'3'!F65)</f>
        <v/>
      </c>
      <c r="G65" s="17" t="str">
        <f>IF('3'!G65="","",'3'!G65)</f>
        <v/>
      </c>
    </row>
    <row r="66" spans="1:7" ht="23.1" customHeight="1">
      <c r="A66" s="16" t="str">
        <f>IF('3'!A66="","",'3'!A66)</f>
        <v/>
      </c>
      <c r="B66" s="16" t="str">
        <f>IF('3'!B66="","",'3'!B66)</f>
        <v/>
      </c>
      <c r="C66" s="17" t="str">
        <f>IF('3'!C66="","",'3'!C66)</f>
        <v/>
      </c>
      <c r="D66" s="219" t="str">
        <f>IF('3'!D66="","",'3'!D66)</f>
        <v/>
      </c>
      <c r="E66" s="17" t="str">
        <f>IF('3'!E66="","",'3'!E66)</f>
        <v/>
      </c>
      <c r="F66" s="219" t="str">
        <f>IF('3'!F66="","",'3'!F66)</f>
        <v/>
      </c>
      <c r="G66" s="17" t="str">
        <f>IF('3'!G66="","",'3'!G66)</f>
        <v/>
      </c>
    </row>
    <row r="67" spans="1:7" ht="23.1" customHeight="1">
      <c r="A67" s="16" t="str">
        <f>IF('3'!A67="","",'3'!A67)</f>
        <v/>
      </c>
      <c r="B67" s="16" t="str">
        <f>IF('3'!B67="","",'3'!B67)</f>
        <v/>
      </c>
      <c r="C67" s="17" t="str">
        <f>IF('3'!C67="","",'3'!C67)</f>
        <v/>
      </c>
      <c r="D67" s="219" t="str">
        <f>IF('3'!D67="","",'3'!D67)</f>
        <v/>
      </c>
      <c r="E67" s="17" t="str">
        <f>IF('3'!E67="","",'3'!E67)</f>
        <v/>
      </c>
      <c r="F67" s="219" t="str">
        <f>IF('3'!F67="","",'3'!F67)</f>
        <v/>
      </c>
      <c r="G67" s="17" t="str">
        <f>IF('3'!G67="","",'3'!G67)</f>
        <v/>
      </c>
    </row>
    <row r="68" spans="1:7" ht="23.1" customHeight="1">
      <c r="A68" s="16" t="str">
        <f>IF('3'!A68="","",'3'!A68)</f>
        <v/>
      </c>
      <c r="B68" s="16" t="str">
        <f>IF('3'!B68="","",'3'!B68)</f>
        <v/>
      </c>
      <c r="C68" s="17" t="str">
        <f>IF('3'!C68="","",'3'!C68)</f>
        <v/>
      </c>
      <c r="D68" s="219" t="str">
        <f>IF('3'!D68="","",'3'!D68)</f>
        <v/>
      </c>
      <c r="E68" s="17" t="str">
        <f>IF('3'!E68="","",'3'!E68)</f>
        <v/>
      </c>
      <c r="F68" s="219" t="str">
        <f>IF('3'!F68="","",'3'!F68)</f>
        <v/>
      </c>
      <c r="G68" s="17" t="str">
        <f>IF('3'!G68="","",'3'!G68)</f>
        <v/>
      </c>
    </row>
    <row r="69" spans="1:7" ht="23.1" customHeight="1">
      <c r="A69" s="16" t="str">
        <f>IF('3'!A69="","",'3'!A69)</f>
        <v/>
      </c>
      <c r="B69" s="16" t="str">
        <f>IF('3'!B69="","",'3'!B69)</f>
        <v/>
      </c>
      <c r="C69" s="17" t="str">
        <f>IF('3'!C69="","",'3'!C69)</f>
        <v/>
      </c>
      <c r="D69" s="219" t="str">
        <f>IF('3'!D69="","",'3'!D69)</f>
        <v/>
      </c>
      <c r="E69" s="17" t="str">
        <f>IF('3'!E69="","",'3'!E69)</f>
        <v/>
      </c>
      <c r="F69" s="219" t="str">
        <f>IF('3'!F69="","",'3'!F69)</f>
        <v/>
      </c>
      <c r="G69" s="17" t="str">
        <f>IF('3'!G69="","",'3'!G69)</f>
        <v/>
      </c>
    </row>
    <row r="70" spans="1:7" ht="23.1" customHeight="1">
      <c r="A70" s="16" t="str">
        <f>IF('3'!A70="","",'3'!A70)</f>
        <v/>
      </c>
      <c r="B70" s="16" t="str">
        <f>IF('3'!B70="","",'3'!B70)</f>
        <v/>
      </c>
      <c r="C70" s="17" t="str">
        <f>IF('3'!C70="","",'3'!C70)</f>
        <v/>
      </c>
      <c r="D70" s="219" t="str">
        <f>IF('3'!D70="","",'3'!D70)</f>
        <v/>
      </c>
      <c r="E70" s="17" t="str">
        <f>IF('3'!E70="","",'3'!E70)</f>
        <v/>
      </c>
      <c r="F70" s="219" t="str">
        <f>IF('3'!F70="","",'3'!F70)</f>
        <v/>
      </c>
      <c r="G70" s="17" t="str">
        <f>IF('3'!G70="","",'3'!G70)</f>
        <v/>
      </c>
    </row>
    <row r="71" spans="1:7" ht="23.1" customHeight="1">
      <c r="A71" s="16" t="str">
        <f>IF('3'!A71="","",'3'!A71)</f>
        <v/>
      </c>
      <c r="B71" s="16" t="str">
        <f>IF('3'!B71="","",'3'!B71)</f>
        <v/>
      </c>
      <c r="C71" s="17" t="str">
        <f>IF('3'!C71="","",'3'!C71)</f>
        <v/>
      </c>
      <c r="D71" s="219" t="str">
        <f>IF('3'!D71="","",'3'!D71)</f>
        <v/>
      </c>
      <c r="E71" s="17" t="str">
        <f>IF('3'!E71="","",'3'!E71)</f>
        <v/>
      </c>
      <c r="F71" s="219" t="str">
        <f>IF('3'!F71="","",'3'!F71)</f>
        <v/>
      </c>
      <c r="G71" s="17" t="str">
        <f>IF('3'!G71="","",'3'!G71)</f>
        <v/>
      </c>
    </row>
    <row r="72" spans="1:7" ht="23.1" customHeight="1">
      <c r="A72" s="16" t="str">
        <f>IF('3'!A72="","",'3'!A72)</f>
        <v/>
      </c>
      <c r="B72" s="16" t="str">
        <f>IF('3'!B72="","",'3'!B72)</f>
        <v/>
      </c>
      <c r="C72" s="17" t="str">
        <f>IF('3'!C72="","",'3'!C72)</f>
        <v/>
      </c>
      <c r="D72" s="219" t="str">
        <f>IF('3'!D72="","",'3'!D72)</f>
        <v/>
      </c>
      <c r="E72" s="17" t="str">
        <f>IF('3'!E72="","",'3'!E72)</f>
        <v/>
      </c>
      <c r="F72" s="219" t="str">
        <f>IF('3'!F72="","",'3'!F72)</f>
        <v/>
      </c>
      <c r="G72" s="17" t="str">
        <f>IF('3'!G72="","",'3'!G72)</f>
        <v/>
      </c>
    </row>
    <row r="73" spans="1:7" ht="23.1" customHeight="1">
      <c r="A73" s="16" t="str">
        <f>IF('3'!A73="","",'3'!A73)</f>
        <v/>
      </c>
      <c r="B73" s="16" t="str">
        <f>IF('3'!B73="","",'3'!B73)</f>
        <v/>
      </c>
      <c r="C73" s="17" t="str">
        <f>IF('3'!C73="","",'3'!C73)</f>
        <v/>
      </c>
      <c r="D73" s="219" t="str">
        <f>IF('3'!D73="","",'3'!D73)</f>
        <v/>
      </c>
      <c r="E73" s="17" t="str">
        <f>IF('3'!E73="","",'3'!E73)</f>
        <v/>
      </c>
      <c r="F73" s="219" t="str">
        <f>IF('3'!F73="","",'3'!F73)</f>
        <v/>
      </c>
      <c r="G73" s="17" t="str">
        <f>IF('3'!G73="","",'3'!G73)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7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r:id="rId1"/>
  <headerFooter alignWithMargins="0">
    <oddHeader>&amp;R&amp;P/&amp;N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90300-8943-4BB2-8752-5BA7DAA83292}">
  <sheetPr codeName="Sheet4">
    <tabColor rgb="FF0070C0"/>
  </sheetPr>
  <dimension ref="A4:J16"/>
  <sheetViews>
    <sheetView workbookViewId="0">
      <selection activeCell="L15" sqref="L15"/>
    </sheetView>
  </sheetViews>
  <sheetFormatPr defaultColWidth="8.88671875" defaultRowHeight="30" customHeight="1"/>
  <cols>
    <col min="1" max="1" width="8.88671875" style="107"/>
    <col min="2" max="3" width="8.88671875" style="105"/>
    <col min="4" max="4" width="13.6640625" style="106" customWidth="1"/>
    <col min="5" max="5" width="13.33203125" style="105" bestFit="1" customWidth="1"/>
    <col min="6" max="16384" width="8.88671875" style="105"/>
  </cols>
  <sheetData>
    <row r="4" spans="1:10" ht="30" customHeight="1">
      <c r="A4" s="244" t="str">
        <f>'4-100'!C7</f>
        <v xml:space="preserve">2026 Fuji Horse Show Autumn Grand Prix </v>
      </c>
      <c r="B4" s="244"/>
      <c r="C4" s="244"/>
      <c r="D4" s="244"/>
      <c r="E4" s="244"/>
      <c r="F4" s="244"/>
      <c r="G4" s="244"/>
      <c r="H4" s="244"/>
      <c r="I4" s="244"/>
      <c r="J4" s="244"/>
    </row>
    <row r="6" spans="1:10" ht="30" customHeight="1">
      <c r="A6" s="107" t="s">
        <v>41</v>
      </c>
      <c r="B6" s="110">
        <f>'4-100'!B8</f>
        <v>4</v>
      </c>
      <c r="C6" s="105" t="s">
        <v>42</v>
      </c>
      <c r="D6" s="108" t="str">
        <f>'4-100'!D8:F8</f>
        <v>Ｌ－Ａ級障害飛越競技</v>
      </c>
    </row>
    <row r="8" spans="1:10" ht="30" customHeight="1">
      <c r="C8" s="105" t="s">
        <v>96</v>
      </c>
      <c r="E8" s="109" t="s">
        <v>101</v>
      </c>
    </row>
    <row r="9" spans="1:10" ht="30" customHeight="1">
      <c r="C9" s="105" t="s">
        <v>95</v>
      </c>
      <c r="E9" s="109" t="s">
        <v>102</v>
      </c>
      <c r="F9" s="105" t="s">
        <v>94</v>
      </c>
    </row>
    <row r="10" spans="1:10" ht="30" customHeight="1">
      <c r="A10" s="246" t="s">
        <v>97</v>
      </c>
      <c r="B10" s="246"/>
      <c r="C10" s="246"/>
      <c r="D10" s="246"/>
      <c r="E10" s="246"/>
      <c r="F10" s="246"/>
      <c r="G10" s="246"/>
      <c r="H10" s="246"/>
    </row>
    <row r="11" spans="1:10" ht="30" customHeight="1">
      <c r="A11" s="246"/>
      <c r="B11" s="246"/>
      <c r="C11" s="246"/>
      <c r="D11" s="246"/>
      <c r="E11" s="246"/>
      <c r="F11" s="246"/>
      <c r="G11" s="246"/>
      <c r="H11" s="246"/>
    </row>
    <row r="12" spans="1:10" ht="30" customHeight="1">
      <c r="D12" s="105"/>
      <c r="F12" s="106"/>
      <c r="G12" s="106"/>
    </row>
    <row r="13" spans="1:10" ht="30" customHeight="1">
      <c r="D13" s="105"/>
      <c r="F13" s="106"/>
      <c r="G13" s="106"/>
    </row>
    <row r="14" spans="1:10" ht="30" customHeight="1">
      <c r="D14" s="105"/>
      <c r="G14" s="106"/>
    </row>
    <row r="15" spans="1:10" ht="30" customHeight="1">
      <c r="D15" s="105"/>
      <c r="G15" s="106"/>
    </row>
    <row r="16" spans="1:10" ht="30" customHeight="1">
      <c r="D16" s="108"/>
      <c r="E16" s="108"/>
      <c r="F16" s="108"/>
      <c r="G16" s="108"/>
    </row>
  </sheetData>
  <mergeCells count="2">
    <mergeCell ref="A4:J4"/>
    <mergeCell ref="A10:H11"/>
  </mergeCells>
  <phoneticPr fontId="7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70C0"/>
  </sheetPr>
  <dimension ref="A1:G73"/>
  <sheetViews>
    <sheetView view="pageBreakPreview" topLeftCell="A24" zoomScale="89" zoomScaleNormal="100" zoomScaleSheetLayoutView="89" workbookViewId="0">
      <selection activeCell="F13" sqref="F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'4'!C2</f>
        <v>0</v>
      </c>
      <c r="D6" s="3"/>
      <c r="F6" s="4" t="s">
        <v>2</v>
      </c>
      <c r="G6" s="6">
        <v>46276</v>
      </c>
    </row>
    <row r="7" spans="1:7" ht="24" customHeight="1">
      <c r="A7" s="7"/>
      <c r="B7" s="4" t="s">
        <v>4</v>
      </c>
      <c r="C7" s="8" t="str">
        <f>'4'!C3</f>
        <v xml:space="preserve">2026 Fuji Horse Show Autumn Grand Prix </v>
      </c>
      <c r="D7" s="9"/>
      <c r="E7" s="9"/>
      <c r="F7" s="9"/>
      <c r="G7" s="117" t="s">
        <v>727</v>
      </c>
    </row>
    <row r="8" spans="1:7" ht="21" customHeight="1">
      <c r="A8" s="10" t="s">
        <v>41</v>
      </c>
      <c r="B8" s="68">
        <f>'4'!C4</f>
        <v>4</v>
      </c>
      <c r="C8" s="4" t="s">
        <v>42</v>
      </c>
      <c r="D8" s="237" t="str">
        <f>'4'!F4</f>
        <v>Ｌ－Ａ級障害飛越競技</v>
      </c>
      <c r="E8" s="237"/>
      <c r="F8" s="237"/>
    </row>
    <row r="9" spans="1:7" ht="18.75" customHeight="1">
      <c r="C9" s="11" t="s">
        <v>11</v>
      </c>
      <c r="D9" s="217" t="str">
        <f>'4'!D5</f>
        <v>-</v>
      </c>
      <c r="E9" s="4" t="s">
        <v>9</v>
      </c>
      <c r="F9" s="220" t="str">
        <f>'4'!K4</f>
        <v>-</v>
      </c>
    </row>
    <row r="10" spans="1:7" ht="21" customHeight="1">
      <c r="A10" s="12" t="s">
        <v>43</v>
      </c>
      <c r="B10" s="12"/>
      <c r="C10" s="12"/>
      <c r="D10" s="218" t="str">
        <f>'4'!D6</f>
        <v>-</v>
      </c>
      <c r="E10" s="4" t="s">
        <v>12</v>
      </c>
      <c r="F10" s="221" t="str">
        <f>'4'!F5</f>
        <v>-</v>
      </c>
      <c r="G10" s="13" t="s">
        <v>44</v>
      </c>
    </row>
    <row r="11" spans="1:7" ht="5.0999999999999996" customHeight="1"/>
    <row r="12" spans="1:7" ht="15" customHeight="1">
      <c r="A12" s="238" t="s">
        <v>45</v>
      </c>
      <c r="B12" s="240" t="s">
        <v>46</v>
      </c>
      <c r="C12" s="242" t="s">
        <v>47</v>
      </c>
      <c r="D12" s="243"/>
      <c r="E12" s="235" t="s">
        <v>48</v>
      </c>
      <c r="F12" s="235"/>
      <c r="G12" s="235" t="s">
        <v>49</v>
      </c>
    </row>
    <row r="13" spans="1:7" ht="24" customHeight="1">
      <c r="A13" s="239"/>
      <c r="B13" s="241"/>
      <c r="C13" s="14" t="s">
        <v>52</v>
      </c>
      <c r="D13" s="15" t="s">
        <v>53</v>
      </c>
      <c r="E13" s="15" t="s">
        <v>54</v>
      </c>
      <c r="F13" s="15" t="s">
        <v>55</v>
      </c>
      <c r="G13" s="236"/>
    </row>
    <row r="14" spans="1:7" s="19" customFormat="1" ht="23.1" customHeight="1">
      <c r="A14" s="16" t="str">
        <f>IF('4'!A14="","",'4'!A14)</f>
        <v/>
      </c>
      <c r="B14" s="16">
        <f>IF('4'!B14="","",'4'!B14)</f>
        <v>1</v>
      </c>
      <c r="C14" s="17" t="str">
        <f>IF('4'!C14="","",'4'!C14)</f>
        <v>林　義昌</v>
      </c>
      <c r="D14" s="219">
        <f>IF('4'!D14="","",'4'!D14)</f>
        <v>18717</v>
      </c>
      <c r="E14" s="17" t="str">
        <f>IF('4'!E14="","",'4'!E14)</f>
        <v>ラーグルフ</v>
      </c>
      <c r="F14" s="219" t="str">
        <f>IF('4'!F14="","",'4'!F14)</f>
        <v>‐</v>
      </c>
      <c r="G14" s="17" t="str">
        <f>IF('4'!G14="","",'4'!G14)</f>
        <v>北総乗馬クラブ</v>
      </c>
    </row>
    <row r="15" spans="1:7" s="19" customFormat="1" ht="23.1" customHeight="1">
      <c r="A15" s="16" t="str">
        <f>IF('4'!A15="","",'4'!A15)</f>
        <v>ＯＰ</v>
      </c>
      <c r="B15" s="16">
        <f>IF('4'!B15="","",'4'!B15)</f>
        <v>2</v>
      </c>
      <c r="C15" s="17" t="str">
        <f>IF('4'!C15="","",'4'!C15)</f>
        <v>村上　篤</v>
      </c>
      <c r="D15" s="219">
        <f>IF('4'!D15="","",'4'!D15)</f>
        <v>4416</v>
      </c>
      <c r="E15" s="17" t="str">
        <f>IF('4'!E15="","",'4'!E15)</f>
        <v>ペリドット</v>
      </c>
      <c r="F15" s="219" t="str">
        <f>IF('4'!F15="","",'4'!F15)</f>
        <v>-</v>
      </c>
      <c r="G15" s="17" t="str">
        <f>IF('4'!G15="","",'4'!G15)</f>
        <v>オリエント馬事センター</v>
      </c>
    </row>
    <row r="16" spans="1:7" s="19" customFormat="1" ht="23.1" customHeight="1">
      <c r="A16" s="16" t="str">
        <f>IF('4'!A16="","",'4'!A16)</f>
        <v>ＯＰ</v>
      </c>
      <c r="B16" s="16">
        <f>IF('4'!B16="","",'4'!B16)</f>
        <v>3</v>
      </c>
      <c r="C16" s="17" t="str">
        <f>IF('4'!C16="","",'4'!C16)</f>
        <v>本間　唯純</v>
      </c>
      <c r="D16" s="219">
        <f>IF('4'!D16="","",'4'!D16)</f>
        <v>14546</v>
      </c>
      <c r="E16" s="17" t="str">
        <f>IF('4'!E16="","",'4'!E16)</f>
        <v>アーチー</v>
      </c>
      <c r="F16" s="219">
        <f>IF('4'!F16="","",'4'!F16)</f>
        <v>60834</v>
      </c>
      <c r="G16" s="17" t="str">
        <f>IF('4'!G16="","",'4'!G16)</f>
        <v>乗馬クラブクレイン神奈川</v>
      </c>
    </row>
    <row r="17" spans="1:7" s="19" customFormat="1" ht="23.1" customHeight="1">
      <c r="A17" s="16" t="str">
        <f>IF('4'!A17="","",'4'!A17)</f>
        <v/>
      </c>
      <c r="B17" s="16">
        <f>IF('4'!B17="","",'4'!B17)</f>
        <v>4</v>
      </c>
      <c r="C17" s="17" t="str">
        <f>IF('4'!C17="","",'4'!C17)</f>
        <v>福島　大輔</v>
      </c>
      <c r="D17" s="219">
        <f>IF('4'!D17="","",'4'!D17)</f>
        <v>7270</v>
      </c>
      <c r="E17" s="17" t="str">
        <f>IF('4'!E17="","",'4'!E17)</f>
        <v>アルミココ</v>
      </c>
      <c r="F17" s="219">
        <f>IF('4'!F17="","",'4'!F17)</f>
        <v>60955</v>
      </c>
      <c r="G17" s="17" t="str">
        <f>IF('4'!G17="","",'4'!G17)</f>
        <v>STAR HORSES</v>
      </c>
    </row>
    <row r="18" spans="1:7" s="19" customFormat="1" ht="23.1" customHeight="1">
      <c r="A18" s="16" t="str">
        <f>IF('4'!A18="","",'4'!A18)</f>
        <v>OP</v>
      </c>
      <c r="B18" s="16">
        <f>IF('4'!B18="","",'4'!B18)</f>
        <v>5</v>
      </c>
      <c r="C18" s="17" t="str">
        <f>IF('4'!C18="","",'4'!C18)</f>
        <v>林　義昌</v>
      </c>
      <c r="D18" s="219">
        <f>IF('4'!D18="","",'4'!D18)</f>
        <v>18717</v>
      </c>
      <c r="E18" s="17" t="str">
        <f>IF('4'!E18="","",'4'!E18)</f>
        <v>ララクレール</v>
      </c>
      <c r="F18" s="219">
        <f>IF('4'!F18="","",'4'!F18)</f>
        <v>61089</v>
      </c>
      <c r="G18" s="17" t="str">
        <f>IF('4'!G18="","",'4'!G18)</f>
        <v>北総乗馬クラブ</v>
      </c>
    </row>
    <row r="19" spans="1:7" s="19" customFormat="1" ht="23.1" customHeight="1">
      <c r="A19" s="16" t="str">
        <f>IF('4'!A19="","",'4'!A19)</f>
        <v/>
      </c>
      <c r="B19" s="16">
        <f>IF('4'!B19="","",'4'!B19)</f>
        <v>6</v>
      </c>
      <c r="C19" s="17" t="str">
        <f>IF('4'!C19="","",'4'!C19)</f>
        <v>岡本　雅海</v>
      </c>
      <c r="D19" s="219">
        <f>IF('4'!D19="","",'4'!D19)</f>
        <v>19572</v>
      </c>
      <c r="E19" s="17" t="str">
        <f>IF('4'!E19="","",'4'!E19)</f>
        <v>ココ</v>
      </c>
      <c r="F19" s="219">
        <f>IF('4'!F19="","",'4'!F19)</f>
        <v>59233</v>
      </c>
      <c r="G19" s="17" t="str">
        <f>IF('4'!G19="","",'4'!G19)</f>
        <v>岡本ライディングクラブJAPAN</v>
      </c>
    </row>
    <row r="20" spans="1:7" s="19" customFormat="1" ht="23.1" customHeight="1">
      <c r="A20" s="16" t="str">
        <f>IF('4'!A20="","",'4'!A20)</f>
        <v/>
      </c>
      <c r="B20" s="16">
        <f>IF('4'!B20="","",'4'!B20)</f>
        <v>7</v>
      </c>
      <c r="C20" s="17" t="str">
        <f>IF('4'!C20="","",'4'!C20)</f>
        <v>武井　史恵</v>
      </c>
      <c r="D20" s="219">
        <f>IF('4'!D20="","",'4'!D20)</f>
        <v>15774</v>
      </c>
      <c r="E20" s="17" t="str">
        <f>IF('4'!E20="","",'4'!E20)</f>
        <v>エンパイア</v>
      </c>
      <c r="F20" s="219">
        <f>IF('4'!F20="","",'4'!F20)</f>
        <v>59762</v>
      </c>
      <c r="G20" s="17" t="str">
        <f>IF('4'!G20="","",'4'!G20)</f>
        <v>成田乗馬クラブ</v>
      </c>
    </row>
    <row r="21" spans="1:7" s="19" customFormat="1" ht="23.1" customHeight="1">
      <c r="A21" s="16" t="str">
        <f>IF('4'!A21="","",'4'!A21)</f>
        <v/>
      </c>
      <c r="B21" s="16">
        <f>IF('4'!B21="","",'4'!B21)</f>
        <v>8</v>
      </c>
      <c r="C21" s="17" t="str">
        <f>IF('4'!C21="","",'4'!C21)</f>
        <v>島貫　咲雅</v>
      </c>
      <c r="D21" s="219">
        <f>IF('4'!D21="","",'4'!D21)</f>
        <v>26053</v>
      </c>
      <c r="E21" s="17" t="str">
        <f>IF('4'!E21="","",'4'!E21)</f>
        <v>フォンガンツ</v>
      </c>
      <c r="F21" s="219">
        <f>IF('4'!F21="","",'4'!F21)</f>
        <v>61561</v>
      </c>
      <c r="G21" s="17" t="str">
        <f>IF('4'!G21="","",'4'!G21)</f>
        <v>岡本ライディングクラブJAPAN</v>
      </c>
    </row>
    <row r="22" spans="1:7" s="19" customFormat="1" ht="23.1" customHeight="1">
      <c r="A22" s="16" t="str">
        <f>IF('4'!A22="","",'4'!A22)</f>
        <v/>
      </c>
      <c r="B22" s="16">
        <f>IF('4'!B22="","",'4'!B22)</f>
        <v>9</v>
      </c>
      <c r="C22" s="17" t="str">
        <f>IF('4'!C22="","",'4'!C22)</f>
        <v>須藤　すみれ</v>
      </c>
      <c r="D22" s="219">
        <f>IF('4'!D22="","",'4'!D22)</f>
        <v>34060</v>
      </c>
      <c r="E22" s="17" t="str">
        <f>IF('4'!E22="","",'4'!E22)</f>
        <v>ハッピースマイル</v>
      </c>
      <c r="F22" s="219">
        <f>IF('4'!F22="","",'4'!F22)</f>
        <v>59772</v>
      </c>
      <c r="G22" s="17" t="str">
        <f>IF('4'!G22="","",'4'!G22)</f>
        <v>STAR HORSES</v>
      </c>
    </row>
    <row r="23" spans="1:7" s="19" customFormat="1" ht="23.1" customHeight="1">
      <c r="A23" s="16" t="str">
        <f>IF('4'!A23="","",'4'!A23)</f>
        <v/>
      </c>
      <c r="B23" s="16">
        <f>IF('4'!B23="","",'4'!B23)</f>
        <v>10</v>
      </c>
      <c r="C23" s="17" t="str">
        <f>IF('4'!C23="","",'4'!C23)</f>
        <v>林　義昌</v>
      </c>
      <c r="D23" s="219">
        <f>IF('4'!D23="","",'4'!D23)</f>
        <v>18717</v>
      </c>
      <c r="E23" s="17" t="str">
        <f>IF('4'!E23="","",'4'!E23)</f>
        <v>ラストドラフト</v>
      </c>
      <c r="F23" s="219">
        <f>IF('4'!F23="","",'4'!F23)</f>
        <v>61372</v>
      </c>
      <c r="G23" s="17" t="str">
        <f>IF('4'!G23="","",'4'!G23)</f>
        <v>北総乗馬クラブ</v>
      </c>
    </row>
    <row r="24" spans="1:7" s="19" customFormat="1" ht="23.1" customHeight="1">
      <c r="A24" s="16" t="str">
        <f>IF('4'!A24="","",'4'!A24)</f>
        <v/>
      </c>
      <c r="B24" s="16">
        <f>IF('4'!B24="","",'4'!B24)</f>
        <v>11</v>
      </c>
      <c r="C24" s="17" t="str">
        <f>IF('4'!C24="","",'4'!C24)</f>
        <v>佐伯　華蓮</v>
      </c>
      <c r="D24" s="219">
        <f>IF('4'!D24="","",'4'!D24)</f>
        <v>33610</v>
      </c>
      <c r="E24" s="17" t="str">
        <f>IF('4'!E24="","",'4'!E24)</f>
        <v>ララクレール</v>
      </c>
      <c r="F24" s="219">
        <f>IF('4'!F24="","",'4'!F24)</f>
        <v>61089</v>
      </c>
      <c r="G24" s="17" t="str">
        <f>IF('4'!G24="","",'4'!G24)</f>
        <v>北総乗馬クラブ</v>
      </c>
    </row>
    <row r="25" spans="1:7" s="19" customFormat="1" ht="23.1" customHeight="1">
      <c r="A25" s="16" t="str">
        <f>IF('4'!A25="","",'4'!A25)</f>
        <v/>
      </c>
      <c r="B25" s="16">
        <f>IF('4'!B25="","",'4'!B25)</f>
        <v>12</v>
      </c>
      <c r="C25" s="17" t="str">
        <f>IF('4'!C25="","",'4'!C25)</f>
        <v>津田　保乃香</v>
      </c>
      <c r="D25" s="219">
        <f>IF('4'!D25="","",'4'!D25)</f>
        <v>25255</v>
      </c>
      <c r="E25" s="17" t="str">
        <f>IF('4'!E25="","",'4'!E25)</f>
        <v>ドゥラメンタ</v>
      </c>
      <c r="F25" s="219" t="str">
        <f>IF('4'!F25="","",'4'!F25)</f>
        <v>‐</v>
      </c>
      <c r="G25" s="17" t="str">
        <f>IF('4'!G25="","",'4'!G25)</f>
        <v>乗馬クラブニューシーズン御殿場</v>
      </c>
    </row>
    <row r="26" spans="1:7" s="19" customFormat="1" ht="23.1" customHeight="1">
      <c r="A26" s="16" t="str">
        <f>IF('4'!A26="","",'4'!A26)</f>
        <v/>
      </c>
      <c r="B26" s="16">
        <f>IF('4'!B26="","",'4'!B26)</f>
        <v>13</v>
      </c>
      <c r="C26" s="17" t="str">
        <f>IF('4'!C26="","",'4'!C26)</f>
        <v>木村　茉里子</v>
      </c>
      <c r="D26" s="219">
        <f>IF('4'!D26="","",'4'!D26)</f>
        <v>12188</v>
      </c>
      <c r="E26" s="17" t="str">
        <f>IF('4'!E26="","",'4'!E26)</f>
        <v>クリッチェ・デ・ロワ</v>
      </c>
      <c r="F26" s="219">
        <f>IF('4'!F26="","",'4'!F26)</f>
        <v>62119</v>
      </c>
      <c r="G26" s="17" t="str">
        <f>IF('4'!G26="","",'4'!G26)</f>
        <v>NGK Horse Paz.</v>
      </c>
    </row>
    <row r="27" spans="1:7" s="19" customFormat="1" ht="23.1" customHeight="1">
      <c r="A27" s="16" t="str">
        <f>IF('4'!A27="","",'4'!A27)</f>
        <v/>
      </c>
      <c r="B27" s="16">
        <f>IF('4'!B27="","",'4'!B27)</f>
        <v>14</v>
      </c>
      <c r="C27" s="17" t="str">
        <f>IF('4'!C27="","",'4'!C27)</f>
        <v>岡本　雅海</v>
      </c>
      <c r="D27" s="219">
        <f>IF('4'!D27="","",'4'!D27)</f>
        <v>19572</v>
      </c>
      <c r="E27" s="17" t="str">
        <f>IF('4'!E27="","",'4'!E27)</f>
        <v>馬夢世</v>
      </c>
      <c r="F27" s="219">
        <f>IF('4'!F27="","",'4'!F27)</f>
        <v>61394</v>
      </c>
      <c r="G27" s="17" t="str">
        <f>IF('4'!G27="","",'4'!G27)</f>
        <v>岡本ライディングクラブJAPAN</v>
      </c>
    </row>
    <row r="28" spans="1:7" s="19" customFormat="1" ht="23.1" customHeight="1">
      <c r="A28" s="16" t="str">
        <f>IF('4'!A28="","",'4'!A28)</f>
        <v/>
      </c>
      <c r="B28" s="16">
        <f>IF('4'!B28="","",'4'!B28)</f>
        <v>15</v>
      </c>
      <c r="C28" s="17" t="str">
        <f>IF('4'!C28="","",'4'!C28)</f>
        <v>林　義昌</v>
      </c>
      <c r="D28" s="219">
        <f>IF('4'!D28="","",'4'!D28)</f>
        <v>18717</v>
      </c>
      <c r="E28" s="17" t="str">
        <f>IF('4'!E28="","",'4'!E28)</f>
        <v>ルーニー</v>
      </c>
      <c r="F28" s="219">
        <f>IF('4'!F28="","",'4'!F28)</f>
        <v>62148</v>
      </c>
      <c r="G28" s="17" t="str">
        <f>IF('4'!G28="","",'4'!G28)</f>
        <v>北総乗馬クラブ</v>
      </c>
    </row>
    <row r="29" spans="1:7" s="19" customFormat="1" ht="23.1" customHeight="1">
      <c r="A29" s="16" t="str">
        <f>IF('4'!A29="","",'4'!A29)</f>
        <v/>
      </c>
      <c r="B29" s="16">
        <f>IF('4'!B29="","",'4'!B29)</f>
        <v>16</v>
      </c>
      <c r="C29" s="17" t="str">
        <f>IF('4'!C29="","",'4'!C29)</f>
        <v/>
      </c>
      <c r="D29" s="219" t="str">
        <f>IF('4'!D29="","",'4'!D29)</f>
        <v/>
      </c>
      <c r="E29" s="17" t="str">
        <f>IF('4'!E29="","",'4'!E29)</f>
        <v/>
      </c>
      <c r="F29" s="219" t="str">
        <f>IF('4'!F29="","",'4'!F29)</f>
        <v/>
      </c>
      <c r="G29" s="17" t="str">
        <f>IF('4'!G29="","",'4'!G29)</f>
        <v/>
      </c>
    </row>
    <row r="30" spans="1:7" s="19" customFormat="1" ht="23.1" customHeight="1">
      <c r="A30" s="16" t="str">
        <f>IF('4'!A30="","",'4'!A30)</f>
        <v/>
      </c>
      <c r="B30" s="16">
        <f>IF('4'!B30="","",'4'!B30)</f>
        <v>17</v>
      </c>
      <c r="C30" s="17" t="str">
        <f>IF('4'!C30="","",'4'!C30)</f>
        <v/>
      </c>
      <c r="D30" s="219" t="str">
        <f>IF('4'!D30="","",'4'!D30)</f>
        <v/>
      </c>
      <c r="E30" s="17" t="str">
        <f>IF('4'!E30="","",'4'!E30)</f>
        <v/>
      </c>
      <c r="F30" s="219" t="str">
        <f>IF('4'!F30="","",'4'!F30)</f>
        <v/>
      </c>
      <c r="G30" s="17" t="str">
        <f>IF('4'!G30="","",'4'!G30)</f>
        <v/>
      </c>
    </row>
    <row r="31" spans="1:7" s="19" customFormat="1" ht="23.1" customHeight="1">
      <c r="A31" s="16" t="str">
        <f>IF('4'!A31="","",'4'!A31)</f>
        <v/>
      </c>
      <c r="B31" s="16">
        <f>IF('4'!B31="","",'4'!B31)</f>
        <v>18</v>
      </c>
      <c r="C31" s="17" t="str">
        <f>IF('4'!C31="","",'4'!C31)</f>
        <v/>
      </c>
      <c r="D31" s="219" t="str">
        <f>IF('4'!D31="","",'4'!D31)</f>
        <v/>
      </c>
      <c r="E31" s="17" t="str">
        <f>IF('4'!E31="","",'4'!E31)</f>
        <v/>
      </c>
      <c r="F31" s="219" t="str">
        <f>IF('4'!F31="","",'4'!F31)</f>
        <v/>
      </c>
      <c r="G31" s="17" t="str">
        <f>IF('4'!G31="","",'4'!G31)</f>
        <v/>
      </c>
    </row>
    <row r="32" spans="1:7" s="19" customFormat="1" ht="23.1" customHeight="1">
      <c r="A32" s="16" t="str">
        <f>IF('4'!A32="","",'4'!A32)</f>
        <v/>
      </c>
      <c r="B32" s="16">
        <f>IF('4'!B32="","",'4'!B32)</f>
        <v>19</v>
      </c>
      <c r="C32" s="17" t="str">
        <f>IF('4'!C32="","",'4'!C32)</f>
        <v/>
      </c>
      <c r="D32" s="219" t="str">
        <f>IF('4'!D32="","",'4'!D32)</f>
        <v/>
      </c>
      <c r="E32" s="17" t="str">
        <f>IF('4'!E32="","",'4'!E32)</f>
        <v/>
      </c>
      <c r="F32" s="219" t="str">
        <f>IF('4'!F32="","",'4'!F32)</f>
        <v/>
      </c>
      <c r="G32" s="17" t="str">
        <f>IF('4'!G32="","",'4'!G32)</f>
        <v/>
      </c>
    </row>
    <row r="33" spans="1:7" s="19" customFormat="1" ht="23.1" customHeight="1">
      <c r="A33" s="16" t="str">
        <f>IF('4'!A33="","",'4'!A33)</f>
        <v/>
      </c>
      <c r="B33" s="16">
        <f>IF('4'!B33="","",'4'!B33)</f>
        <v>20</v>
      </c>
      <c r="C33" s="17" t="str">
        <f>IF('4'!C33="","",'4'!C33)</f>
        <v/>
      </c>
      <c r="D33" s="219" t="str">
        <f>IF('4'!D33="","",'4'!D33)</f>
        <v/>
      </c>
      <c r="E33" s="17" t="str">
        <f>IF('4'!E33="","",'4'!E33)</f>
        <v/>
      </c>
      <c r="F33" s="219" t="str">
        <f>IF('4'!F33="","",'4'!F33)</f>
        <v/>
      </c>
      <c r="G33" s="17" t="str">
        <f>IF('4'!G33="","",'4'!G33)</f>
        <v/>
      </c>
    </row>
    <row r="34" spans="1:7" s="19" customFormat="1" ht="23.1" customHeight="1">
      <c r="A34" s="16" t="str">
        <f>IF('4'!A34="","",'4'!A34)</f>
        <v/>
      </c>
      <c r="B34" s="16">
        <f>IF('4'!B34="","",'4'!B34)</f>
        <v>21</v>
      </c>
      <c r="C34" s="17" t="str">
        <f>IF('4'!C34="","",'4'!C34)</f>
        <v/>
      </c>
      <c r="D34" s="219" t="str">
        <f>IF('4'!D34="","",'4'!D34)</f>
        <v/>
      </c>
      <c r="E34" s="17" t="str">
        <f>IF('4'!E34="","",'4'!E34)</f>
        <v/>
      </c>
      <c r="F34" s="219" t="str">
        <f>IF('4'!F34="","",'4'!F34)</f>
        <v/>
      </c>
      <c r="G34" s="17" t="str">
        <f>IF('4'!G34="","",'4'!G34)</f>
        <v/>
      </c>
    </row>
    <row r="35" spans="1:7" s="19" customFormat="1" ht="23.1" customHeight="1">
      <c r="A35" s="16" t="str">
        <f>IF('4'!A35="","",'4'!A35)</f>
        <v/>
      </c>
      <c r="B35" s="16">
        <f>IF('4'!B35="","",'4'!B35)</f>
        <v>22</v>
      </c>
      <c r="C35" s="17" t="str">
        <f>IF('4'!C35="","",'4'!C35)</f>
        <v/>
      </c>
      <c r="D35" s="219" t="str">
        <f>IF('4'!D35="","",'4'!D35)</f>
        <v/>
      </c>
      <c r="E35" s="17" t="str">
        <f>IF('4'!E35="","",'4'!E35)</f>
        <v/>
      </c>
      <c r="F35" s="219" t="str">
        <f>IF('4'!F35="","",'4'!F35)</f>
        <v/>
      </c>
      <c r="G35" s="17" t="str">
        <f>IF('4'!G35="","",'4'!G35)</f>
        <v/>
      </c>
    </row>
    <row r="36" spans="1:7" s="19" customFormat="1" ht="23.1" customHeight="1">
      <c r="A36" s="16" t="str">
        <f>IF('4'!A36="","",'4'!A36)</f>
        <v/>
      </c>
      <c r="B36" s="16">
        <f>IF('4'!B36="","",'4'!B36)</f>
        <v>23</v>
      </c>
      <c r="C36" s="17" t="str">
        <f>IF('4'!C36="","",'4'!C36)</f>
        <v/>
      </c>
      <c r="D36" s="219" t="str">
        <f>IF('4'!D36="","",'4'!D36)</f>
        <v/>
      </c>
      <c r="E36" s="17" t="str">
        <f>IF('4'!E36="","",'4'!E36)</f>
        <v/>
      </c>
      <c r="F36" s="219" t="str">
        <f>IF('4'!F36="","",'4'!F36)</f>
        <v/>
      </c>
      <c r="G36" s="17" t="str">
        <f>IF('4'!G36="","",'4'!G36)</f>
        <v/>
      </c>
    </row>
    <row r="37" spans="1:7" s="19" customFormat="1" ht="23.1" customHeight="1">
      <c r="A37" s="16" t="str">
        <f>IF('4'!A37="","",'4'!A37)</f>
        <v/>
      </c>
      <c r="B37" s="16">
        <f>IF('4'!B37="","",'4'!B37)</f>
        <v>24</v>
      </c>
      <c r="C37" s="17" t="str">
        <f>IF('4'!C37="","",'4'!C37)</f>
        <v/>
      </c>
      <c r="D37" s="219" t="str">
        <f>IF('4'!D37="","",'4'!D37)</f>
        <v/>
      </c>
      <c r="E37" s="17" t="str">
        <f>IF('4'!E37="","",'4'!E37)</f>
        <v/>
      </c>
      <c r="F37" s="219" t="str">
        <f>IF('4'!F37="","",'4'!F37)</f>
        <v/>
      </c>
      <c r="G37" s="17" t="str">
        <f>IF('4'!G37="","",'4'!G37)</f>
        <v/>
      </c>
    </row>
    <row r="38" spans="1:7" s="19" customFormat="1" ht="23.1" customHeight="1">
      <c r="A38" s="16" t="str">
        <f>IF('4'!A38="","",'4'!A38)</f>
        <v/>
      </c>
      <c r="B38" s="16">
        <f>IF('4'!B38="","",'4'!B38)</f>
        <v>25</v>
      </c>
      <c r="C38" s="17" t="str">
        <f>IF('4'!C38="","",'4'!C38)</f>
        <v/>
      </c>
      <c r="D38" s="219" t="str">
        <f>IF('4'!D38="","",'4'!D38)</f>
        <v/>
      </c>
      <c r="E38" s="17" t="str">
        <f>IF('4'!E38="","",'4'!E38)</f>
        <v/>
      </c>
      <c r="F38" s="219" t="str">
        <f>IF('4'!F38="","",'4'!F38)</f>
        <v/>
      </c>
      <c r="G38" s="17" t="str">
        <f>IF('4'!G38="","",'4'!G38)</f>
        <v/>
      </c>
    </row>
    <row r="39" spans="1:7" s="19" customFormat="1" ht="23.1" customHeight="1">
      <c r="A39" s="16" t="str">
        <f>IF('4'!A39="","",'4'!A39)</f>
        <v/>
      </c>
      <c r="B39" s="16">
        <f>IF('4'!B39="","",'4'!B39)</f>
        <v>26</v>
      </c>
      <c r="C39" s="17" t="str">
        <f>IF('4'!C39="","",'4'!C39)</f>
        <v/>
      </c>
      <c r="D39" s="219" t="str">
        <f>IF('4'!D39="","",'4'!D39)</f>
        <v/>
      </c>
      <c r="E39" s="17" t="str">
        <f>IF('4'!E39="","",'4'!E39)</f>
        <v/>
      </c>
      <c r="F39" s="219" t="str">
        <f>IF('4'!F39="","",'4'!F39)</f>
        <v/>
      </c>
      <c r="G39" s="17" t="str">
        <f>IF('4'!G39="","",'4'!G39)</f>
        <v/>
      </c>
    </row>
    <row r="40" spans="1:7" s="19" customFormat="1" ht="23.1" customHeight="1">
      <c r="A40" s="16" t="str">
        <f>IF('4'!A40="","",'4'!A40)</f>
        <v/>
      </c>
      <c r="B40" s="16">
        <f>IF('4'!B40="","",'4'!B40)</f>
        <v>27</v>
      </c>
      <c r="C40" s="17" t="str">
        <f>IF('4'!C40="","",'4'!C40)</f>
        <v/>
      </c>
      <c r="D40" s="219" t="str">
        <f>IF('4'!D40="","",'4'!D40)</f>
        <v/>
      </c>
      <c r="E40" s="17" t="str">
        <f>IF('4'!E40="","",'4'!E40)</f>
        <v/>
      </c>
      <c r="F40" s="219" t="str">
        <f>IF('4'!F40="","",'4'!F40)</f>
        <v/>
      </c>
      <c r="G40" s="17" t="str">
        <f>IF('4'!G40="","",'4'!G40)</f>
        <v/>
      </c>
    </row>
    <row r="41" spans="1:7" s="19" customFormat="1" ht="23.1" customHeight="1">
      <c r="A41" s="16" t="str">
        <f>IF('4'!A41="","",'4'!A41)</f>
        <v/>
      </c>
      <c r="B41" s="16">
        <f>IF('4'!B41="","",'4'!B41)</f>
        <v>28</v>
      </c>
      <c r="C41" s="17" t="str">
        <f>IF('4'!C41="","",'4'!C41)</f>
        <v/>
      </c>
      <c r="D41" s="219" t="str">
        <f>IF('4'!D41="","",'4'!D41)</f>
        <v/>
      </c>
      <c r="E41" s="17" t="str">
        <f>IF('4'!E41="","",'4'!E41)</f>
        <v/>
      </c>
      <c r="F41" s="219" t="str">
        <f>IF('4'!F41="","",'4'!F41)</f>
        <v/>
      </c>
      <c r="G41" s="17" t="str">
        <f>IF('4'!G41="","",'4'!G41)</f>
        <v/>
      </c>
    </row>
    <row r="42" spans="1:7" s="19" customFormat="1" ht="23.1" customHeight="1">
      <c r="A42" s="16" t="str">
        <f>IF('4'!A42="","",'4'!A42)</f>
        <v/>
      </c>
      <c r="B42" s="16">
        <f>IF('4'!B42="","",'4'!B42)</f>
        <v>29</v>
      </c>
      <c r="C42" s="17" t="str">
        <f>IF('4'!C42="","",'4'!C42)</f>
        <v/>
      </c>
      <c r="D42" s="219" t="str">
        <f>IF('4'!D42="","",'4'!D42)</f>
        <v/>
      </c>
      <c r="E42" s="17" t="str">
        <f>IF('4'!E42="","",'4'!E42)</f>
        <v/>
      </c>
      <c r="F42" s="219" t="str">
        <f>IF('4'!F42="","",'4'!F42)</f>
        <v/>
      </c>
      <c r="G42" s="17" t="str">
        <f>IF('4'!G42="","",'4'!G42)</f>
        <v/>
      </c>
    </row>
    <row r="43" spans="1:7" s="19" customFormat="1" ht="23.1" customHeight="1">
      <c r="A43" s="16" t="str">
        <f>IF('4'!A43="","",'4'!A43)</f>
        <v/>
      </c>
      <c r="B43" s="16">
        <f>IF('4'!B43="","",'4'!B43)</f>
        <v>30</v>
      </c>
      <c r="C43" s="17" t="str">
        <f>IF('4'!C43="","",'4'!C43)</f>
        <v/>
      </c>
      <c r="D43" s="219" t="str">
        <f>IF('4'!D43="","",'4'!D43)</f>
        <v/>
      </c>
      <c r="E43" s="17" t="str">
        <f>IF('4'!E43="","",'4'!E43)</f>
        <v/>
      </c>
      <c r="F43" s="219" t="str">
        <f>IF('4'!F43="","",'4'!F43)</f>
        <v/>
      </c>
      <c r="G43" s="17" t="str">
        <f>IF('4'!G43="","",'4'!G43)</f>
        <v/>
      </c>
    </row>
    <row r="44" spans="1:7" ht="23.1" customHeight="1">
      <c r="A44" s="16" t="str">
        <f>IF('4'!A44="","",'4'!A44)</f>
        <v/>
      </c>
      <c r="B44" s="16" t="str">
        <f>IF('4'!B44="","",'4'!B44)</f>
        <v/>
      </c>
      <c r="C44" s="17" t="str">
        <f>IF('4'!C44="","",'4'!C44)</f>
        <v/>
      </c>
      <c r="D44" s="219" t="str">
        <f>IF('4'!D44="","",'4'!D44)</f>
        <v/>
      </c>
      <c r="E44" s="17" t="str">
        <f>IF('4'!E44="","",'4'!E44)</f>
        <v/>
      </c>
      <c r="F44" s="219" t="str">
        <f>IF('4'!F44="","",'4'!F44)</f>
        <v/>
      </c>
      <c r="G44" s="17" t="str">
        <f>IF('4'!G44="","",'4'!G44)</f>
        <v/>
      </c>
    </row>
    <row r="45" spans="1:7" ht="23.1" customHeight="1">
      <c r="A45" s="16" t="str">
        <f>IF('4'!A45="","",'4'!A45)</f>
        <v/>
      </c>
      <c r="B45" s="16" t="str">
        <f>IF('4'!B45="","",'4'!B45)</f>
        <v/>
      </c>
      <c r="C45" s="17" t="str">
        <f>IF('4'!C45="","",'4'!C45)</f>
        <v/>
      </c>
      <c r="D45" s="219" t="str">
        <f>IF('4'!D45="","",'4'!D45)</f>
        <v/>
      </c>
      <c r="E45" s="17" t="str">
        <f>IF('4'!E45="","",'4'!E45)</f>
        <v/>
      </c>
      <c r="F45" s="219" t="str">
        <f>IF('4'!F45="","",'4'!F45)</f>
        <v/>
      </c>
      <c r="G45" s="17" t="str">
        <f>IF('4'!G45="","",'4'!G45)</f>
        <v/>
      </c>
    </row>
    <row r="46" spans="1:7" ht="23.1" customHeight="1">
      <c r="A46" s="16" t="str">
        <f>IF('4'!A46="","",'4'!A46)</f>
        <v/>
      </c>
      <c r="B46" s="16" t="str">
        <f>IF('4'!B46="","",'4'!B46)</f>
        <v/>
      </c>
      <c r="C46" s="17" t="str">
        <f>IF('4'!C46="","",'4'!C46)</f>
        <v/>
      </c>
      <c r="D46" s="219" t="str">
        <f>IF('4'!D46="","",'4'!D46)</f>
        <v/>
      </c>
      <c r="E46" s="17" t="str">
        <f>IF('4'!E46="","",'4'!E46)</f>
        <v/>
      </c>
      <c r="F46" s="219" t="str">
        <f>IF('4'!F46="","",'4'!F46)</f>
        <v/>
      </c>
      <c r="G46" s="17" t="str">
        <f>IF('4'!G46="","",'4'!G46)</f>
        <v/>
      </c>
    </row>
    <row r="47" spans="1:7" ht="23.1" customHeight="1">
      <c r="A47" s="16" t="str">
        <f>IF('4'!A47="","",'4'!A47)</f>
        <v/>
      </c>
      <c r="B47" s="16" t="str">
        <f>IF('4'!B47="","",'4'!B47)</f>
        <v/>
      </c>
      <c r="C47" s="17" t="str">
        <f>IF('4'!C47="","",'4'!C47)</f>
        <v/>
      </c>
      <c r="D47" s="219" t="str">
        <f>IF('4'!D47="","",'4'!D47)</f>
        <v/>
      </c>
      <c r="E47" s="17" t="str">
        <f>IF('4'!E47="","",'4'!E47)</f>
        <v/>
      </c>
      <c r="F47" s="219" t="str">
        <f>IF('4'!F47="","",'4'!F47)</f>
        <v/>
      </c>
      <c r="G47" s="17" t="str">
        <f>IF('4'!G47="","",'4'!G47)</f>
        <v/>
      </c>
    </row>
    <row r="48" spans="1:7" ht="23.1" customHeight="1">
      <c r="A48" s="16" t="str">
        <f>IF('4'!A48="","",'4'!A48)</f>
        <v/>
      </c>
      <c r="B48" s="16" t="str">
        <f>IF('4'!B48="","",'4'!B48)</f>
        <v/>
      </c>
      <c r="C48" s="17" t="str">
        <f>IF('4'!C48="","",'4'!C48)</f>
        <v/>
      </c>
      <c r="D48" s="219" t="str">
        <f>IF('4'!D48="","",'4'!D48)</f>
        <v/>
      </c>
      <c r="E48" s="17" t="str">
        <f>IF('4'!E48="","",'4'!E48)</f>
        <v/>
      </c>
      <c r="F48" s="219" t="str">
        <f>IF('4'!F48="","",'4'!F48)</f>
        <v/>
      </c>
      <c r="G48" s="17" t="str">
        <f>IF('4'!G48="","",'4'!G48)</f>
        <v/>
      </c>
    </row>
    <row r="49" spans="1:7" ht="23.1" customHeight="1">
      <c r="A49" s="16" t="str">
        <f>IF('4'!A49="","",'4'!A49)</f>
        <v/>
      </c>
      <c r="B49" s="16" t="str">
        <f>IF('4'!B49="","",'4'!B49)</f>
        <v/>
      </c>
      <c r="C49" s="17" t="str">
        <f>IF('4'!C49="","",'4'!C49)</f>
        <v/>
      </c>
      <c r="D49" s="219" t="str">
        <f>IF('4'!D49="","",'4'!D49)</f>
        <v/>
      </c>
      <c r="E49" s="17" t="str">
        <f>IF('4'!E49="","",'4'!E49)</f>
        <v/>
      </c>
      <c r="F49" s="219" t="str">
        <f>IF('4'!F49="","",'4'!F49)</f>
        <v/>
      </c>
      <c r="G49" s="17" t="str">
        <f>IF('4'!G49="","",'4'!G49)</f>
        <v/>
      </c>
    </row>
    <row r="50" spans="1:7" ht="23.1" customHeight="1">
      <c r="A50" s="16" t="str">
        <f>IF('4'!A50="","",'4'!A50)</f>
        <v/>
      </c>
      <c r="B50" s="16" t="str">
        <f>IF('4'!B50="","",'4'!B50)</f>
        <v/>
      </c>
      <c r="C50" s="17" t="str">
        <f>IF('4'!C50="","",'4'!C50)</f>
        <v/>
      </c>
      <c r="D50" s="219" t="str">
        <f>IF('4'!D50="","",'4'!D50)</f>
        <v/>
      </c>
      <c r="E50" s="17" t="str">
        <f>IF('4'!E50="","",'4'!E50)</f>
        <v/>
      </c>
      <c r="F50" s="219" t="str">
        <f>IF('4'!F50="","",'4'!F50)</f>
        <v/>
      </c>
      <c r="G50" s="17" t="str">
        <f>IF('4'!G50="","",'4'!G50)</f>
        <v/>
      </c>
    </row>
    <row r="51" spans="1:7" ht="23.1" customHeight="1">
      <c r="A51" s="16" t="str">
        <f>IF('4'!A51="","",'4'!A51)</f>
        <v/>
      </c>
      <c r="B51" s="16" t="str">
        <f>IF('4'!B51="","",'4'!B51)</f>
        <v/>
      </c>
      <c r="C51" s="17" t="str">
        <f>IF('4'!C51="","",'4'!C51)</f>
        <v/>
      </c>
      <c r="D51" s="219" t="str">
        <f>IF('4'!D51="","",'4'!D51)</f>
        <v/>
      </c>
      <c r="E51" s="17" t="str">
        <f>IF('4'!E51="","",'4'!E51)</f>
        <v/>
      </c>
      <c r="F51" s="219" t="str">
        <f>IF('4'!F51="","",'4'!F51)</f>
        <v/>
      </c>
      <c r="G51" s="17" t="str">
        <f>IF('4'!G51="","",'4'!G51)</f>
        <v/>
      </c>
    </row>
    <row r="52" spans="1:7" ht="23.1" customHeight="1">
      <c r="A52" s="16" t="str">
        <f>IF('4'!A52="","",'4'!A52)</f>
        <v/>
      </c>
      <c r="B52" s="16" t="str">
        <f>IF('4'!B52="","",'4'!B52)</f>
        <v/>
      </c>
      <c r="C52" s="17" t="str">
        <f>IF('4'!C52="","",'4'!C52)</f>
        <v/>
      </c>
      <c r="D52" s="219" t="str">
        <f>IF('4'!D52="","",'4'!D52)</f>
        <v/>
      </c>
      <c r="E52" s="17" t="str">
        <f>IF('4'!E52="","",'4'!E52)</f>
        <v/>
      </c>
      <c r="F52" s="219" t="str">
        <f>IF('4'!F52="","",'4'!F52)</f>
        <v/>
      </c>
      <c r="G52" s="17" t="str">
        <f>IF('4'!G52="","",'4'!G52)</f>
        <v/>
      </c>
    </row>
    <row r="53" spans="1:7" ht="23.1" customHeight="1">
      <c r="A53" s="16" t="str">
        <f>IF('4'!A53="","",'4'!A53)</f>
        <v/>
      </c>
      <c r="B53" s="16" t="str">
        <f>IF('4'!B53="","",'4'!B53)</f>
        <v/>
      </c>
      <c r="C53" s="17" t="str">
        <f>IF('4'!C53="","",'4'!C53)</f>
        <v/>
      </c>
      <c r="D53" s="219" t="str">
        <f>IF('4'!D53="","",'4'!D53)</f>
        <v/>
      </c>
      <c r="E53" s="17" t="str">
        <f>IF('4'!E53="","",'4'!E53)</f>
        <v/>
      </c>
      <c r="F53" s="219" t="str">
        <f>IF('4'!F53="","",'4'!F53)</f>
        <v/>
      </c>
      <c r="G53" s="17" t="str">
        <f>IF('4'!G53="","",'4'!G53)</f>
        <v/>
      </c>
    </row>
    <row r="54" spans="1:7" ht="23.1" customHeight="1">
      <c r="A54" s="16" t="str">
        <f>IF('4'!A54="","",'4'!A54)</f>
        <v/>
      </c>
      <c r="B54" s="16" t="str">
        <f>IF('4'!B54="","",'4'!B54)</f>
        <v/>
      </c>
      <c r="C54" s="17" t="str">
        <f>IF('4'!C54="","",'4'!C54)</f>
        <v/>
      </c>
      <c r="D54" s="219" t="str">
        <f>IF('4'!D54="","",'4'!D54)</f>
        <v/>
      </c>
      <c r="E54" s="17" t="str">
        <f>IF('4'!E54="","",'4'!E54)</f>
        <v/>
      </c>
      <c r="F54" s="219" t="str">
        <f>IF('4'!F54="","",'4'!F54)</f>
        <v/>
      </c>
      <c r="G54" s="17" t="str">
        <f>IF('4'!G54="","",'4'!G54)</f>
        <v/>
      </c>
    </row>
    <row r="55" spans="1:7" ht="23.1" customHeight="1">
      <c r="A55" s="16" t="str">
        <f>IF('4'!A55="","",'4'!A55)</f>
        <v/>
      </c>
      <c r="B55" s="16" t="str">
        <f>IF('4'!B55="","",'4'!B55)</f>
        <v/>
      </c>
      <c r="C55" s="17" t="str">
        <f>IF('4'!C55="","",'4'!C55)</f>
        <v/>
      </c>
      <c r="D55" s="219" t="str">
        <f>IF('4'!D55="","",'4'!D55)</f>
        <v/>
      </c>
      <c r="E55" s="17" t="str">
        <f>IF('4'!E55="","",'4'!E55)</f>
        <v/>
      </c>
      <c r="F55" s="219" t="str">
        <f>IF('4'!F55="","",'4'!F55)</f>
        <v/>
      </c>
      <c r="G55" s="17" t="str">
        <f>IF('4'!G55="","",'4'!G55)</f>
        <v/>
      </c>
    </row>
    <row r="56" spans="1:7" ht="23.1" customHeight="1">
      <c r="A56" s="16" t="str">
        <f>IF('4'!A56="","",'4'!A56)</f>
        <v/>
      </c>
      <c r="B56" s="16" t="str">
        <f>IF('4'!B56="","",'4'!B56)</f>
        <v/>
      </c>
      <c r="C56" s="17" t="str">
        <f>IF('4'!C56="","",'4'!C56)</f>
        <v/>
      </c>
      <c r="D56" s="219" t="str">
        <f>IF('4'!D56="","",'4'!D56)</f>
        <v/>
      </c>
      <c r="E56" s="17" t="str">
        <f>IF('4'!E56="","",'4'!E56)</f>
        <v/>
      </c>
      <c r="F56" s="219" t="str">
        <f>IF('4'!F56="","",'4'!F56)</f>
        <v/>
      </c>
      <c r="G56" s="17" t="str">
        <f>IF('4'!G56="","",'4'!G56)</f>
        <v/>
      </c>
    </row>
    <row r="57" spans="1:7" ht="23.1" customHeight="1">
      <c r="A57" s="16" t="str">
        <f>IF('4'!A57="","",'4'!A57)</f>
        <v/>
      </c>
      <c r="B57" s="16" t="str">
        <f>IF('4'!B57="","",'4'!B57)</f>
        <v/>
      </c>
      <c r="C57" s="17" t="str">
        <f>IF('4'!C57="","",'4'!C57)</f>
        <v/>
      </c>
      <c r="D57" s="219" t="str">
        <f>IF('4'!D57="","",'4'!D57)</f>
        <v/>
      </c>
      <c r="E57" s="17" t="str">
        <f>IF('4'!E57="","",'4'!E57)</f>
        <v/>
      </c>
      <c r="F57" s="219" t="str">
        <f>IF('4'!F57="","",'4'!F57)</f>
        <v/>
      </c>
      <c r="G57" s="17" t="str">
        <f>IF('4'!G57="","",'4'!G57)</f>
        <v/>
      </c>
    </row>
    <row r="58" spans="1:7" ht="23.1" customHeight="1">
      <c r="A58" s="16" t="str">
        <f>IF('4'!A58="","",'4'!A58)</f>
        <v/>
      </c>
      <c r="B58" s="16" t="str">
        <f>IF('4'!B58="","",'4'!B58)</f>
        <v/>
      </c>
      <c r="C58" s="17" t="str">
        <f>IF('4'!C58="","",'4'!C58)</f>
        <v/>
      </c>
      <c r="D58" s="219" t="str">
        <f>IF('4'!D58="","",'4'!D58)</f>
        <v/>
      </c>
      <c r="E58" s="17" t="str">
        <f>IF('4'!E58="","",'4'!E58)</f>
        <v/>
      </c>
      <c r="F58" s="219" t="str">
        <f>IF('4'!F58="","",'4'!F58)</f>
        <v/>
      </c>
      <c r="G58" s="17" t="str">
        <f>IF('4'!G58="","",'4'!G58)</f>
        <v/>
      </c>
    </row>
    <row r="59" spans="1:7" ht="23.1" customHeight="1">
      <c r="A59" s="16" t="str">
        <f>IF('4'!A59="","",'4'!A59)</f>
        <v/>
      </c>
      <c r="B59" s="16" t="str">
        <f>IF('4'!B59="","",'4'!B59)</f>
        <v/>
      </c>
      <c r="C59" s="17" t="str">
        <f>IF('4'!C59="","",'4'!C59)</f>
        <v/>
      </c>
      <c r="D59" s="219" t="str">
        <f>IF('4'!D59="","",'4'!D59)</f>
        <v/>
      </c>
      <c r="E59" s="17" t="str">
        <f>IF('4'!E59="","",'4'!E59)</f>
        <v/>
      </c>
      <c r="F59" s="219" t="str">
        <f>IF('4'!F59="","",'4'!F59)</f>
        <v/>
      </c>
      <c r="G59" s="17" t="str">
        <f>IF('4'!G59="","",'4'!G59)</f>
        <v/>
      </c>
    </row>
    <row r="60" spans="1:7" ht="23.1" customHeight="1">
      <c r="A60" s="16" t="str">
        <f>IF('4'!A60="","",'4'!A60)</f>
        <v/>
      </c>
      <c r="B60" s="16" t="str">
        <f>IF('4'!B60="","",'4'!B60)</f>
        <v/>
      </c>
      <c r="C60" s="17" t="str">
        <f>IF('4'!C60="","",'4'!C60)</f>
        <v/>
      </c>
      <c r="D60" s="219" t="str">
        <f>IF('4'!D60="","",'4'!D60)</f>
        <v/>
      </c>
      <c r="E60" s="17" t="str">
        <f>IF('4'!E60="","",'4'!E60)</f>
        <v/>
      </c>
      <c r="F60" s="219" t="str">
        <f>IF('4'!F60="","",'4'!F60)</f>
        <v/>
      </c>
      <c r="G60" s="17" t="str">
        <f>IF('4'!G60="","",'4'!G60)</f>
        <v/>
      </c>
    </row>
    <row r="61" spans="1:7" ht="23.1" customHeight="1">
      <c r="A61" s="16" t="str">
        <f>IF('4'!A61="","",'4'!A61)</f>
        <v/>
      </c>
      <c r="B61" s="16" t="str">
        <f>IF('4'!B61="","",'4'!B61)</f>
        <v/>
      </c>
      <c r="C61" s="17" t="str">
        <f>IF('4'!C61="","",'4'!C61)</f>
        <v/>
      </c>
      <c r="D61" s="219" t="str">
        <f>IF('4'!D61="","",'4'!D61)</f>
        <v/>
      </c>
      <c r="E61" s="17" t="str">
        <f>IF('4'!E61="","",'4'!E61)</f>
        <v/>
      </c>
      <c r="F61" s="219" t="str">
        <f>IF('4'!F61="","",'4'!F61)</f>
        <v/>
      </c>
      <c r="G61" s="17" t="str">
        <f>IF('4'!G61="","",'4'!G61)</f>
        <v/>
      </c>
    </row>
    <row r="62" spans="1:7" ht="23.1" customHeight="1">
      <c r="A62" s="16" t="str">
        <f>IF('4'!A62="","",'4'!A62)</f>
        <v/>
      </c>
      <c r="B62" s="16" t="str">
        <f>IF('4'!B62="","",'4'!B62)</f>
        <v/>
      </c>
      <c r="C62" s="17" t="str">
        <f>IF('4'!C62="","",'4'!C62)</f>
        <v/>
      </c>
      <c r="D62" s="219" t="str">
        <f>IF('4'!D62="","",'4'!D62)</f>
        <v/>
      </c>
      <c r="E62" s="17" t="str">
        <f>IF('4'!E62="","",'4'!E62)</f>
        <v/>
      </c>
      <c r="F62" s="219" t="str">
        <f>IF('4'!F62="","",'4'!F62)</f>
        <v/>
      </c>
      <c r="G62" s="17" t="str">
        <f>IF('4'!G62="","",'4'!G62)</f>
        <v/>
      </c>
    </row>
    <row r="63" spans="1:7" ht="23.1" customHeight="1">
      <c r="A63" s="16" t="str">
        <f>IF('4'!A63="","",'4'!A63)</f>
        <v/>
      </c>
      <c r="B63" s="16" t="str">
        <f>IF('4'!B63="","",'4'!B63)</f>
        <v/>
      </c>
      <c r="C63" s="17" t="str">
        <f>IF('4'!C63="","",'4'!C63)</f>
        <v/>
      </c>
      <c r="D63" s="219" t="str">
        <f>IF('4'!D63="","",'4'!D63)</f>
        <v/>
      </c>
      <c r="E63" s="17" t="str">
        <f>IF('4'!E63="","",'4'!E63)</f>
        <v/>
      </c>
      <c r="F63" s="219" t="str">
        <f>IF('4'!F63="","",'4'!F63)</f>
        <v/>
      </c>
      <c r="G63" s="17" t="str">
        <f>IF('4'!G63="","",'4'!G63)</f>
        <v/>
      </c>
    </row>
    <row r="64" spans="1:7" ht="23.1" customHeight="1">
      <c r="A64" s="16" t="str">
        <f>IF('4'!A64="","",'4'!A64)</f>
        <v/>
      </c>
      <c r="B64" s="16" t="str">
        <f>IF('4'!B64="","",'4'!B64)</f>
        <v/>
      </c>
      <c r="C64" s="17" t="str">
        <f>IF('4'!C64="","",'4'!C64)</f>
        <v/>
      </c>
      <c r="D64" s="219" t="str">
        <f>IF('4'!D64="","",'4'!D64)</f>
        <v/>
      </c>
      <c r="E64" s="17" t="str">
        <f>IF('4'!E64="","",'4'!E64)</f>
        <v/>
      </c>
      <c r="F64" s="219" t="str">
        <f>IF('4'!F64="","",'4'!F64)</f>
        <v/>
      </c>
      <c r="G64" s="17" t="str">
        <f>IF('4'!G64="","",'4'!G64)</f>
        <v/>
      </c>
    </row>
    <row r="65" spans="1:7" ht="23.1" customHeight="1">
      <c r="A65" s="16" t="str">
        <f>IF('4'!A65="","",'4'!A65)</f>
        <v/>
      </c>
      <c r="B65" s="16" t="str">
        <f>IF('4'!B65="","",'4'!B65)</f>
        <v/>
      </c>
      <c r="C65" s="17" t="str">
        <f>IF('4'!C65="","",'4'!C65)</f>
        <v/>
      </c>
      <c r="D65" s="219" t="str">
        <f>IF('4'!D65="","",'4'!D65)</f>
        <v/>
      </c>
      <c r="E65" s="17" t="str">
        <f>IF('4'!E65="","",'4'!E65)</f>
        <v/>
      </c>
      <c r="F65" s="219" t="str">
        <f>IF('4'!F65="","",'4'!F65)</f>
        <v/>
      </c>
      <c r="G65" s="17" t="str">
        <f>IF('4'!G65="","",'4'!G65)</f>
        <v/>
      </c>
    </row>
    <row r="66" spans="1:7" ht="23.1" customHeight="1">
      <c r="A66" s="16" t="str">
        <f>IF('4'!A66="","",'4'!A66)</f>
        <v/>
      </c>
      <c r="B66" s="16" t="str">
        <f>IF('4'!B66="","",'4'!B66)</f>
        <v/>
      </c>
      <c r="C66" s="17" t="str">
        <f>IF('4'!C66="","",'4'!C66)</f>
        <v/>
      </c>
      <c r="D66" s="219" t="str">
        <f>IF('4'!D66="","",'4'!D66)</f>
        <v/>
      </c>
      <c r="E66" s="17" t="str">
        <f>IF('4'!E66="","",'4'!E66)</f>
        <v/>
      </c>
      <c r="F66" s="219" t="str">
        <f>IF('4'!F66="","",'4'!F66)</f>
        <v/>
      </c>
      <c r="G66" s="17" t="str">
        <f>IF('4'!G66="","",'4'!G66)</f>
        <v/>
      </c>
    </row>
    <row r="67" spans="1:7" ht="23.1" customHeight="1">
      <c r="A67" s="16" t="str">
        <f>IF('4'!A67="","",'4'!A67)</f>
        <v/>
      </c>
      <c r="B67" s="16" t="str">
        <f>IF('4'!B67="","",'4'!B67)</f>
        <v/>
      </c>
      <c r="C67" s="17" t="str">
        <f>IF('4'!C67="","",'4'!C67)</f>
        <v/>
      </c>
      <c r="D67" s="219" t="str">
        <f>IF('4'!D67="","",'4'!D67)</f>
        <v/>
      </c>
      <c r="E67" s="17" t="str">
        <f>IF('4'!E67="","",'4'!E67)</f>
        <v/>
      </c>
      <c r="F67" s="219" t="str">
        <f>IF('4'!F67="","",'4'!F67)</f>
        <v/>
      </c>
      <c r="G67" s="17" t="str">
        <f>IF('4'!G67="","",'4'!G67)</f>
        <v/>
      </c>
    </row>
    <row r="68" spans="1:7" ht="23.1" customHeight="1">
      <c r="A68" s="16" t="str">
        <f>IF('4'!A68="","",'4'!A68)</f>
        <v/>
      </c>
      <c r="B68" s="16" t="str">
        <f>IF('4'!B68="","",'4'!B68)</f>
        <v/>
      </c>
      <c r="C68" s="17" t="str">
        <f>IF('4'!C68="","",'4'!C68)</f>
        <v/>
      </c>
      <c r="D68" s="219" t="str">
        <f>IF('4'!D68="","",'4'!D68)</f>
        <v/>
      </c>
      <c r="E68" s="17" t="str">
        <f>IF('4'!E68="","",'4'!E68)</f>
        <v/>
      </c>
      <c r="F68" s="219" t="str">
        <f>IF('4'!F68="","",'4'!F68)</f>
        <v/>
      </c>
      <c r="G68" s="17" t="str">
        <f>IF('4'!G68="","",'4'!G68)</f>
        <v/>
      </c>
    </row>
    <row r="69" spans="1:7" ht="23.1" customHeight="1">
      <c r="A69" s="16" t="str">
        <f>IF('4'!A69="","",'4'!A69)</f>
        <v/>
      </c>
      <c r="B69" s="16" t="str">
        <f>IF('4'!B69="","",'4'!B69)</f>
        <v/>
      </c>
      <c r="C69" s="17" t="str">
        <f>IF('4'!C69="","",'4'!C69)</f>
        <v/>
      </c>
      <c r="D69" s="219" t="str">
        <f>IF('4'!D69="","",'4'!D69)</f>
        <v/>
      </c>
      <c r="E69" s="17" t="str">
        <f>IF('4'!E69="","",'4'!E69)</f>
        <v/>
      </c>
      <c r="F69" s="219" t="str">
        <f>IF('4'!F69="","",'4'!F69)</f>
        <v/>
      </c>
      <c r="G69" s="17" t="str">
        <f>IF('4'!G69="","",'4'!G69)</f>
        <v/>
      </c>
    </row>
    <row r="70" spans="1:7" ht="23.1" customHeight="1">
      <c r="A70" s="16" t="str">
        <f>IF('4'!A70="","",'4'!A70)</f>
        <v/>
      </c>
      <c r="B70" s="16" t="str">
        <f>IF('4'!B70="","",'4'!B70)</f>
        <v/>
      </c>
      <c r="C70" s="17" t="str">
        <f>IF('4'!C70="","",'4'!C70)</f>
        <v/>
      </c>
      <c r="D70" s="219" t="str">
        <f>IF('4'!D70="","",'4'!D70)</f>
        <v/>
      </c>
      <c r="E70" s="17" t="str">
        <f>IF('4'!E70="","",'4'!E70)</f>
        <v/>
      </c>
      <c r="F70" s="219" t="str">
        <f>IF('4'!F70="","",'4'!F70)</f>
        <v/>
      </c>
      <c r="G70" s="17" t="str">
        <f>IF('4'!G70="","",'4'!G70)</f>
        <v/>
      </c>
    </row>
    <row r="71" spans="1:7" ht="23.1" customHeight="1">
      <c r="A71" s="16" t="str">
        <f>IF('4'!A71="","",'4'!A71)</f>
        <v/>
      </c>
      <c r="B71" s="16" t="str">
        <f>IF('4'!B71="","",'4'!B71)</f>
        <v/>
      </c>
      <c r="C71" s="17" t="str">
        <f>IF('4'!C71="","",'4'!C71)</f>
        <v/>
      </c>
      <c r="D71" s="219" t="str">
        <f>IF('4'!D71="","",'4'!D71)</f>
        <v/>
      </c>
      <c r="E71" s="17" t="str">
        <f>IF('4'!E71="","",'4'!E71)</f>
        <v/>
      </c>
      <c r="F71" s="219" t="str">
        <f>IF('4'!F71="","",'4'!F71)</f>
        <v/>
      </c>
      <c r="G71" s="17" t="str">
        <f>IF('4'!G71="","",'4'!G71)</f>
        <v/>
      </c>
    </row>
    <row r="72" spans="1:7" ht="23.1" customHeight="1">
      <c r="A72" s="16" t="str">
        <f>IF('4'!A72="","",'4'!A72)</f>
        <v/>
      </c>
      <c r="B72" s="16" t="str">
        <f>IF('4'!B72="","",'4'!B72)</f>
        <v/>
      </c>
      <c r="C72" s="17" t="str">
        <f>IF('4'!C72="","",'4'!C72)</f>
        <v/>
      </c>
      <c r="D72" s="219" t="str">
        <f>IF('4'!D72="","",'4'!D72)</f>
        <v/>
      </c>
      <c r="E72" s="17" t="str">
        <f>IF('4'!E72="","",'4'!E72)</f>
        <v/>
      </c>
      <c r="F72" s="219" t="str">
        <f>IF('4'!F72="","",'4'!F72)</f>
        <v/>
      </c>
      <c r="G72" s="17" t="str">
        <f>IF('4'!G72="","",'4'!G72)</f>
        <v/>
      </c>
    </row>
    <row r="73" spans="1:7" ht="23.1" customHeight="1">
      <c r="A73" s="16" t="str">
        <f>IF('4'!A73="","",'4'!A73)</f>
        <v/>
      </c>
      <c r="B73" s="16" t="str">
        <f>IF('4'!B73="","",'4'!B73)</f>
        <v/>
      </c>
      <c r="C73" s="17" t="str">
        <f>IF('4'!C73="","",'4'!C73)</f>
        <v/>
      </c>
      <c r="D73" s="219" t="str">
        <f>IF('4'!D73="","",'4'!D73)</f>
        <v/>
      </c>
      <c r="E73" s="17" t="str">
        <f>IF('4'!E73="","",'4'!E73)</f>
        <v/>
      </c>
      <c r="F73" s="219" t="str">
        <f>IF('4'!F73="","",'4'!F73)</f>
        <v/>
      </c>
      <c r="G73" s="17" t="str">
        <f>IF('4'!G73="","",'4'!G73)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7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r:id="rId1"/>
  <headerFooter alignWithMargins="0">
    <oddHeader>&amp;R&amp;P/&amp;N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2543-A6E9-41DF-81EF-3F853A35647F}">
  <sheetPr codeName="Sheet6">
    <tabColor rgb="FF0070C0"/>
  </sheetPr>
  <dimension ref="A4:J16"/>
  <sheetViews>
    <sheetView topLeftCell="A7" workbookViewId="0">
      <selection activeCell="L15" sqref="L15"/>
    </sheetView>
  </sheetViews>
  <sheetFormatPr defaultColWidth="8.88671875" defaultRowHeight="30" customHeight="1"/>
  <cols>
    <col min="1" max="1" width="8.88671875" style="107"/>
    <col min="2" max="3" width="8.88671875" style="105"/>
    <col min="4" max="4" width="20.109375" style="106" customWidth="1"/>
    <col min="5" max="5" width="13.33203125" style="105" bestFit="1" customWidth="1"/>
    <col min="6" max="16384" width="8.88671875" style="105"/>
  </cols>
  <sheetData>
    <row r="4" spans="1:10" ht="30" customHeight="1">
      <c r="A4" s="247" t="str">
        <f>'5_中D'!C7</f>
        <v xml:space="preserve">2026 Fuji Horse Show Autumn Grand Prix </v>
      </c>
      <c r="B4" s="247"/>
      <c r="C4" s="247"/>
      <c r="D4" s="247"/>
      <c r="E4" s="247"/>
      <c r="F4" s="247"/>
      <c r="G4" s="247"/>
      <c r="H4" s="247"/>
      <c r="I4" s="247"/>
      <c r="J4" s="247"/>
    </row>
    <row r="6" spans="1:10" ht="30" customHeight="1">
      <c r="A6" s="107" t="s">
        <v>41</v>
      </c>
      <c r="B6" s="110">
        <f>'5_中D'!B8</f>
        <v>5</v>
      </c>
      <c r="C6" s="105" t="s">
        <v>42</v>
      </c>
      <c r="D6" s="108" t="str">
        <f>'5_中D'!D8:F8</f>
        <v>フジ中障害飛越競技Ｄ</v>
      </c>
    </row>
    <row r="8" spans="1:10" ht="30" customHeight="1">
      <c r="C8" s="105" t="s">
        <v>96</v>
      </c>
      <c r="E8" s="109">
        <v>0.41319444444444442</v>
      </c>
    </row>
    <row r="9" spans="1:10" ht="30" customHeight="1">
      <c r="C9" s="105" t="s">
        <v>95</v>
      </c>
      <c r="E9" s="109">
        <v>0.4236111111111111</v>
      </c>
      <c r="F9" s="105" t="s">
        <v>94</v>
      </c>
    </row>
    <row r="10" spans="1:10" ht="30" customHeight="1">
      <c r="C10" s="116"/>
      <c r="D10" s="116"/>
      <c r="E10" s="116"/>
      <c r="F10" s="116"/>
      <c r="G10" s="116"/>
      <c r="H10" s="116"/>
    </row>
    <row r="11" spans="1:10" ht="30" customHeight="1">
      <c r="C11" s="245" t="s">
        <v>93</v>
      </c>
      <c r="D11" s="245"/>
      <c r="E11" s="245"/>
      <c r="F11" s="245"/>
      <c r="G11" s="245"/>
      <c r="H11" s="116"/>
    </row>
    <row r="12" spans="1:10" ht="30" customHeight="1">
      <c r="C12" s="105" t="s">
        <v>92</v>
      </c>
      <c r="D12" s="129">
        <v>30000</v>
      </c>
      <c r="F12" s="106"/>
      <c r="G12" s="106"/>
    </row>
    <row r="13" spans="1:10" ht="30" customHeight="1">
      <c r="C13" s="105" t="s">
        <v>91</v>
      </c>
      <c r="D13" s="129">
        <v>20000</v>
      </c>
      <c r="F13" s="106"/>
      <c r="G13" s="106"/>
    </row>
    <row r="14" spans="1:10" ht="30" customHeight="1">
      <c r="C14" s="105" t="s">
        <v>90</v>
      </c>
      <c r="D14" s="129">
        <v>10000</v>
      </c>
      <c r="G14" s="106"/>
    </row>
    <row r="15" spans="1:10" ht="30" customHeight="1">
      <c r="C15" s="105" t="s">
        <v>89</v>
      </c>
      <c r="D15" s="129" t="s">
        <v>231</v>
      </c>
      <c r="G15" s="106"/>
    </row>
    <row r="16" spans="1:10" ht="30" customHeight="1">
      <c r="C16" s="105" t="s">
        <v>88</v>
      </c>
      <c r="D16" s="130" t="s">
        <v>231</v>
      </c>
      <c r="E16" s="108"/>
      <c r="F16" s="108"/>
      <c r="G16" s="108"/>
    </row>
  </sheetData>
  <mergeCells count="2">
    <mergeCell ref="A4:J4"/>
    <mergeCell ref="C11:G11"/>
  </mergeCells>
  <phoneticPr fontId="7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70C0"/>
  </sheetPr>
  <dimension ref="A1:G85"/>
  <sheetViews>
    <sheetView view="pageBreakPreview" topLeftCell="A6" zoomScale="98" zoomScaleNormal="100" zoomScaleSheetLayoutView="98" workbookViewId="0">
      <selection activeCell="F13" sqref="F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'5'!C2</f>
        <v>0</v>
      </c>
      <c r="D6" s="3"/>
      <c r="F6" s="4" t="s">
        <v>2</v>
      </c>
      <c r="G6" s="6">
        <v>46276</v>
      </c>
    </row>
    <row r="7" spans="1:7" ht="24" customHeight="1">
      <c r="A7" s="7"/>
      <c r="B7" s="4" t="s">
        <v>4</v>
      </c>
      <c r="C7" s="8" t="str">
        <f>'5'!C3</f>
        <v xml:space="preserve">2026 Fuji Horse Show Autumn Grand Prix </v>
      </c>
      <c r="D7" s="9"/>
      <c r="E7" s="9"/>
      <c r="F7" s="9"/>
      <c r="G7" s="117" t="s">
        <v>727</v>
      </c>
    </row>
    <row r="8" spans="1:7" ht="21" customHeight="1">
      <c r="A8" s="10" t="s">
        <v>41</v>
      </c>
      <c r="B8" s="68">
        <f>'5'!C4</f>
        <v>5</v>
      </c>
      <c r="C8" s="4" t="s">
        <v>42</v>
      </c>
      <c r="D8" s="237" t="str">
        <f>'5'!F4</f>
        <v>フジ中障害飛越競技Ｄ</v>
      </c>
      <c r="E8" s="237"/>
      <c r="F8" s="237"/>
    </row>
    <row r="9" spans="1:7" ht="18.75" customHeight="1">
      <c r="C9" s="11" t="s">
        <v>11</v>
      </c>
      <c r="D9" s="217">
        <f>'5'!D5</f>
        <v>1</v>
      </c>
      <c r="E9" s="4" t="s">
        <v>9</v>
      </c>
      <c r="F9" s="220" t="str">
        <f>'5'!K4</f>
        <v>中障害Ｄ</v>
      </c>
    </row>
    <row r="10" spans="1:7" ht="21" customHeight="1">
      <c r="A10" s="12" t="s">
        <v>43</v>
      </c>
      <c r="B10" s="12"/>
      <c r="C10" s="12"/>
      <c r="D10" s="218" t="str">
        <f>'5'!D6</f>
        <v>-</v>
      </c>
      <c r="E10" s="4" t="s">
        <v>12</v>
      </c>
      <c r="F10" s="221" t="str">
        <f>'5'!F5</f>
        <v>★★★</v>
      </c>
      <c r="G10" s="13" t="s">
        <v>44</v>
      </c>
    </row>
    <row r="11" spans="1:7" ht="5.0999999999999996" customHeight="1"/>
    <row r="12" spans="1:7" ht="15" customHeight="1">
      <c r="A12" s="238" t="s">
        <v>45</v>
      </c>
      <c r="B12" s="240" t="s">
        <v>46</v>
      </c>
      <c r="C12" s="242" t="s">
        <v>47</v>
      </c>
      <c r="D12" s="243"/>
      <c r="E12" s="235" t="s">
        <v>48</v>
      </c>
      <c r="F12" s="235"/>
      <c r="G12" s="235" t="s">
        <v>49</v>
      </c>
    </row>
    <row r="13" spans="1:7" ht="24" customHeight="1">
      <c r="A13" s="239"/>
      <c r="B13" s="241"/>
      <c r="C13" s="14" t="s">
        <v>52</v>
      </c>
      <c r="D13" s="15" t="s">
        <v>53</v>
      </c>
      <c r="E13" s="15" t="s">
        <v>54</v>
      </c>
      <c r="F13" s="15" t="s">
        <v>55</v>
      </c>
      <c r="G13" s="236"/>
    </row>
    <row r="14" spans="1:7" s="19" customFormat="1" ht="23.1" customHeight="1">
      <c r="A14" s="16" t="str">
        <f>IF('5'!A14="","",'5'!A14)</f>
        <v/>
      </c>
      <c r="B14" s="16">
        <f>IF('5'!B14="","",'5'!B14)</f>
        <v>1</v>
      </c>
      <c r="C14" s="17" t="str">
        <f>IF('5'!C14="","",'5'!C14)</f>
        <v>福島　大輔</v>
      </c>
      <c r="D14" s="219">
        <f>IF('5'!D14="","",'5'!D14)</f>
        <v>7270</v>
      </c>
      <c r="E14" s="17" t="str">
        <f>IF('5'!E14="","",'5'!E14)</f>
        <v>スーリアラヴィ</v>
      </c>
      <c r="F14" s="219">
        <f>IF('5'!F14="","",'5'!F14)</f>
        <v>62130</v>
      </c>
      <c r="G14" s="17" t="str">
        <f>IF('5'!G14="","",'5'!G14)</f>
        <v>STAR HORSES</v>
      </c>
    </row>
    <row r="15" spans="1:7" s="19" customFormat="1" ht="23.1" customHeight="1">
      <c r="A15" s="16" t="str">
        <f>IF('5'!A15="","",'5'!A15)</f>
        <v/>
      </c>
      <c r="B15" s="16">
        <f>IF('5'!B15="","",'5'!B15)</f>
        <v>2</v>
      </c>
      <c r="C15" s="17" t="str">
        <f>IF('5'!C15="","",'5'!C15)</f>
        <v>林　義昌</v>
      </c>
      <c r="D15" s="219">
        <f>IF('5'!D15="","",'5'!D15)</f>
        <v>18717</v>
      </c>
      <c r="E15" s="17" t="str">
        <f>IF('5'!E15="","",'5'!E15)</f>
        <v>ルーニー21</v>
      </c>
      <c r="F15" s="219">
        <f>IF('5'!F15="","",'5'!F15)</f>
        <v>62148</v>
      </c>
      <c r="G15" s="17" t="str">
        <f>IF('5'!G15="","",'5'!G15)</f>
        <v>北総乗馬クラブ</v>
      </c>
    </row>
    <row r="16" spans="1:7" s="19" customFormat="1" ht="23.1" customHeight="1">
      <c r="A16" s="16" t="str">
        <f>IF('5'!A16="","",'5'!A16)</f>
        <v/>
      </c>
      <c r="B16" s="16">
        <f>IF('5'!B16="","",'5'!B16)</f>
        <v>3</v>
      </c>
      <c r="C16" s="17" t="str">
        <f>IF('5'!C16="","",'5'!C16)</f>
        <v>増田　惺太</v>
      </c>
      <c r="D16" s="219">
        <f>IF('5'!D16="","",'5'!D16)</f>
        <v>33558</v>
      </c>
      <c r="E16" s="17" t="str">
        <f>IF('5'!E16="","",'5'!E16)</f>
        <v>ユイマヴェーラ</v>
      </c>
      <c r="F16" s="219">
        <f>IF('5'!F16="","",'5'!F16)</f>
        <v>58736</v>
      </c>
      <c r="G16" s="17" t="str">
        <f>IF('5'!G16="","",'5'!G16)</f>
        <v>静岡乗馬クラブ</v>
      </c>
    </row>
    <row r="17" spans="1:7" s="19" customFormat="1" ht="23.1" customHeight="1">
      <c r="A17" s="16" t="str">
        <f>IF('5'!A17="","",'5'!A17)</f>
        <v/>
      </c>
      <c r="B17" s="16">
        <f>IF('5'!B17="","",'5'!B17)</f>
        <v>4</v>
      </c>
      <c r="C17" s="17" t="str">
        <f>IF('5'!C17="","",'5'!C17)</f>
        <v>村上　篤</v>
      </c>
      <c r="D17" s="219">
        <f>IF('5'!D17="","",'5'!D17)</f>
        <v>4416</v>
      </c>
      <c r="E17" s="17" t="str">
        <f>IF('5'!E17="","",'5'!E17)</f>
        <v>ローゼスドリーム</v>
      </c>
      <c r="F17" s="219">
        <f>IF('5'!F17="","",'5'!F17)</f>
        <v>57652</v>
      </c>
      <c r="G17" s="17" t="str">
        <f>IF('5'!G17="","",'5'!G17)</f>
        <v>オリエント馬事センター</v>
      </c>
    </row>
    <row r="18" spans="1:7" s="19" customFormat="1" ht="23.1" customHeight="1">
      <c r="A18" s="16" t="str">
        <f>IF('5'!A18="","",'5'!A18)</f>
        <v/>
      </c>
      <c r="B18" s="16">
        <f>IF('5'!B18="","",'5'!B18)</f>
        <v>5</v>
      </c>
      <c r="C18" s="17" t="str">
        <f>IF('5'!C18="","",'5'!C18)</f>
        <v>川口　飛鳥</v>
      </c>
      <c r="D18" s="219">
        <f>IF('5'!D18="","",'5'!D18)</f>
        <v>27498</v>
      </c>
      <c r="E18" s="17" t="str">
        <f>IF('5'!E18="","",'5'!E18)</f>
        <v>ハリーポッター・D</v>
      </c>
      <c r="F18" s="219">
        <f>IF('5'!F18="","",'5'!F18)</f>
        <v>57474</v>
      </c>
      <c r="G18" s="17" t="str">
        <f>IF('5'!G18="","",'5'!G18)</f>
        <v>ライディングクラブフジファーム</v>
      </c>
    </row>
    <row r="19" spans="1:7" s="19" customFormat="1" ht="23.1" customHeight="1">
      <c r="A19" s="16" t="str">
        <f>IF('5'!A19="","",'5'!A19)</f>
        <v/>
      </c>
      <c r="B19" s="16">
        <f>IF('5'!B19="","",'5'!B19)</f>
        <v>6</v>
      </c>
      <c r="C19" s="17" t="str">
        <f>IF('5'!C19="","",'5'!C19)</f>
        <v>増山　誠倫</v>
      </c>
      <c r="D19" s="219">
        <f>IF('5'!D19="","",'5'!D19)</f>
        <v>8082</v>
      </c>
      <c r="E19" s="17" t="str">
        <f>IF('5'!E19="","",'5'!E19)</f>
        <v>シャトレ</v>
      </c>
      <c r="F19" s="219">
        <f>IF('5'!F19="","",'5'!F19)</f>
        <v>61681</v>
      </c>
      <c r="G19" s="17" t="str">
        <f>IF('5'!G19="","",'5'!G19)</f>
        <v>小山乗馬クラブ</v>
      </c>
    </row>
    <row r="20" spans="1:7" s="19" customFormat="1" ht="23.1" customHeight="1">
      <c r="A20" s="16" t="str">
        <f>IF('5'!A20="","",'5'!A20)</f>
        <v/>
      </c>
      <c r="B20" s="16">
        <f>IF('5'!B20="","",'5'!B20)</f>
        <v>7</v>
      </c>
      <c r="C20" s="17" t="str">
        <f>IF('5'!C20="","",'5'!C20)</f>
        <v>藤田　充</v>
      </c>
      <c r="D20" s="219">
        <f>IF('5'!D20="","",'5'!D20)</f>
        <v>21313</v>
      </c>
      <c r="E20" s="17" t="str">
        <f>IF('5'!E20="","",'5'!E20)</f>
        <v>AJ・ナイト</v>
      </c>
      <c r="F20" s="219">
        <f>IF('5'!F20="","",'5'!F20)</f>
        <v>53892</v>
      </c>
      <c r="G20" s="17" t="str">
        <f>IF('5'!G20="","",'5'!G20)</f>
        <v>フジホースライディングクラブ</v>
      </c>
    </row>
    <row r="21" spans="1:7" s="19" customFormat="1" ht="23.1" customHeight="1">
      <c r="A21" s="16" t="str">
        <f>IF('5'!A21="","",'5'!A21)</f>
        <v/>
      </c>
      <c r="B21" s="16">
        <f>IF('5'!B21="","",'5'!B21)</f>
        <v>8</v>
      </c>
      <c r="C21" s="17" t="str">
        <f>IF('5'!C21="","",'5'!C21)</f>
        <v>増山　大治郎</v>
      </c>
      <c r="D21" s="219">
        <f>IF('5'!D21="","",'5'!D21)</f>
        <v>12159</v>
      </c>
      <c r="E21" s="17" t="str">
        <f>IF('5'!E21="","",'5'!E21)</f>
        <v>アリス</v>
      </c>
      <c r="F21" s="219">
        <f>IF('5'!F21="","",'5'!F21)</f>
        <v>57710</v>
      </c>
      <c r="G21" s="17" t="str">
        <f>IF('5'!G21="","",'5'!G21)</f>
        <v>筑波スカイラインスティーブル</v>
      </c>
    </row>
    <row r="22" spans="1:7" s="19" customFormat="1" ht="23.1" customHeight="1">
      <c r="A22" s="16" t="str">
        <f>IF('5'!A22="","",'5'!A22)</f>
        <v/>
      </c>
      <c r="B22" s="16">
        <f>IF('5'!B22="","",'5'!B22)</f>
        <v>9</v>
      </c>
      <c r="C22" s="17" t="str">
        <f>IF('5'!C22="","",'5'!C22)</f>
        <v>貝原　大地</v>
      </c>
      <c r="D22" s="219">
        <f>IF('5'!D22="","",'5'!D22)</f>
        <v>25662</v>
      </c>
      <c r="E22" s="17" t="str">
        <f>IF('5'!E22="","",'5'!E22)</f>
        <v>ジェフティDGK</v>
      </c>
      <c r="F22" s="219">
        <f>IF('5'!F22="","",'5'!F22)</f>
        <v>60576</v>
      </c>
      <c r="G22" s="17" t="str">
        <f>IF('5'!G22="","",'5'!G22)</f>
        <v>八王子乗馬倶楽部</v>
      </c>
    </row>
    <row r="23" spans="1:7" s="19" customFormat="1" ht="23.1" customHeight="1">
      <c r="A23" s="16" t="str">
        <f>IF('5'!A23="","",'5'!A23)</f>
        <v/>
      </c>
      <c r="B23" s="16">
        <f>IF('5'!B23="","",'5'!B23)</f>
        <v>10</v>
      </c>
      <c r="C23" s="17" t="str">
        <f>IF('5'!C23="","",'5'!C23)</f>
        <v>平山　麻由子</v>
      </c>
      <c r="D23" s="219">
        <f>IF('5'!D23="","",'5'!D23)</f>
        <v>18817</v>
      </c>
      <c r="E23" s="17" t="str">
        <f>IF('5'!E23="","",'5'!E23)</f>
        <v>ウィンクルム</v>
      </c>
      <c r="F23" s="219">
        <f>IF('5'!F23="","",'5'!F23)</f>
        <v>61767</v>
      </c>
      <c r="G23" s="17" t="str">
        <f>IF('5'!G23="","",'5'!G23)</f>
        <v>乗馬クラブニューシーズン御殿場</v>
      </c>
    </row>
    <row r="24" spans="1:7" s="19" customFormat="1" ht="23.1" customHeight="1">
      <c r="A24" s="16" t="str">
        <f>IF('5'!A24="","",'5'!A24)</f>
        <v/>
      </c>
      <c r="B24" s="16">
        <f>IF('5'!B24="","",'5'!B24)</f>
        <v>11</v>
      </c>
      <c r="C24" s="17" t="str">
        <f>IF('5'!C24="","",'5'!C24)</f>
        <v>東　彩加</v>
      </c>
      <c r="D24" s="219">
        <f>IF('5'!D24="","",'5'!D24)</f>
        <v>32418</v>
      </c>
      <c r="E24" s="17" t="str">
        <f>IF('5'!E24="","",'5'!E24)</f>
        <v>カスカヴェル</v>
      </c>
      <c r="F24" s="219">
        <f>IF('5'!F24="","",'5'!F24)</f>
        <v>57969</v>
      </c>
      <c r="G24" s="17" t="str">
        <f>IF('5'!G24="","",'5'!G24)</f>
        <v>ペガサス乗馬クラブ</v>
      </c>
    </row>
    <row r="25" spans="1:7" s="19" customFormat="1" ht="23.1" customHeight="1">
      <c r="A25" s="16" t="str">
        <f>IF('5'!A25="","",'5'!A25)</f>
        <v/>
      </c>
      <c r="B25" s="16">
        <f>IF('5'!B25="","",'5'!B25)</f>
        <v>12</v>
      </c>
      <c r="C25" s="17" t="str">
        <f>IF('5'!C25="","",'5'!C25)</f>
        <v>千葉　奈鶴</v>
      </c>
      <c r="D25" s="219">
        <f>IF('5'!D25="","",'5'!D25)</f>
        <v>20359</v>
      </c>
      <c r="E25" s="17" t="str">
        <f>IF('5'!E25="","",'5'!E25)</f>
        <v>イクスプロージョン</v>
      </c>
      <c r="F25" s="219">
        <f>IF('5'!F25="","",'5'!F25)</f>
        <v>61773</v>
      </c>
      <c r="G25" s="17" t="str">
        <f>IF('5'!G25="","",'5'!G25)</f>
        <v>ライディングクラブモーヴァン</v>
      </c>
    </row>
    <row r="26" spans="1:7" s="19" customFormat="1" ht="23.1" customHeight="1">
      <c r="A26" s="16" t="str">
        <f>IF('5'!A26="","",'5'!A26)</f>
        <v/>
      </c>
      <c r="B26" s="16">
        <f>IF('5'!B26="","",'5'!B26)</f>
        <v>13</v>
      </c>
      <c r="C26" s="17" t="str">
        <f>IF('5'!C26="","",'5'!C26)</f>
        <v>渡部　遼大</v>
      </c>
      <c r="D26" s="219">
        <f>IF('5'!D26="","",'5'!D26)</f>
        <v>33929</v>
      </c>
      <c r="E26" s="17" t="str">
        <f>IF('5'!E26="","",'5'!E26)</f>
        <v>キャリーズセブン</v>
      </c>
      <c r="F26" s="219">
        <f>IF('5'!F26="","",'5'!F26)</f>
        <v>58085</v>
      </c>
      <c r="G26" s="17" t="str">
        <f>IF('5'!G26="","",'5'!G26)</f>
        <v>北総乗馬クラブ</v>
      </c>
    </row>
    <row r="27" spans="1:7" s="19" customFormat="1" ht="23.1" customHeight="1">
      <c r="A27" s="16" t="str">
        <f>IF('5'!A27="","",'5'!A27)</f>
        <v/>
      </c>
      <c r="B27" s="16">
        <f>IF('5'!B27="","",'5'!B27)</f>
        <v>14</v>
      </c>
      <c r="C27" s="17" t="str">
        <f>IF('5'!C27="","",'5'!C27)</f>
        <v>岡本　雅海</v>
      </c>
      <c r="D27" s="219">
        <f>IF('5'!D27="","",'5'!D27)</f>
        <v>19572</v>
      </c>
      <c r="E27" s="17" t="str">
        <f>IF('5'!E27="","",'5'!E27)</f>
        <v>ココ</v>
      </c>
      <c r="F27" s="219">
        <f>IF('5'!F27="","",'5'!F27)</f>
        <v>59233</v>
      </c>
      <c r="G27" s="17" t="str">
        <f>IF('5'!G27="","",'5'!G27)</f>
        <v>岡本ライディングクラブJAPAN</v>
      </c>
    </row>
    <row r="28" spans="1:7" s="19" customFormat="1" ht="23.1" customHeight="1">
      <c r="A28" s="16" t="str">
        <f>IF('5'!A28="","",'5'!A28)</f>
        <v/>
      </c>
      <c r="B28" s="16">
        <f>IF('5'!B28="","",'5'!B28)</f>
        <v>15</v>
      </c>
      <c r="C28" s="17" t="str">
        <f>IF('5'!C28="","",'5'!C28)</f>
        <v>鈴木　正紀</v>
      </c>
      <c r="D28" s="219">
        <f>IF('5'!D28="","",'5'!D28)</f>
        <v>28816</v>
      </c>
      <c r="E28" s="17" t="str">
        <f>IF('5'!E28="","",'5'!E28)</f>
        <v>Sグランツ</v>
      </c>
      <c r="F28" s="219">
        <f>IF('5'!F28="","",'5'!F28)</f>
        <v>58420</v>
      </c>
      <c r="G28" s="17" t="str">
        <f>IF('5'!G28="","",'5'!G28)</f>
        <v>AOステーブル</v>
      </c>
    </row>
    <row r="29" spans="1:7" s="19" customFormat="1" ht="23.1" customHeight="1">
      <c r="A29" s="16" t="str">
        <f>IF('5'!A29="","",'5'!A29)</f>
        <v/>
      </c>
      <c r="B29" s="16">
        <f>IF('5'!B29="","",'5'!B29)</f>
        <v>16</v>
      </c>
      <c r="C29" s="17" t="str">
        <f>IF('5'!C29="","",'5'!C29)</f>
        <v>福島　大輔</v>
      </c>
      <c r="D29" s="219">
        <f>IF('5'!D29="","",'5'!D29)</f>
        <v>7270</v>
      </c>
      <c r="E29" s="17" t="str">
        <f>IF('5'!E29="","",'5'!E29)</f>
        <v>カステッロ</v>
      </c>
      <c r="F29" s="219">
        <f>IF('5'!F29="","",'5'!F29)</f>
        <v>60948</v>
      </c>
      <c r="G29" s="17" t="str">
        <f>IF('5'!G29="","",'5'!G29)</f>
        <v>STAR HORSES</v>
      </c>
    </row>
    <row r="30" spans="1:7" s="19" customFormat="1" ht="23.1" customHeight="1">
      <c r="A30" s="16" t="str">
        <f>IF('5'!A30="","",'5'!A30)</f>
        <v/>
      </c>
      <c r="B30" s="16">
        <f>IF('5'!B30="","",'5'!B30)</f>
        <v>17</v>
      </c>
      <c r="C30" s="17" t="str">
        <f>IF('5'!C30="","",'5'!C30)</f>
        <v>秋山　花吏奈</v>
      </c>
      <c r="D30" s="219">
        <f>IF('5'!D30="","",'5'!D30)</f>
        <v>32313</v>
      </c>
      <c r="E30" s="17" t="str">
        <f>IF('5'!E30="","",'5'!E30)</f>
        <v>プルプァズィガーZ</v>
      </c>
      <c r="F30" s="219">
        <f>IF('5'!F30="","",'5'!F30)</f>
        <v>58633</v>
      </c>
      <c r="G30" s="17" t="str">
        <f>IF('5'!G30="","",'5'!G30)</f>
        <v>Horse'sNewStage</v>
      </c>
    </row>
    <row r="31" spans="1:7" s="19" customFormat="1" ht="23.1" customHeight="1">
      <c r="A31" s="16" t="str">
        <f>IF('5'!A31="","",'5'!A31)</f>
        <v/>
      </c>
      <c r="B31" s="16">
        <f>IF('5'!B31="","",'5'!B31)</f>
        <v>18</v>
      </c>
      <c r="C31" s="17" t="str">
        <f>IF('5'!C31="","",'5'!C31)</f>
        <v>本間　唯純</v>
      </c>
      <c r="D31" s="219">
        <f>IF('5'!D31="","",'5'!D31)</f>
        <v>14546</v>
      </c>
      <c r="E31" s="17" t="str">
        <f>IF('5'!E31="","",'5'!E31)</f>
        <v>アーチー</v>
      </c>
      <c r="F31" s="219">
        <f>IF('5'!F31="","",'5'!F31)</f>
        <v>60834</v>
      </c>
      <c r="G31" s="17" t="str">
        <f>IF('5'!G31="","",'5'!G31)</f>
        <v>乗馬クラブクレイン神奈川</v>
      </c>
    </row>
    <row r="32" spans="1:7" s="19" customFormat="1" ht="23.1" customHeight="1">
      <c r="A32" s="16" t="str">
        <f>IF('5'!A32="","",'5'!A32)</f>
        <v/>
      </c>
      <c r="B32" s="16">
        <f>IF('5'!B32="","",'5'!B32)</f>
        <v>19</v>
      </c>
      <c r="C32" s="17" t="str">
        <f>IF('5'!C32="","",'5'!C32)</f>
        <v>津田　保乃香</v>
      </c>
      <c r="D32" s="219">
        <f>IF('5'!D32="","",'5'!D32)</f>
        <v>25255</v>
      </c>
      <c r="E32" s="17" t="str">
        <f>IF('5'!E32="","",'5'!E32)</f>
        <v>アレイオン</v>
      </c>
      <c r="F32" s="219">
        <f>IF('5'!F32="","",'5'!F32)</f>
        <v>59824</v>
      </c>
      <c r="G32" s="17" t="str">
        <f>IF('5'!G32="","",'5'!G32)</f>
        <v>乗馬クラブニューシーズン御殿場</v>
      </c>
    </row>
    <row r="33" spans="1:7" s="19" customFormat="1" ht="23.1" customHeight="1">
      <c r="A33" s="16" t="str">
        <f>IF('5'!A33="","",'5'!A33)</f>
        <v/>
      </c>
      <c r="B33" s="16">
        <f>IF('5'!B33="","",'5'!B33)</f>
        <v>20</v>
      </c>
      <c r="C33" s="17" t="str">
        <f>IF('5'!C33="","",'5'!C33)</f>
        <v>鈴木　良明</v>
      </c>
      <c r="D33" s="219">
        <f>IF('5'!D33="","",'5'!D33)</f>
        <v>26433</v>
      </c>
      <c r="E33" s="17" t="str">
        <f>IF('5'!E33="","",'5'!E33)</f>
        <v>フォルティス</v>
      </c>
      <c r="F33" s="219">
        <f>IF('5'!F33="","",'5'!F33)</f>
        <v>61240</v>
      </c>
      <c r="G33" s="17" t="str">
        <f>IF('5'!G33="","",'5'!G33)</f>
        <v>乗馬クラブクレイン神奈川</v>
      </c>
    </row>
    <row r="34" spans="1:7" s="19" customFormat="1" ht="23.1" customHeight="1">
      <c r="A34" s="16" t="str">
        <f>IF('5'!A34="","",'5'!A34)</f>
        <v/>
      </c>
      <c r="B34" s="16">
        <f>IF('5'!B34="","",'5'!B34)</f>
        <v>21</v>
      </c>
      <c r="C34" s="17" t="str">
        <f>IF('5'!C34="","",'5'!C34)</f>
        <v>古田　慶幸</v>
      </c>
      <c r="D34" s="219">
        <f>IF('5'!D34="","",'5'!D34)</f>
        <v>18386</v>
      </c>
      <c r="E34" s="17" t="str">
        <f>IF('5'!E34="","",'5'!E34)</f>
        <v>ドムヘァ</v>
      </c>
      <c r="F34" s="219">
        <f>IF('5'!F34="","",'5'!F34)</f>
        <v>59349</v>
      </c>
      <c r="G34" s="17" t="str">
        <f>IF('5'!G34="","",'5'!G34)</f>
        <v>riding team Regroup</v>
      </c>
    </row>
    <row r="35" spans="1:7" s="19" customFormat="1" ht="23.1" customHeight="1">
      <c r="A35" s="16" t="str">
        <f>IF('5'!A35="","",'5'!A35)</f>
        <v/>
      </c>
      <c r="B35" s="16">
        <f>IF('5'!B35="","",'5'!B35)</f>
        <v>22</v>
      </c>
      <c r="C35" s="17" t="str">
        <f>IF('5'!C35="","",'5'!C35)</f>
        <v>遠藤　めい</v>
      </c>
      <c r="D35" s="219">
        <f>IF('5'!D35="","",'5'!D35)</f>
        <v>27382</v>
      </c>
      <c r="E35" s="17" t="str">
        <f>IF('5'!E35="","",'5'!E35)</f>
        <v>カールブルー</v>
      </c>
      <c r="F35" s="219">
        <f>IF('5'!F35="","",'5'!F35)</f>
        <v>61157</v>
      </c>
      <c r="G35" s="17" t="str">
        <f>IF('5'!G35="","",'5'!G35)</f>
        <v>riding team Regroup</v>
      </c>
    </row>
    <row r="36" spans="1:7" s="19" customFormat="1" ht="23.1" customHeight="1">
      <c r="A36" s="16" t="str">
        <f>IF('5'!A36="","",'5'!A36)</f>
        <v/>
      </c>
      <c r="B36" s="16">
        <f>IF('5'!B36="","",'5'!B36)</f>
        <v>23</v>
      </c>
      <c r="C36" s="17" t="str">
        <f>IF('5'!C36="","",'5'!C36)</f>
        <v>林　義昌</v>
      </c>
      <c r="D36" s="219">
        <f>IF('5'!D36="","",'5'!D36)</f>
        <v>18717</v>
      </c>
      <c r="E36" s="17" t="str">
        <f>IF('5'!E36="","",'5'!E36)</f>
        <v>ラストドラフト</v>
      </c>
      <c r="F36" s="219">
        <f>IF('5'!F36="","",'5'!F36)</f>
        <v>61372</v>
      </c>
      <c r="G36" s="17" t="str">
        <f>IF('5'!G36="","",'5'!G36)</f>
        <v>北総乗馬クラブ</v>
      </c>
    </row>
    <row r="37" spans="1:7" s="19" customFormat="1" ht="23.1" customHeight="1">
      <c r="A37" s="16" t="str">
        <f>IF('5'!A37="","",'5'!A37)</f>
        <v/>
      </c>
      <c r="B37" s="16">
        <f>IF('5'!B37="","",'5'!B37)</f>
        <v>24</v>
      </c>
      <c r="C37" s="17" t="str">
        <f>IF('5'!C37="","",'5'!C37)</f>
        <v>村上　篤</v>
      </c>
      <c r="D37" s="219">
        <f>IF('5'!D37="","",'5'!D37)</f>
        <v>4416</v>
      </c>
      <c r="E37" s="17" t="str">
        <f>IF('5'!E37="","",'5'!E37)</f>
        <v>グレイスドリーム</v>
      </c>
      <c r="F37" s="219">
        <f>IF('5'!F37="","",'5'!F37)</f>
        <v>60825</v>
      </c>
      <c r="G37" s="17" t="str">
        <f>IF('5'!G37="","",'5'!G37)</f>
        <v>オリエント馬事センター</v>
      </c>
    </row>
    <row r="38" spans="1:7" s="19" customFormat="1" ht="23.1" customHeight="1">
      <c r="A38" s="16" t="str">
        <f>IF('5'!A38="","",'5'!A38)</f>
        <v/>
      </c>
      <c r="B38" s="16">
        <f>IF('5'!B38="","",'5'!B38)</f>
        <v>25</v>
      </c>
      <c r="C38" s="17" t="str">
        <f>IF('5'!C38="","",'5'!C38)</f>
        <v>川口　飛鳥</v>
      </c>
      <c r="D38" s="219">
        <f>IF('5'!D38="","",'5'!D38)</f>
        <v>27498</v>
      </c>
      <c r="E38" s="17" t="str">
        <f>IF('5'!E38="","",'5'!E38)</f>
        <v>ハーベスト</v>
      </c>
      <c r="F38" s="219">
        <f>IF('5'!F38="","",'5'!F38)</f>
        <v>57212</v>
      </c>
      <c r="G38" s="17" t="str">
        <f>IF('5'!G38="","",'5'!G38)</f>
        <v>ライディングクラブフジファーム</v>
      </c>
    </row>
    <row r="39" spans="1:7" s="19" customFormat="1" ht="23.1" customHeight="1">
      <c r="A39" s="16" t="str">
        <f>IF('5'!A39="","",'5'!A39)</f>
        <v/>
      </c>
      <c r="B39" s="16">
        <f>IF('5'!B39="","",'5'!B39)</f>
        <v>26</v>
      </c>
      <c r="C39" s="17" t="str">
        <f>IF('5'!C39="","",'5'!C39)</f>
        <v>堀田　駿</v>
      </c>
      <c r="D39" s="219">
        <f>IF('5'!D39="","",'5'!D39)</f>
        <v>28566</v>
      </c>
      <c r="E39" s="17" t="str">
        <f>IF('5'!E39="","",'5'!E39)</f>
        <v>ファンボーイHFP</v>
      </c>
      <c r="F39" s="219">
        <f>IF('5'!F39="","",'5'!F39)</f>
        <v>61794</v>
      </c>
      <c r="G39" s="17" t="str">
        <f>IF('5'!G39="","",'5'!G39)</f>
        <v>Horsequad</v>
      </c>
    </row>
    <row r="40" spans="1:7" s="19" customFormat="1" ht="23.1" customHeight="1">
      <c r="A40" s="16" t="str">
        <f>IF('5'!A40="","",'5'!A40)</f>
        <v/>
      </c>
      <c r="B40" s="16">
        <f>IF('5'!B40="","",'5'!B40)</f>
        <v>27</v>
      </c>
      <c r="C40" s="17" t="str">
        <f>IF('5'!C40="","",'5'!C40)</f>
        <v>増山　誠倫</v>
      </c>
      <c r="D40" s="219">
        <f>IF('5'!D40="","",'5'!D40)</f>
        <v>8082</v>
      </c>
      <c r="E40" s="17" t="str">
        <f>IF('5'!E40="","",'5'!E40)</f>
        <v>ウィングマン</v>
      </c>
      <c r="F40" s="219">
        <f>IF('5'!F40="","",'5'!F40)</f>
        <v>60439</v>
      </c>
      <c r="G40" s="17" t="str">
        <f>IF('5'!G40="","",'5'!G40)</f>
        <v>小山乗馬クラブ</v>
      </c>
    </row>
    <row r="41" spans="1:7" s="19" customFormat="1" ht="23.1" customHeight="1">
      <c r="A41" s="16" t="str">
        <f>IF('5'!A41="","",'5'!A41)</f>
        <v/>
      </c>
      <c r="B41" s="16">
        <f>IF('5'!B41="","",'5'!B41)</f>
        <v>28</v>
      </c>
      <c r="C41" s="17" t="str">
        <f>IF('5'!C41="","",'5'!C41)</f>
        <v>中垣　真歩</v>
      </c>
      <c r="D41" s="219">
        <f>IF('5'!D41="","",'5'!D41)</f>
        <v>33872</v>
      </c>
      <c r="E41" s="17" t="str">
        <f>IF('5'!E41="","",'5'!E41)</f>
        <v>スーパーカブHQD</v>
      </c>
      <c r="F41" s="219">
        <f>IF('5'!F41="","",'5'!F41)</f>
        <v>60703</v>
      </c>
      <c r="G41" s="17" t="str">
        <f>IF('5'!G41="","",'5'!G41)</f>
        <v>Horsequad</v>
      </c>
    </row>
    <row r="42" spans="1:7" s="19" customFormat="1" ht="23.1" customHeight="1">
      <c r="A42" s="16" t="str">
        <f>IF('5'!A42="","",'5'!A42)</f>
        <v/>
      </c>
      <c r="B42" s="16">
        <f>IF('5'!B42="","",'5'!B42)</f>
        <v>29</v>
      </c>
      <c r="C42" s="17" t="str">
        <f>IF('5'!C42="","",'5'!C42)</f>
        <v>増山　久佳</v>
      </c>
      <c r="D42" s="219">
        <f>IF('5'!D42="","",'5'!D42)</f>
        <v>10571</v>
      </c>
      <c r="E42" s="17" t="str">
        <f>IF('5'!E42="","",'5'!E42)</f>
        <v>エルピス</v>
      </c>
      <c r="F42" s="219">
        <f>IF('5'!F42="","",'5'!F42)</f>
        <v>61781</v>
      </c>
      <c r="G42" s="17" t="str">
        <f>IF('5'!G42="","",'5'!G42)</f>
        <v>小山乗馬クラブ</v>
      </c>
    </row>
    <row r="43" spans="1:7" s="19" customFormat="1" ht="23.1" customHeight="1">
      <c r="A43" s="16" t="str">
        <f>IF('5'!A43="","",'5'!A43)</f>
        <v/>
      </c>
      <c r="B43" s="16">
        <f>IF('5'!B43="","",'5'!B43)</f>
        <v>30</v>
      </c>
      <c r="C43" s="17" t="str">
        <f>IF('5'!C43="","",'5'!C43)</f>
        <v>福島　大輔</v>
      </c>
      <c r="D43" s="219">
        <f>IF('5'!D43="","",'5'!D43)</f>
        <v>7270</v>
      </c>
      <c r="E43" s="17" t="str">
        <f>IF('5'!E43="","",'5'!E43)</f>
        <v>アデラヴィーナス</v>
      </c>
      <c r="F43" s="219">
        <f>IF('5'!F43="","",'5'!F43)</f>
        <v>60672</v>
      </c>
      <c r="G43" s="17" t="str">
        <f>IF('5'!G43="","",'5'!G43)</f>
        <v>STAR HORSES</v>
      </c>
    </row>
    <row r="44" spans="1:7" ht="23.1" customHeight="1">
      <c r="A44" s="16" t="str">
        <f>IF('5'!A44="","",'5'!A44)</f>
        <v/>
      </c>
      <c r="B44" s="16">
        <f>IF('5'!B44="","",'5'!B44)</f>
        <v>31</v>
      </c>
      <c r="C44" s="17" t="str">
        <f>IF('5'!C44="","",'5'!C44)</f>
        <v/>
      </c>
      <c r="D44" s="219" t="str">
        <f>IF('5'!D44="","",'5'!D44)</f>
        <v/>
      </c>
      <c r="E44" s="17" t="str">
        <f>IF('5'!E44="","",'5'!E44)</f>
        <v/>
      </c>
      <c r="F44" s="219" t="str">
        <f>IF('5'!F44="","",'5'!F44)</f>
        <v/>
      </c>
      <c r="G44" s="17" t="str">
        <f>IF('5'!G44="","",'5'!G44)</f>
        <v/>
      </c>
    </row>
    <row r="45" spans="1:7" ht="23.1" customHeight="1">
      <c r="A45" s="16" t="str">
        <f>IF('5'!A45="","",'5'!A45)</f>
        <v/>
      </c>
      <c r="B45" s="16">
        <f>IF('5'!B45="","",'5'!B45)</f>
        <v>32</v>
      </c>
      <c r="C45" s="17" t="str">
        <f>IF('5'!C45="","",'5'!C45)</f>
        <v/>
      </c>
      <c r="D45" s="219" t="str">
        <f>IF('5'!D45="","",'5'!D45)</f>
        <v/>
      </c>
      <c r="E45" s="17" t="str">
        <f>IF('5'!E45="","",'5'!E45)</f>
        <v/>
      </c>
      <c r="F45" s="219" t="str">
        <f>IF('5'!F45="","",'5'!F45)</f>
        <v/>
      </c>
      <c r="G45" s="17" t="str">
        <f>IF('5'!G45="","",'5'!G45)</f>
        <v/>
      </c>
    </row>
    <row r="46" spans="1:7" ht="23.1" customHeight="1">
      <c r="A46" s="16" t="str">
        <f>IF('5'!A46="","",'5'!A46)</f>
        <v/>
      </c>
      <c r="B46" s="16">
        <f>IF('5'!B46="","",'5'!B46)</f>
        <v>33</v>
      </c>
      <c r="C46" s="17" t="str">
        <f>IF('5'!C46="","",'5'!C46)</f>
        <v/>
      </c>
      <c r="D46" s="219" t="str">
        <f>IF('5'!D46="","",'5'!D46)</f>
        <v/>
      </c>
      <c r="E46" s="17" t="str">
        <f>IF('5'!E46="","",'5'!E46)</f>
        <v/>
      </c>
      <c r="F46" s="219" t="str">
        <f>IF('5'!F46="","",'5'!F46)</f>
        <v/>
      </c>
      <c r="G46" s="17" t="str">
        <f>IF('5'!G46="","",'5'!G46)</f>
        <v/>
      </c>
    </row>
    <row r="47" spans="1:7" ht="23.1" customHeight="1">
      <c r="A47" s="16" t="str">
        <f>IF('5'!A47="","",'5'!A47)</f>
        <v/>
      </c>
      <c r="B47" s="16">
        <f>IF('5'!B47="","",'5'!B47)</f>
        <v>34</v>
      </c>
      <c r="C47" s="17" t="str">
        <f>IF('5'!C47="","",'5'!C47)</f>
        <v/>
      </c>
      <c r="D47" s="219" t="str">
        <f>IF('5'!D47="","",'5'!D47)</f>
        <v/>
      </c>
      <c r="E47" s="17" t="str">
        <f>IF('5'!E47="","",'5'!E47)</f>
        <v/>
      </c>
      <c r="F47" s="219" t="str">
        <f>IF('5'!F47="","",'5'!F47)</f>
        <v/>
      </c>
      <c r="G47" s="17" t="str">
        <f>IF('5'!G47="","",'5'!G47)</f>
        <v/>
      </c>
    </row>
    <row r="48" spans="1:7" ht="23.1" customHeight="1">
      <c r="A48" s="16" t="str">
        <f>IF('5'!A48="","",'5'!A48)</f>
        <v/>
      </c>
      <c r="B48" s="16">
        <f>IF('5'!B48="","",'5'!B48)</f>
        <v>35</v>
      </c>
      <c r="C48" s="17" t="str">
        <f>IF('5'!C48="","",'5'!C48)</f>
        <v/>
      </c>
      <c r="D48" s="219" t="str">
        <f>IF('5'!D48="","",'5'!D48)</f>
        <v/>
      </c>
      <c r="E48" s="17" t="str">
        <f>IF('5'!E48="","",'5'!E48)</f>
        <v/>
      </c>
      <c r="F48" s="219" t="str">
        <f>IF('5'!F48="","",'5'!F48)</f>
        <v/>
      </c>
      <c r="G48" s="17" t="str">
        <f>IF('5'!G48="","",'5'!G48)</f>
        <v/>
      </c>
    </row>
    <row r="49" spans="1:7" ht="23.1" customHeight="1">
      <c r="A49" s="16" t="str">
        <f>IF('5'!A49="","",'5'!A49)</f>
        <v/>
      </c>
      <c r="B49" s="16">
        <f>IF('5'!B49="","",'5'!B49)</f>
        <v>36</v>
      </c>
      <c r="C49" s="17" t="str">
        <f>IF('5'!C49="","",'5'!C49)</f>
        <v/>
      </c>
      <c r="D49" s="219" t="str">
        <f>IF('5'!D49="","",'5'!D49)</f>
        <v/>
      </c>
      <c r="E49" s="17" t="str">
        <f>IF('5'!E49="","",'5'!E49)</f>
        <v/>
      </c>
      <c r="F49" s="219" t="str">
        <f>IF('5'!F49="","",'5'!F49)</f>
        <v/>
      </c>
      <c r="G49" s="17" t="str">
        <f>IF('5'!G49="","",'5'!G49)</f>
        <v/>
      </c>
    </row>
    <row r="50" spans="1:7" ht="23.1" customHeight="1">
      <c r="A50" s="16" t="str">
        <f>IF('5'!A50="","",'5'!A50)</f>
        <v/>
      </c>
      <c r="B50" s="16">
        <f>IF('5'!B50="","",'5'!B50)</f>
        <v>37</v>
      </c>
      <c r="C50" s="17" t="str">
        <f>IF('5'!C50="","",'5'!C50)</f>
        <v/>
      </c>
      <c r="D50" s="219" t="str">
        <f>IF('5'!D50="","",'5'!D50)</f>
        <v/>
      </c>
      <c r="E50" s="17" t="str">
        <f>IF('5'!E50="","",'5'!E50)</f>
        <v/>
      </c>
      <c r="F50" s="219" t="str">
        <f>IF('5'!F50="","",'5'!F50)</f>
        <v/>
      </c>
      <c r="G50" s="17" t="str">
        <f>IF('5'!G50="","",'5'!G50)</f>
        <v/>
      </c>
    </row>
    <row r="51" spans="1:7" ht="23.1" customHeight="1">
      <c r="A51" s="16" t="str">
        <f>IF('5'!A51="","",'5'!A51)</f>
        <v/>
      </c>
      <c r="B51" s="16">
        <f>IF('5'!B51="","",'5'!B51)</f>
        <v>38</v>
      </c>
      <c r="C51" s="17" t="str">
        <f>IF('5'!C51="","",'5'!C51)</f>
        <v/>
      </c>
      <c r="D51" s="219" t="str">
        <f>IF('5'!D51="","",'5'!D51)</f>
        <v/>
      </c>
      <c r="E51" s="17" t="str">
        <f>IF('5'!E51="","",'5'!E51)</f>
        <v/>
      </c>
      <c r="F51" s="219" t="str">
        <f>IF('5'!F51="","",'5'!F51)</f>
        <v/>
      </c>
      <c r="G51" s="17" t="str">
        <f>IF('5'!G51="","",'5'!G51)</f>
        <v/>
      </c>
    </row>
    <row r="52" spans="1:7" ht="23.1" customHeight="1">
      <c r="A52" s="16" t="str">
        <f>IF('5'!A52="","",'5'!A52)</f>
        <v/>
      </c>
      <c r="B52" s="16">
        <f>IF('5'!B52="","",'5'!B52)</f>
        <v>39</v>
      </c>
      <c r="C52" s="17" t="str">
        <f>IF('5'!C52="","",'5'!C52)</f>
        <v/>
      </c>
      <c r="D52" s="219" t="str">
        <f>IF('5'!D52="","",'5'!D52)</f>
        <v/>
      </c>
      <c r="E52" s="17" t="str">
        <f>IF('5'!E52="","",'5'!E52)</f>
        <v/>
      </c>
      <c r="F52" s="219" t="str">
        <f>IF('5'!F52="","",'5'!F52)</f>
        <v/>
      </c>
      <c r="G52" s="17" t="str">
        <f>IF('5'!G52="","",'5'!G52)</f>
        <v/>
      </c>
    </row>
    <row r="53" spans="1:7" ht="23.1" customHeight="1">
      <c r="A53" s="16" t="str">
        <f>IF('5'!A53="","",'5'!A53)</f>
        <v/>
      </c>
      <c r="B53" s="16">
        <f>IF('5'!B53="","",'5'!B53)</f>
        <v>40</v>
      </c>
      <c r="C53" s="17" t="str">
        <f>IF('5'!C53="","",'5'!C53)</f>
        <v/>
      </c>
      <c r="D53" s="219" t="str">
        <f>IF('5'!D53="","",'5'!D53)</f>
        <v/>
      </c>
      <c r="E53" s="17" t="str">
        <f>IF('5'!E53="","",'5'!E53)</f>
        <v/>
      </c>
      <c r="F53" s="219" t="str">
        <f>IF('5'!F53="","",'5'!F53)</f>
        <v/>
      </c>
      <c r="G53" s="17" t="str">
        <f>IF('5'!G53="","",'5'!G53)</f>
        <v/>
      </c>
    </row>
    <row r="54" spans="1:7" ht="23.1" customHeight="1">
      <c r="A54" s="16" t="str">
        <f>IF('5'!A54="","",'5'!A54)</f>
        <v/>
      </c>
      <c r="B54" s="16">
        <f>IF('5'!B54="","",'5'!B54)</f>
        <v>41</v>
      </c>
      <c r="C54" s="17" t="str">
        <f>IF('5'!C54="","",'5'!C54)</f>
        <v/>
      </c>
      <c r="D54" s="219" t="str">
        <f>IF('5'!D54="","",'5'!D54)</f>
        <v/>
      </c>
      <c r="E54" s="17" t="str">
        <f>IF('5'!E54="","",'5'!E54)</f>
        <v/>
      </c>
      <c r="F54" s="219" t="str">
        <f>IF('5'!F54="","",'5'!F54)</f>
        <v/>
      </c>
      <c r="G54" s="17" t="str">
        <f>IF('5'!G54="","",'5'!G54)</f>
        <v/>
      </c>
    </row>
    <row r="55" spans="1:7" ht="23.1" customHeight="1">
      <c r="A55" s="16" t="str">
        <f>IF('5'!A55="","",'5'!A55)</f>
        <v/>
      </c>
      <c r="B55" s="16">
        <f>IF('5'!B55="","",'5'!B55)</f>
        <v>42</v>
      </c>
      <c r="C55" s="17" t="str">
        <f>IF('5'!C55="","",'5'!C55)</f>
        <v/>
      </c>
      <c r="D55" s="219" t="str">
        <f>IF('5'!D55="","",'5'!D55)</f>
        <v/>
      </c>
      <c r="E55" s="17" t="str">
        <f>IF('5'!E55="","",'5'!E55)</f>
        <v/>
      </c>
      <c r="F55" s="219" t="str">
        <f>IF('5'!F55="","",'5'!F55)</f>
        <v/>
      </c>
      <c r="G55" s="17" t="str">
        <f>IF('5'!G55="","",'5'!G55)</f>
        <v/>
      </c>
    </row>
    <row r="56" spans="1:7" ht="23.1" customHeight="1">
      <c r="A56" s="16" t="str">
        <f>IF('5'!A56="","",'5'!A56)</f>
        <v/>
      </c>
      <c r="B56" s="16" t="str">
        <f>IF('5'!B56="","",'5'!B56)</f>
        <v/>
      </c>
      <c r="C56" s="17" t="str">
        <f>IF('5'!C56="","",'5'!C56)</f>
        <v/>
      </c>
      <c r="D56" s="219" t="str">
        <f>IF('5'!D56="","",'5'!D56)</f>
        <v/>
      </c>
      <c r="E56" s="17" t="str">
        <f>IF('5'!E56="","",'5'!E56)</f>
        <v/>
      </c>
      <c r="F56" s="219" t="str">
        <f>IF('5'!F56="","",'5'!F56)</f>
        <v/>
      </c>
      <c r="G56" s="17" t="str">
        <f>IF('5'!G56="","",'5'!G56)</f>
        <v/>
      </c>
    </row>
    <row r="57" spans="1:7" ht="23.1" customHeight="1">
      <c r="A57" s="16" t="str">
        <f>IF('5'!A57="","",'5'!A57)</f>
        <v/>
      </c>
      <c r="B57" s="16" t="str">
        <f>IF('5'!B57="","",'5'!B57)</f>
        <v/>
      </c>
      <c r="C57" s="17" t="str">
        <f>IF('5'!C57="","",'5'!C57)</f>
        <v/>
      </c>
      <c r="D57" s="219" t="str">
        <f>IF('5'!D57="","",'5'!D57)</f>
        <v/>
      </c>
      <c r="E57" s="17" t="str">
        <f>IF('5'!E57="","",'5'!E57)</f>
        <v/>
      </c>
      <c r="F57" s="219" t="str">
        <f>IF('5'!F57="","",'5'!F57)</f>
        <v/>
      </c>
      <c r="G57" s="17" t="str">
        <f>IF('5'!G57="","",'5'!G57)</f>
        <v/>
      </c>
    </row>
    <row r="58" spans="1:7" ht="23.1" customHeight="1">
      <c r="A58" s="16" t="str">
        <f>IF('5'!A58="","",'5'!A58)</f>
        <v/>
      </c>
      <c r="B58" s="16" t="str">
        <f>IF('5'!B58="","",'5'!B58)</f>
        <v/>
      </c>
      <c r="C58" s="17" t="str">
        <f>IF('5'!C58="","",'5'!C58)</f>
        <v/>
      </c>
      <c r="D58" s="219" t="str">
        <f>IF('5'!D58="","",'5'!D58)</f>
        <v/>
      </c>
      <c r="E58" s="17" t="str">
        <f>IF('5'!E58="","",'5'!E58)</f>
        <v/>
      </c>
      <c r="F58" s="219" t="str">
        <f>IF('5'!F58="","",'5'!F58)</f>
        <v/>
      </c>
      <c r="G58" s="17" t="str">
        <f>IF('5'!G58="","",'5'!G58)</f>
        <v/>
      </c>
    </row>
    <row r="59" spans="1:7" ht="23.1" customHeight="1">
      <c r="A59" s="16" t="str">
        <f>IF('5'!A59="","",'5'!A59)</f>
        <v/>
      </c>
      <c r="B59" s="16" t="str">
        <f>IF('5'!B59="","",'5'!B59)</f>
        <v/>
      </c>
      <c r="C59" s="17" t="str">
        <f>IF('5'!C59="","",'5'!C59)</f>
        <v/>
      </c>
      <c r="D59" s="219" t="str">
        <f>IF('5'!D59="","",'5'!D59)</f>
        <v/>
      </c>
      <c r="E59" s="17" t="str">
        <f>IF('5'!E59="","",'5'!E59)</f>
        <v/>
      </c>
      <c r="F59" s="219" t="str">
        <f>IF('5'!F59="","",'5'!F59)</f>
        <v/>
      </c>
      <c r="G59" s="17" t="str">
        <f>IF('5'!G59="","",'5'!G59)</f>
        <v/>
      </c>
    </row>
    <row r="60" spans="1:7" ht="23.1" customHeight="1">
      <c r="A60" s="16" t="str">
        <f>IF('5'!A60="","",'5'!A60)</f>
        <v/>
      </c>
      <c r="B60" s="16" t="str">
        <f>IF('5'!B60="","",'5'!B60)</f>
        <v/>
      </c>
      <c r="C60" s="17" t="str">
        <f>IF('5'!C60="","",'5'!C60)</f>
        <v/>
      </c>
      <c r="D60" s="219" t="str">
        <f>IF('5'!D60="","",'5'!D60)</f>
        <v/>
      </c>
      <c r="E60" s="17" t="str">
        <f>IF('5'!E60="","",'5'!E60)</f>
        <v/>
      </c>
      <c r="F60" s="219" t="str">
        <f>IF('5'!F60="","",'5'!F60)</f>
        <v/>
      </c>
      <c r="G60" s="17" t="str">
        <f>IF('5'!G60="","",'5'!G60)</f>
        <v/>
      </c>
    </row>
    <row r="61" spans="1:7" ht="23.1" customHeight="1">
      <c r="A61" s="16" t="str">
        <f>IF('5'!A61="","",'5'!A61)</f>
        <v/>
      </c>
      <c r="B61" s="16" t="str">
        <f>IF('5'!B61="","",'5'!B61)</f>
        <v/>
      </c>
      <c r="C61" s="17" t="str">
        <f>IF('5'!C61="","",'5'!C61)</f>
        <v/>
      </c>
      <c r="D61" s="219" t="str">
        <f>IF('5'!D61="","",'5'!D61)</f>
        <v/>
      </c>
      <c r="E61" s="17" t="str">
        <f>IF('5'!E61="","",'5'!E61)</f>
        <v/>
      </c>
      <c r="F61" s="219" t="str">
        <f>IF('5'!F61="","",'5'!F61)</f>
        <v/>
      </c>
      <c r="G61" s="17" t="str">
        <f>IF('5'!G61="","",'5'!G61)</f>
        <v/>
      </c>
    </row>
    <row r="62" spans="1:7" ht="23.1" customHeight="1">
      <c r="A62" s="16" t="str">
        <f>IF('5'!A62="","",'5'!A62)</f>
        <v/>
      </c>
      <c r="B62" s="16" t="str">
        <f>IF('5'!B62="","",'5'!B62)</f>
        <v/>
      </c>
      <c r="C62" s="17" t="str">
        <f>IF('5'!C62="","",'5'!C62)</f>
        <v/>
      </c>
      <c r="D62" s="219" t="str">
        <f>IF('5'!D62="","",'5'!D62)</f>
        <v/>
      </c>
      <c r="E62" s="17" t="str">
        <f>IF('5'!E62="","",'5'!E62)</f>
        <v/>
      </c>
      <c r="F62" s="219" t="str">
        <f>IF('5'!F62="","",'5'!F62)</f>
        <v/>
      </c>
      <c r="G62" s="17" t="str">
        <f>IF('5'!G62="","",'5'!G62)</f>
        <v/>
      </c>
    </row>
    <row r="63" spans="1:7" ht="23.1" customHeight="1">
      <c r="A63" s="16" t="str">
        <f>IF('5'!A63="","",'5'!A63)</f>
        <v/>
      </c>
      <c r="B63" s="16" t="str">
        <f>IF('5'!B63="","",'5'!B63)</f>
        <v/>
      </c>
      <c r="C63" s="17" t="str">
        <f>IF('5'!C63="","",'5'!C63)</f>
        <v/>
      </c>
      <c r="D63" s="219" t="str">
        <f>IF('5'!D63="","",'5'!D63)</f>
        <v/>
      </c>
      <c r="E63" s="17" t="str">
        <f>IF('5'!E63="","",'5'!E63)</f>
        <v/>
      </c>
      <c r="F63" s="219" t="str">
        <f>IF('5'!F63="","",'5'!F63)</f>
        <v/>
      </c>
      <c r="G63" s="17" t="str">
        <f>IF('5'!G63="","",'5'!G63)</f>
        <v/>
      </c>
    </row>
    <row r="64" spans="1:7" ht="23.1" customHeight="1">
      <c r="A64" s="16" t="str">
        <f>IF('5'!A64="","",'5'!A64)</f>
        <v/>
      </c>
      <c r="B64" s="16" t="str">
        <f>IF('5'!B64="","",'5'!B64)</f>
        <v/>
      </c>
      <c r="C64" s="17" t="str">
        <f>IF('5'!C64="","",'5'!C64)</f>
        <v/>
      </c>
      <c r="D64" s="219" t="str">
        <f>IF('5'!D64="","",'5'!D64)</f>
        <v/>
      </c>
      <c r="E64" s="17" t="str">
        <f>IF('5'!E64="","",'5'!E64)</f>
        <v/>
      </c>
      <c r="F64" s="219" t="str">
        <f>IF('5'!F64="","",'5'!F64)</f>
        <v/>
      </c>
      <c r="G64" s="17" t="str">
        <f>IF('5'!G64="","",'5'!G64)</f>
        <v/>
      </c>
    </row>
    <row r="65" spans="1:7" ht="23.1" customHeight="1">
      <c r="A65" s="16" t="str">
        <f>IF('5'!A65="","",'5'!A65)</f>
        <v/>
      </c>
      <c r="B65" s="16" t="str">
        <f>IF('5'!B65="","",'5'!B65)</f>
        <v/>
      </c>
      <c r="C65" s="17" t="str">
        <f>IF('5'!C65="","",'5'!C65)</f>
        <v/>
      </c>
      <c r="D65" s="219" t="str">
        <f>IF('5'!D65="","",'5'!D65)</f>
        <v/>
      </c>
      <c r="E65" s="17" t="str">
        <f>IF('5'!E65="","",'5'!E65)</f>
        <v/>
      </c>
      <c r="F65" s="219" t="str">
        <f>IF('5'!F65="","",'5'!F65)</f>
        <v/>
      </c>
      <c r="G65" s="17" t="str">
        <f>IF('5'!G65="","",'5'!G65)</f>
        <v/>
      </c>
    </row>
    <row r="66" spans="1:7" ht="23.1" customHeight="1">
      <c r="A66" s="16" t="str">
        <f>IF('5'!A66="","",'5'!A66)</f>
        <v/>
      </c>
      <c r="B66" s="16" t="str">
        <f>IF('5'!B66="","",'5'!B66)</f>
        <v/>
      </c>
      <c r="C66" s="17" t="str">
        <f>IF('5'!C66="","",'5'!C66)</f>
        <v/>
      </c>
      <c r="D66" s="219" t="str">
        <f>IF('5'!D66="","",'5'!D66)</f>
        <v/>
      </c>
      <c r="E66" s="17" t="str">
        <f>IF('5'!E66="","",'5'!E66)</f>
        <v/>
      </c>
      <c r="F66" s="219" t="str">
        <f>IF('5'!F66="","",'5'!F66)</f>
        <v/>
      </c>
      <c r="G66" s="17" t="str">
        <f>IF('5'!G66="","",'5'!G66)</f>
        <v/>
      </c>
    </row>
    <row r="67" spans="1:7" ht="23.1" customHeight="1">
      <c r="A67" s="16" t="str">
        <f>IF('5'!A67="","",'5'!A67)</f>
        <v/>
      </c>
      <c r="B67" s="16" t="str">
        <f>IF('5'!B67="","",'5'!B67)</f>
        <v/>
      </c>
      <c r="C67" s="17" t="str">
        <f>IF('5'!C67="","",'5'!C67)</f>
        <v/>
      </c>
      <c r="D67" s="219" t="str">
        <f>IF('5'!D67="","",'5'!D67)</f>
        <v/>
      </c>
      <c r="E67" s="17" t="str">
        <f>IF('5'!E67="","",'5'!E67)</f>
        <v/>
      </c>
      <c r="F67" s="219" t="str">
        <f>IF('5'!F67="","",'5'!F67)</f>
        <v/>
      </c>
      <c r="G67" s="17" t="str">
        <f>IF('5'!G67="","",'5'!G67)</f>
        <v/>
      </c>
    </row>
    <row r="68" spans="1:7" ht="23.1" customHeight="1">
      <c r="A68" s="16" t="str">
        <f>IF('5'!A68="","",'5'!A68)</f>
        <v/>
      </c>
      <c r="B68" s="16" t="str">
        <f>IF('5'!B68="","",'5'!B68)</f>
        <v/>
      </c>
      <c r="C68" s="17" t="str">
        <f>IF('5'!C68="","",'5'!C68)</f>
        <v/>
      </c>
      <c r="D68" s="219" t="str">
        <f>IF('5'!D68="","",'5'!D68)</f>
        <v/>
      </c>
      <c r="E68" s="17" t="str">
        <f>IF('5'!E68="","",'5'!E68)</f>
        <v/>
      </c>
      <c r="F68" s="219" t="str">
        <f>IF('5'!F68="","",'5'!F68)</f>
        <v/>
      </c>
      <c r="G68" s="17" t="str">
        <f>IF('5'!G68="","",'5'!G68)</f>
        <v/>
      </c>
    </row>
    <row r="69" spans="1:7" ht="23.1" customHeight="1">
      <c r="A69" s="16" t="str">
        <f>IF('5'!A69="","",'5'!A69)</f>
        <v/>
      </c>
      <c r="B69" s="16" t="str">
        <f>IF('5'!B69="","",'5'!B69)</f>
        <v/>
      </c>
      <c r="C69" s="17" t="str">
        <f>IF('5'!C69="","",'5'!C69)</f>
        <v/>
      </c>
      <c r="D69" s="219" t="str">
        <f>IF('5'!D69="","",'5'!D69)</f>
        <v/>
      </c>
      <c r="E69" s="17" t="str">
        <f>IF('5'!E69="","",'5'!E69)</f>
        <v/>
      </c>
      <c r="F69" s="219" t="str">
        <f>IF('5'!F69="","",'5'!F69)</f>
        <v/>
      </c>
      <c r="G69" s="17" t="str">
        <f>IF('5'!G69="","",'5'!G69)</f>
        <v/>
      </c>
    </row>
    <row r="70" spans="1:7" ht="23.1" customHeight="1">
      <c r="A70" s="16" t="str">
        <f>IF('5'!A70="","",'5'!A70)</f>
        <v/>
      </c>
      <c r="B70" s="16" t="str">
        <f>IF('5'!B70="","",'5'!B70)</f>
        <v/>
      </c>
      <c r="C70" s="17" t="str">
        <f>IF('5'!C70="","",'5'!C70)</f>
        <v/>
      </c>
      <c r="D70" s="219" t="str">
        <f>IF('5'!D70="","",'5'!D70)</f>
        <v/>
      </c>
      <c r="E70" s="17" t="str">
        <f>IF('5'!E70="","",'5'!E70)</f>
        <v/>
      </c>
      <c r="F70" s="219" t="str">
        <f>IF('5'!F70="","",'5'!F70)</f>
        <v/>
      </c>
      <c r="G70" s="17" t="str">
        <f>IF('5'!G70="","",'5'!G70)</f>
        <v/>
      </c>
    </row>
    <row r="71" spans="1:7" ht="23.1" customHeight="1">
      <c r="A71" s="16" t="str">
        <f>IF('5'!A71="","",'5'!A71)</f>
        <v/>
      </c>
      <c r="B71" s="16" t="str">
        <f>IF('5'!B71="","",'5'!B71)</f>
        <v/>
      </c>
      <c r="C71" s="17" t="str">
        <f>IF('5'!C71="","",'5'!C71)</f>
        <v/>
      </c>
      <c r="D71" s="219" t="str">
        <f>IF('5'!D71="","",'5'!D71)</f>
        <v/>
      </c>
      <c r="E71" s="17" t="str">
        <f>IF('5'!E71="","",'5'!E71)</f>
        <v/>
      </c>
      <c r="F71" s="219" t="str">
        <f>IF('5'!F71="","",'5'!F71)</f>
        <v/>
      </c>
      <c r="G71" s="17" t="str">
        <f>IF('5'!G71="","",'5'!G71)</f>
        <v/>
      </c>
    </row>
    <row r="72" spans="1:7" ht="23.1" customHeight="1">
      <c r="A72" s="16" t="str">
        <f>IF('5'!A72="","",'5'!A72)</f>
        <v/>
      </c>
      <c r="B72" s="16" t="str">
        <f>IF('5'!B72="","",'5'!B72)</f>
        <v/>
      </c>
      <c r="C72" s="17" t="str">
        <f>IF('5'!C72="","",'5'!C72)</f>
        <v/>
      </c>
      <c r="D72" s="219" t="str">
        <f>IF('5'!D72="","",'5'!D72)</f>
        <v/>
      </c>
      <c r="E72" s="17" t="str">
        <f>IF('5'!E72="","",'5'!E72)</f>
        <v/>
      </c>
      <c r="F72" s="219" t="str">
        <f>IF('5'!F72="","",'5'!F72)</f>
        <v/>
      </c>
      <c r="G72" s="17" t="str">
        <f>IF('5'!G72="","",'5'!G72)</f>
        <v/>
      </c>
    </row>
    <row r="73" spans="1:7" ht="23.1" customHeight="1">
      <c r="A73" s="16" t="str">
        <f>IF('5'!A73="","",'5'!A73)</f>
        <v/>
      </c>
      <c r="B73" s="16" t="str">
        <f>IF('5'!B73="","",'5'!B73)</f>
        <v/>
      </c>
      <c r="C73" s="17" t="str">
        <f>IF('5'!C73="","",'5'!C73)</f>
        <v/>
      </c>
      <c r="D73" s="219" t="str">
        <f>IF('5'!D73="","",'5'!D73)</f>
        <v/>
      </c>
      <c r="E73" s="17" t="str">
        <f>IF('5'!E73="","",'5'!E73)</f>
        <v/>
      </c>
      <c r="F73" s="219" t="str">
        <f>IF('5'!F73="","",'5'!F73)</f>
        <v/>
      </c>
      <c r="G73" s="17" t="str">
        <f>IF('5'!G73="","",'5'!G73)</f>
        <v/>
      </c>
    </row>
    <row r="74" spans="1:7" ht="23.1" customHeight="1">
      <c r="A74" s="16" t="str">
        <f>IF('5'!A74="","",'5'!A74)</f>
        <v/>
      </c>
      <c r="B74" s="16" t="str">
        <f>IF('5'!B74="","",'5'!B74)</f>
        <v/>
      </c>
      <c r="C74" s="17" t="str">
        <f>IF('5'!C74="","",'5'!C74)</f>
        <v/>
      </c>
      <c r="D74" s="219" t="str">
        <f>IF('5'!D74="","",'5'!D74)</f>
        <v/>
      </c>
      <c r="E74" s="17" t="str">
        <f>IF('5'!E74="","",'5'!E74)</f>
        <v/>
      </c>
      <c r="F74" s="219" t="str">
        <f>IF('5'!F74="","",'5'!F74)</f>
        <v/>
      </c>
      <c r="G74" s="17" t="str">
        <f>IF('5'!G74="","",'5'!G74)</f>
        <v/>
      </c>
    </row>
    <row r="75" spans="1:7" ht="23.1" customHeight="1">
      <c r="A75" s="16" t="str">
        <f>IF('5'!A75="","",'5'!A75)</f>
        <v/>
      </c>
      <c r="B75" s="16" t="str">
        <f>IF('5'!B75="","",'5'!B75)</f>
        <v/>
      </c>
      <c r="C75" s="17" t="str">
        <f>IF('5'!C75="","",'5'!C75)</f>
        <v/>
      </c>
      <c r="D75" s="219" t="str">
        <f>IF('5'!D75="","",'5'!D75)</f>
        <v/>
      </c>
      <c r="E75" s="17" t="str">
        <f>IF('5'!E75="","",'5'!E75)</f>
        <v/>
      </c>
      <c r="F75" s="219" t="str">
        <f>IF('5'!F75="","",'5'!F75)</f>
        <v/>
      </c>
      <c r="G75" s="17" t="str">
        <f>IF('5'!G75="","",'5'!G75)</f>
        <v/>
      </c>
    </row>
    <row r="76" spans="1:7" ht="23.1" customHeight="1">
      <c r="A76" s="16" t="str">
        <f>IF('5'!A76="","",'5'!A76)</f>
        <v/>
      </c>
      <c r="B76" s="16" t="str">
        <f>IF('5'!B76="","",'5'!B76)</f>
        <v/>
      </c>
      <c r="C76" s="17" t="str">
        <f>IF('5'!C76="","",'5'!C76)</f>
        <v/>
      </c>
      <c r="D76" s="219" t="str">
        <f>IF('5'!D76="","",'5'!D76)</f>
        <v/>
      </c>
      <c r="E76" s="17" t="str">
        <f>IF('5'!E76="","",'5'!E76)</f>
        <v/>
      </c>
      <c r="F76" s="219" t="str">
        <f>IF('5'!F76="","",'5'!F76)</f>
        <v/>
      </c>
      <c r="G76" s="17" t="str">
        <f>IF('5'!G76="","",'5'!G76)</f>
        <v/>
      </c>
    </row>
    <row r="77" spans="1:7" ht="23.1" customHeight="1">
      <c r="A77" s="16" t="str">
        <f>IF('5'!A77="","",'5'!A77)</f>
        <v/>
      </c>
      <c r="B77" s="16" t="str">
        <f>IF('5'!B77="","",'5'!B77)</f>
        <v/>
      </c>
      <c r="C77" s="17" t="str">
        <f>IF('5'!C77="","",'5'!C77)</f>
        <v/>
      </c>
      <c r="D77" s="219" t="str">
        <f>IF('5'!D77="","",'5'!D77)</f>
        <v/>
      </c>
      <c r="E77" s="17" t="str">
        <f>IF('5'!E77="","",'5'!E77)</f>
        <v/>
      </c>
      <c r="F77" s="219" t="str">
        <f>IF('5'!F77="","",'5'!F77)</f>
        <v/>
      </c>
      <c r="G77" s="17" t="str">
        <f>IF('5'!G77="","",'5'!G77)</f>
        <v/>
      </c>
    </row>
    <row r="78" spans="1:7" ht="23.1" customHeight="1">
      <c r="A78" s="16" t="str">
        <f>IF('5'!A78="","",'5'!A78)</f>
        <v/>
      </c>
      <c r="B78" s="16" t="str">
        <f>IF('5'!B78="","",'5'!B78)</f>
        <v/>
      </c>
      <c r="C78" s="17" t="str">
        <f>IF('5'!C78="","",'5'!C78)</f>
        <v/>
      </c>
      <c r="D78" s="219" t="str">
        <f>IF('5'!D78="","",'5'!D78)</f>
        <v/>
      </c>
      <c r="E78" s="17" t="str">
        <f>IF('5'!E78="","",'5'!E78)</f>
        <v/>
      </c>
      <c r="F78" s="219" t="str">
        <f>IF('5'!F78="","",'5'!F78)</f>
        <v/>
      </c>
      <c r="G78" s="17" t="str">
        <f>IF('5'!G78="","",'5'!G78)</f>
        <v/>
      </c>
    </row>
    <row r="79" spans="1:7" ht="23.1" customHeight="1">
      <c r="A79" s="16" t="str">
        <f>IF('5'!A79="","",'5'!A79)</f>
        <v/>
      </c>
      <c r="B79" s="16" t="str">
        <f>IF('5'!B79="","",'5'!B79)</f>
        <v/>
      </c>
      <c r="C79" s="17" t="str">
        <f>IF('5'!C79="","",'5'!C79)</f>
        <v/>
      </c>
      <c r="D79" s="219" t="str">
        <f>IF('5'!D79="","",'5'!D79)</f>
        <v/>
      </c>
      <c r="E79" s="17" t="str">
        <f>IF('5'!E79="","",'5'!E79)</f>
        <v/>
      </c>
      <c r="F79" s="219" t="str">
        <f>IF('5'!F79="","",'5'!F79)</f>
        <v/>
      </c>
      <c r="G79" s="17" t="str">
        <f>IF('5'!G79="","",'5'!G79)</f>
        <v/>
      </c>
    </row>
    <row r="80" spans="1:7" ht="23.1" customHeight="1">
      <c r="A80" s="16" t="str">
        <f>IF('5'!A80="","",'5'!A80)</f>
        <v/>
      </c>
      <c r="B80" s="16" t="str">
        <f>IF('5'!B80="","",'5'!B80)</f>
        <v/>
      </c>
      <c r="C80" s="17" t="str">
        <f>IF('5'!C80="","",'5'!C80)</f>
        <v/>
      </c>
      <c r="D80" s="219" t="str">
        <f>IF('5'!D80="","",'5'!D80)</f>
        <v/>
      </c>
      <c r="E80" s="17" t="str">
        <f>IF('5'!E80="","",'5'!E80)</f>
        <v/>
      </c>
      <c r="F80" s="219" t="str">
        <f>IF('5'!F80="","",'5'!F80)</f>
        <v/>
      </c>
      <c r="G80" s="17" t="str">
        <f>IF('5'!G80="","",'5'!G80)</f>
        <v/>
      </c>
    </row>
    <row r="81" spans="1:7" ht="23.1" customHeight="1">
      <c r="A81" s="16" t="str">
        <f>IF('5'!A81="","",'5'!A81)</f>
        <v/>
      </c>
      <c r="B81" s="16" t="str">
        <f>IF('5'!B81="","",'5'!B81)</f>
        <v/>
      </c>
      <c r="C81" s="17" t="str">
        <f>IF('5'!C81="","",'5'!C81)</f>
        <v/>
      </c>
      <c r="D81" s="219" t="str">
        <f>IF('5'!D81="","",'5'!D81)</f>
        <v/>
      </c>
      <c r="E81" s="17" t="str">
        <f>IF('5'!E81="","",'5'!E81)</f>
        <v/>
      </c>
      <c r="F81" s="219" t="str">
        <f>IF('5'!F81="","",'5'!F81)</f>
        <v/>
      </c>
      <c r="G81" s="17" t="str">
        <f>IF('5'!G81="","",'5'!G81)</f>
        <v/>
      </c>
    </row>
    <row r="82" spans="1:7" ht="23.1" customHeight="1">
      <c r="A82" s="16" t="str">
        <f>IF('5'!A82="","",'5'!A82)</f>
        <v/>
      </c>
      <c r="B82" s="16" t="str">
        <f>IF('5'!B82="","",'5'!B82)</f>
        <v/>
      </c>
      <c r="C82" s="17" t="str">
        <f>IF('5'!C82="","",'5'!C82)</f>
        <v/>
      </c>
      <c r="D82" s="219" t="str">
        <f>IF('5'!D82="","",'5'!D82)</f>
        <v/>
      </c>
      <c r="E82" s="17" t="str">
        <f>IF('5'!E82="","",'5'!E82)</f>
        <v/>
      </c>
      <c r="F82" s="219" t="str">
        <f>IF('5'!F82="","",'5'!F82)</f>
        <v/>
      </c>
      <c r="G82" s="17" t="str">
        <f>IF('5'!G82="","",'5'!G82)</f>
        <v/>
      </c>
    </row>
    <row r="83" spans="1:7" ht="23.1" customHeight="1">
      <c r="A83" s="16" t="str">
        <f>IF('5'!A83="","",'5'!A83)</f>
        <v/>
      </c>
      <c r="B83" s="16" t="str">
        <f>IF('5'!B83="","",'5'!B83)</f>
        <v/>
      </c>
      <c r="C83" s="17" t="str">
        <f>IF('5'!C83="","",'5'!C83)</f>
        <v/>
      </c>
      <c r="D83" s="219" t="str">
        <f>IF('5'!D83="","",'5'!D83)</f>
        <v/>
      </c>
      <c r="E83" s="17" t="str">
        <f>IF('5'!E83="","",'5'!E83)</f>
        <v/>
      </c>
      <c r="F83" s="219" t="str">
        <f>IF('5'!F83="","",'5'!F83)</f>
        <v/>
      </c>
      <c r="G83" s="17" t="str">
        <f>IF('5'!G83="","",'5'!G83)</f>
        <v/>
      </c>
    </row>
    <row r="84" spans="1:7" ht="23.1" customHeight="1">
      <c r="A84" s="16" t="str">
        <f>IF('5'!A84="","",'5'!A84)</f>
        <v/>
      </c>
      <c r="B84" s="16" t="str">
        <f>IF('5'!B84="","",'5'!B84)</f>
        <v/>
      </c>
      <c r="C84" s="17" t="str">
        <f>IF('5'!C84="","",'5'!C84)</f>
        <v/>
      </c>
      <c r="D84" s="219" t="str">
        <f>IF('5'!D84="","",'5'!D84)</f>
        <v/>
      </c>
      <c r="E84" s="17" t="str">
        <f>IF('5'!E84="","",'5'!E84)</f>
        <v/>
      </c>
      <c r="F84" s="219" t="str">
        <f>IF('5'!F84="","",'5'!F84)</f>
        <v/>
      </c>
      <c r="G84" s="17" t="str">
        <f>IF('5'!G84="","",'5'!G84)</f>
        <v/>
      </c>
    </row>
    <row r="85" spans="1:7" ht="23.1" customHeight="1">
      <c r="A85" s="16" t="str">
        <f>IF('5'!A85="","",'5'!A85)</f>
        <v/>
      </c>
      <c r="B85" s="16" t="str">
        <f>IF('5'!B85="","",'5'!B85)</f>
        <v/>
      </c>
      <c r="C85" s="17" t="str">
        <f>IF('5'!C85="","",'5'!C85)</f>
        <v/>
      </c>
      <c r="D85" s="219" t="str">
        <f>IF('5'!D85="","",'5'!D85)</f>
        <v/>
      </c>
      <c r="E85" s="17" t="str">
        <f>IF('5'!E85="","",'5'!E85)</f>
        <v/>
      </c>
      <c r="F85" s="219" t="str">
        <f>IF('5'!F85="","",'5'!F85)</f>
        <v/>
      </c>
      <c r="G85" s="17" t="str">
        <f>IF('5'!G85="","",'5'!G85)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7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r:id="rId1"/>
  <headerFooter alignWithMargins="0">
    <oddHeader>&amp;R&amp;P/&amp;N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13A61-E2E8-4DF9-9484-09471F21661B}">
  <sheetPr codeName="Sheet8">
    <tabColor rgb="FF0070C0"/>
  </sheetPr>
  <dimension ref="A4:J16"/>
  <sheetViews>
    <sheetView topLeftCell="A3" workbookViewId="0">
      <selection activeCell="L15" sqref="L15"/>
    </sheetView>
  </sheetViews>
  <sheetFormatPr defaultColWidth="8.88671875" defaultRowHeight="30" customHeight="1"/>
  <cols>
    <col min="1" max="1" width="8.88671875" style="107"/>
    <col min="2" max="3" width="8.88671875" style="105"/>
    <col min="4" max="4" width="13.6640625" style="106" customWidth="1"/>
    <col min="5" max="5" width="13.33203125" style="105" bestFit="1" customWidth="1"/>
    <col min="6" max="16384" width="8.88671875" style="105"/>
  </cols>
  <sheetData>
    <row r="4" spans="1:10" ht="30" customHeight="1">
      <c r="A4" s="244" t="str">
        <f>'6_MD'!C7</f>
        <v xml:space="preserve">2026 Fuji Horse Show Autumn Grand Prix </v>
      </c>
      <c r="B4" s="244"/>
      <c r="C4" s="244"/>
      <c r="D4" s="244"/>
      <c r="E4" s="244"/>
      <c r="F4" s="244"/>
      <c r="G4" s="244"/>
      <c r="H4" s="244"/>
      <c r="I4" s="244"/>
      <c r="J4" s="244"/>
    </row>
    <row r="6" spans="1:10" ht="30" customHeight="1">
      <c r="A6" s="107" t="s">
        <v>41</v>
      </c>
      <c r="B6" s="110">
        <f>'6_MD'!B8</f>
        <v>6</v>
      </c>
      <c r="C6" s="105" t="s">
        <v>42</v>
      </c>
      <c r="D6" s="108" t="str">
        <f>'6_MD'!D8:F8</f>
        <v>Ｍ－Ｄ級障害飛越競技</v>
      </c>
    </row>
    <row r="8" spans="1:10" ht="30" customHeight="1">
      <c r="C8" s="105" t="s">
        <v>96</v>
      </c>
      <c r="E8" s="109" t="s">
        <v>101</v>
      </c>
    </row>
    <row r="9" spans="1:10" ht="30" customHeight="1">
      <c r="C9" s="105" t="s">
        <v>95</v>
      </c>
      <c r="E9" s="109" t="s">
        <v>102</v>
      </c>
      <c r="F9" s="105" t="s">
        <v>94</v>
      </c>
    </row>
    <row r="10" spans="1:10" ht="30" customHeight="1">
      <c r="A10" s="246" t="s">
        <v>98</v>
      </c>
      <c r="B10" s="246"/>
      <c r="C10" s="246"/>
      <c r="D10" s="246"/>
      <c r="E10" s="246"/>
      <c r="F10" s="246"/>
      <c r="G10" s="246"/>
      <c r="H10" s="246"/>
    </row>
    <row r="11" spans="1:10" ht="30" customHeight="1">
      <c r="C11" s="245"/>
      <c r="D11" s="245"/>
      <c r="E11" s="245"/>
      <c r="F11" s="245"/>
      <c r="G11" s="245"/>
    </row>
    <row r="12" spans="1:10" ht="30" customHeight="1">
      <c r="D12" s="105"/>
      <c r="F12" s="106"/>
      <c r="G12" s="106"/>
    </row>
    <row r="13" spans="1:10" ht="30" customHeight="1">
      <c r="D13" s="105"/>
      <c r="F13" s="106"/>
      <c r="G13" s="106"/>
    </row>
    <row r="14" spans="1:10" ht="30" customHeight="1">
      <c r="D14" s="105"/>
      <c r="G14" s="106"/>
    </row>
    <row r="15" spans="1:10" ht="30" customHeight="1">
      <c r="D15" s="105"/>
      <c r="G15" s="106"/>
    </row>
    <row r="16" spans="1:10" ht="30" customHeight="1">
      <c r="D16" s="108"/>
      <c r="E16" s="108"/>
      <c r="F16" s="108"/>
      <c r="G16" s="108"/>
    </row>
  </sheetData>
  <mergeCells count="3">
    <mergeCell ref="A4:J4"/>
    <mergeCell ref="C11:G11"/>
    <mergeCell ref="A10:H10"/>
  </mergeCells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70C0"/>
  </sheetPr>
  <dimension ref="A1:G73"/>
  <sheetViews>
    <sheetView view="pageBreakPreview" topLeftCell="A6" zoomScale="96" zoomScaleNormal="100" zoomScaleSheetLayoutView="96" workbookViewId="0">
      <selection activeCell="F13" sqref="F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'6'!C2</f>
        <v>0</v>
      </c>
      <c r="D6" s="3"/>
      <c r="F6" s="4" t="s">
        <v>2</v>
      </c>
      <c r="G6" s="6">
        <v>46276</v>
      </c>
    </row>
    <row r="7" spans="1:7" ht="24" customHeight="1">
      <c r="A7" s="7"/>
      <c r="B7" s="4" t="s">
        <v>4</v>
      </c>
      <c r="C7" s="8" t="str">
        <f>'6'!C3</f>
        <v xml:space="preserve">2026 Fuji Horse Show Autumn Grand Prix </v>
      </c>
      <c r="D7" s="9"/>
      <c r="E7" s="9"/>
      <c r="F7" s="9"/>
      <c r="G7" s="117" t="s">
        <v>727</v>
      </c>
    </row>
    <row r="8" spans="1:7" ht="21" customHeight="1">
      <c r="A8" s="10" t="s">
        <v>41</v>
      </c>
      <c r="B8" s="68">
        <f>'6'!C4</f>
        <v>6</v>
      </c>
      <c r="C8" s="4" t="s">
        <v>42</v>
      </c>
      <c r="D8" s="237" t="str">
        <f>'6'!F4</f>
        <v>Ｍ－Ｄ級障害飛越競技</v>
      </c>
      <c r="E8" s="237"/>
      <c r="F8" s="237"/>
    </row>
    <row r="9" spans="1:7" ht="18.75" customHeight="1">
      <c r="C9" s="11" t="s">
        <v>11</v>
      </c>
      <c r="D9" s="217" t="str">
        <f>'6'!D5</f>
        <v>-</v>
      </c>
      <c r="E9" s="4" t="s">
        <v>9</v>
      </c>
      <c r="F9" s="220" t="str">
        <f>'6'!K4</f>
        <v>-</v>
      </c>
    </row>
    <row r="10" spans="1:7" ht="21" customHeight="1">
      <c r="A10" s="12" t="s">
        <v>43</v>
      </c>
      <c r="B10" s="12"/>
      <c r="C10" s="12"/>
      <c r="D10" s="218" t="str">
        <f>'6'!D6</f>
        <v>-</v>
      </c>
      <c r="E10" s="4" t="s">
        <v>12</v>
      </c>
      <c r="F10" s="221" t="str">
        <f>'6'!F5</f>
        <v>-</v>
      </c>
      <c r="G10" s="13" t="s">
        <v>44</v>
      </c>
    </row>
    <row r="11" spans="1:7" ht="5.0999999999999996" customHeight="1"/>
    <row r="12" spans="1:7" ht="15" customHeight="1">
      <c r="A12" s="238" t="s">
        <v>45</v>
      </c>
      <c r="B12" s="240" t="s">
        <v>46</v>
      </c>
      <c r="C12" s="242" t="s">
        <v>47</v>
      </c>
      <c r="D12" s="243"/>
      <c r="E12" s="235" t="s">
        <v>48</v>
      </c>
      <c r="F12" s="235"/>
      <c r="G12" s="235" t="s">
        <v>49</v>
      </c>
    </row>
    <row r="13" spans="1:7" ht="24" customHeight="1">
      <c r="A13" s="239"/>
      <c r="B13" s="241"/>
      <c r="C13" s="14" t="s">
        <v>52</v>
      </c>
      <c r="D13" s="15" t="s">
        <v>53</v>
      </c>
      <c r="E13" s="15" t="s">
        <v>54</v>
      </c>
      <c r="F13" s="15" t="s">
        <v>55</v>
      </c>
      <c r="G13" s="236"/>
    </row>
    <row r="14" spans="1:7" s="19" customFormat="1" ht="23.1" customHeight="1">
      <c r="A14" s="16" t="str">
        <f>IF('6'!A14="","",'6'!A14)</f>
        <v>ＯＰ</v>
      </c>
      <c r="B14" s="16">
        <f>IF('6'!B14="","",'6'!B14)</f>
        <v>1</v>
      </c>
      <c r="C14" s="17" t="str">
        <f>IF('6'!C14="","",'6'!C14)</f>
        <v>鈴木　裕介</v>
      </c>
      <c r="D14" s="219">
        <f>IF('6'!D14="","",'6'!D14)</f>
        <v>23529</v>
      </c>
      <c r="E14" s="17" t="str">
        <f>IF('6'!E14="","",'6'!E14)</f>
        <v>マデスカ</v>
      </c>
      <c r="F14" s="219">
        <f>IF('6'!F14="","",'6'!F14)</f>
        <v>60944</v>
      </c>
      <c r="G14" s="17" t="str">
        <f>IF('6'!G14="","",'6'!G14)</f>
        <v>北駿ホースヴィラ</v>
      </c>
    </row>
    <row r="15" spans="1:7" s="19" customFormat="1" ht="23.1" customHeight="1">
      <c r="A15" s="16" t="str">
        <f>IF('6'!A15="","",'6'!A15)</f>
        <v/>
      </c>
      <c r="B15" s="16">
        <f>IF('6'!B15="","",'6'!B15)</f>
        <v>2</v>
      </c>
      <c r="C15" s="17" t="str">
        <f>IF('6'!C15="","",'6'!C15)</f>
        <v>増山　大治郎</v>
      </c>
      <c r="D15" s="219">
        <f>IF('6'!D15="","",'6'!D15)</f>
        <v>12159</v>
      </c>
      <c r="E15" s="17" t="str">
        <f>IF('6'!E15="","",'6'!E15)</f>
        <v>ジャバ</v>
      </c>
      <c r="F15" s="219">
        <f>IF('6'!F15="","",'6'!F15)</f>
        <v>61134</v>
      </c>
      <c r="G15" s="17" t="str">
        <f>IF('6'!G15="","",'6'!G15)</f>
        <v>筑波スカイラインスティーブル</v>
      </c>
    </row>
    <row r="16" spans="1:7" s="19" customFormat="1" ht="23.1" customHeight="1">
      <c r="A16" s="16" t="str">
        <f>IF('6'!A16="","",'6'!A16)</f>
        <v/>
      </c>
      <c r="B16" s="16">
        <f>IF('6'!B16="","",'6'!B16)</f>
        <v>3</v>
      </c>
      <c r="C16" s="17" t="str">
        <f>IF('6'!C16="","",'6'!C16)</f>
        <v>藤本　光国</v>
      </c>
      <c r="D16" s="219">
        <f>IF('6'!D16="","",'6'!D16)</f>
        <v>18834</v>
      </c>
      <c r="E16" s="17" t="str">
        <f>IF('6'!E16="","",'6'!E16)</f>
        <v>ドラゴネラ</v>
      </c>
      <c r="F16" s="219">
        <f>IF('6'!F16="","",'6'!F16)</f>
        <v>61895</v>
      </c>
      <c r="G16" s="17" t="str">
        <f>IF('6'!G16="","",'6'!G16)</f>
        <v>Horse'sNewStage</v>
      </c>
    </row>
    <row r="17" spans="1:7" s="19" customFormat="1" ht="23.1" customHeight="1">
      <c r="A17" s="16" t="str">
        <f>IF('6'!A17="","",'6'!A17)</f>
        <v/>
      </c>
      <c r="B17" s="16">
        <f>IF('6'!B17="","",'6'!B17)</f>
        <v>4</v>
      </c>
      <c r="C17" s="17" t="str">
        <f>IF('6'!C17="","",'6'!C17)</f>
        <v>渡邊　菜々美</v>
      </c>
      <c r="D17" s="219" t="str">
        <f>IF('6'!D17="","",'6'!D17)</f>
        <v>-</v>
      </c>
      <c r="E17" s="17" t="str">
        <f>IF('6'!E17="","",'6'!E17)</f>
        <v>紅陵</v>
      </c>
      <c r="F17" s="219">
        <f>IF('6'!F17="","",'6'!F17)</f>
        <v>58208</v>
      </c>
      <c r="G17" s="17" t="str">
        <f>IF('6'!G17="","",'6'!G17)</f>
        <v>拓殖大学馬術部</v>
      </c>
    </row>
    <row r="18" spans="1:7" s="19" customFormat="1" ht="23.1" customHeight="1">
      <c r="A18" s="16" t="str">
        <f>IF('6'!A18="","",'6'!A18)</f>
        <v/>
      </c>
      <c r="B18" s="16">
        <f>IF('6'!B18="","",'6'!B18)</f>
        <v>5</v>
      </c>
      <c r="C18" s="17" t="str">
        <f>IF('6'!C18="","",'6'!C18)</f>
        <v>木下　仁</v>
      </c>
      <c r="D18" s="219">
        <f>IF('6'!D18="","",'6'!D18)</f>
        <v>13449</v>
      </c>
      <c r="E18" s="17" t="str">
        <f>IF('6'!E18="","",'6'!E18)</f>
        <v>マデスカ</v>
      </c>
      <c r="F18" s="219">
        <f>IF('6'!F18="","",'6'!F18)</f>
        <v>60944</v>
      </c>
      <c r="G18" s="17" t="str">
        <f>IF('6'!G18="","",'6'!G18)</f>
        <v>北駿ホースヴィラ</v>
      </c>
    </row>
    <row r="19" spans="1:7" s="19" customFormat="1" ht="23.1" customHeight="1">
      <c r="A19" s="16" t="str">
        <f>IF('6'!A19="","",'6'!A19)</f>
        <v/>
      </c>
      <c r="B19" s="16">
        <f>IF('6'!B19="","",'6'!B19)</f>
        <v>6</v>
      </c>
      <c r="C19" s="17" t="str">
        <f>IF('6'!C19="","",'6'!C19)</f>
        <v/>
      </c>
      <c r="D19" s="219" t="str">
        <f>IF('6'!D19="","",'6'!D19)</f>
        <v/>
      </c>
      <c r="E19" s="17" t="str">
        <f>IF('6'!E19="","",'6'!E19)</f>
        <v/>
      </c>
      <c r="F19" s="219" t="str">
        <f>IF('6'!F19="","",'6'!F19)</f>
        <v/>
      </c>
      <c r="G19" s="17" t="str">
        <f>IF('6'!G19="","",'6'!G19)</f>
        <v/>
      </c>
    </row>
    <row r="20" spans="1:7" s="19" customFormat="1" ht="23.1" customHeight="1">
      <c r="A20" s="16" t="str">
        <f>IF('6'!A20="","",'6'!A20)</f>
        <v/>
      </c>
      <c r="B20" s="16">
        <f>IF('6'!B20="","",'6'!B20)</f>
        <v>7</v>
      </c>
      <c r="C20" s="17" t="str">
        <f>IF('6'!C20="","",'6'!C20)</f>
        <v/>
      </c>
      <c r="D20" s="219" t="str">
        <f>IF('6'!D20="","",'6'!D20)</f>
        <v/>
      </c>
      <c r="E20" s="17" t="str">
        <f>IF('6'!E20="","",'6'!E20)</f>
        <v/>
      </c>
      <c r="F20" s="219" t="str">
        <f>IF('6'!F20="","",'6'!F20)</f>
        <v/>
      </c>
      <c r="G20" s="17" t="str">
        <f>IF('6'!G20="","",'6'!G20)</f>
        <v/>
      </c>
    </row>
    <row r="21" spans="1:7" s="19" customFormat="1" ht="23.1" customHeight="1">
      <c r="A21" s="16" t="str">
        <f>IF('6'!A21="","",'6'!A21)</f>
        <v/>
      </c>
      <c r="B21" s="16">
        <f>IF('6'!B21="","",'6'!B21)</f>
        <v>8</v>
      </c>
      <c r="C21" s="17" t="str">
        <f>IF('6'!C21="","",'6'!C21)</f>
        <v/>
      </c>
      <c r="D21" s="219" t="str">
        <f>IF('6'!D21="","",'6'!D21)</f>
        <v/>
      </c>
      <c r="E21" s="17" t="str">
        <f>IF('6'!E21="","",'6'!E21)</f>
        <v/>
      </c>
      <c r="F21" s="219" t="str">
        <f>IF('6'!F21="","",'6'!F21)</f>
        <v/>
      </c>
      <c r="G21" s="17" t="str">
        <f>IF('6'!G21="","",'6'!G21)</f>
        <v/>
      </c>
    </row>
    <row r="22" spans="1:7" s="19" customFormat="1" ht="23.1" customHeight="1">
      <c r="A22" s="16" t="str">
        <f>IF('6'!A22="","",'6'!A22)</f>
        <v/>
      </c>
      <c r="B22" s="16">
        <f>IF('6'!B22="","",'6'!B22)</f>
        <v>9</v>
      </c>
      <c r="C22" s="17" t="str">
        <f>IF('6'!C22="","",'6'!C22)</f>
        <v/>
      </c>
      <c r="D22" s="219" t="str">
        <f>IF('6'!D22="","",'6'!D22)</f>
        <v/>
      </c>
      <c r="E22" s="17" t="str">
        <f>IF('6'!E22="","",'6'!E22)</f>
        <v/>
      </c>
      <c r="F22" s="219" t="str">
        <f>IF('6'!F22="","",'6'!F22)</f>
        <v/>
      </c>
      <c r="G22" s="17" t="str">
        <f>IF('6'!G22="","",'6'!G22)</f>
        <v/>
      </c>
    </row>
    <row r="23" spans="1:7" s="19" customFormat="1" ht="23.1" customHeight="1">
      <c r="A23" s="16" t="str">
        <f>IF('6'!A23="","",'6'!A23)</f>
        <v/>
      </c>
      <c r="B23" s="16">
        <f>IF('6'!B23="","",'6'!B23)</f>
        <v>10</v>
      </c>
      <c r="C23" s="17" t="str">
        <f>IF('6'!C23="","",'6'!C23)</f>
        <v/>
      </c>
      <c r="D23" s="219" t="str">
        <f>IF('6'!D23="","",'6'!D23)</f>
        <v/>
      </c>
      <c r="E23" s="17" t="str">
        <f>IF('6'!E23="","",'6'!E23)</f>
        <v/>
      </c>
      <c r="F23" s="219" t="str">
        <f>IF('6'!F23="","",'6'!F23)</f>
        <v/>
      </c>
      <c r="G23" s="17" t="str">
        <f>IF('6'!G23="","",'6'!G23)</f>
        <v/>
      </c>
    </row>
    <row r="24" spans="1:7" s="19" customFormat="1" ht="23.1" customHeight="1">
      <c r="A24" s="16" t="str">
        <f>IF('6'!A24="","",'6'!A24)</f>
        <v/>
      </c>
      <c r="B24" s="16">
        <f>IF('6'!B24="","",'6'!B24)</f>
        <v>11</v>
      </c>
      <c r="C24" s="17" t="str">
        <f>IF('6'!C24="","",'6'!C24)</f>
        <v/>
      </c>
      <c r="D24" s="219" t="str">
        <f>IF('6'!D24="","",'6'!D24)</f>
        <v/>
      </c>
      <c r="E24" s="17" t="str">
        <f>IF('6'!E24="","",'6'!E24)</f>
        <v/>
      </c>
      <c r="F24" s="219" t="str">
        <f>IF('6'!F24="","",'6'!F24)</f>
        <v/>
      </c>
      <c r="G24" s="17" t="str">
        <f>IF('6'!G24="","",'6'!G24)</f>
        <v/>
      </c>
    </row>
    <row r="25" spans="1:7" s="19" customFormat="1" ht="23.1" customHeight="1">
      <c r="A25" s="16" t="str">
        <f>IF('6'!A25="","",'6'!A25)</f>
        <v/>
      </c>
      <c r="B25" s="16">
        <f>IF('6'!B25="","",'6'!B25)</f>
        <v>12</v>
      </c>
      <c r="C25" s="17" t="str">
        <f>IF('6'!C25="","",'6'!C25)</f>
        <v/>
      </c>
      <c r="D25" s="219" t="str">
        <f>IF('6'!D25="","",'6'!D25)</f>
        <v/>
      </c>
      <c r="E25" s="17" t="str">
        <f>IF('6'!E25="","",'6'!E25)</f>
        <v/>
      </c>
      <c r="F25" s="219" t="str">
        <f>IF('6'!F25="","",'6'!F25)</f>
        <v/>
      </c>
      <c r="G25" s="17" t="str">
        <f>IF('6'!G25="","",'6'!G25)</f>
        <v/>
      </c>
    </row>
    <row r="26" spans="1:7" s="19" customFormat="1" ht="23.1" customHeight="1">
      <c r="A26" s="16" t="str">
        <f>IF('6'!A26="","",'6'!A26)</f>
        <v/>
      </c>
      <c r="B26" s="16">
        <f>IF('6'!B26="","",'6'!B26)</f>
        <v>13</v>
      </c>
      <c r="C26" s="17" t="str">
        <f>IF('6'!C26="","",'6'!C26)</f>
        <v/>
      </c>
      <c r="D26" s="219" t="str">
        <f>IF('6'!D26="","",'6'!D26)</f>
        <v/>
      </c>
      <c r="E26" s="17" t="str">
        <f>IF('6'!E26="","",'6'!E26)</f>
        <v/>
      </c>
      <c r="F26" s="219" t="str">
        <f>IF('6'!F26="","",'6'!F26)</f>
        <v/>
      </c>
      <c r="G26" s="17" t="str">
        <f>IF('6'!G26="","",'6'!G26)</f>
        <v/>
      </c>
    </row>
    <row r="27" spans="1:7" s="19" customFormat="1" ht="23.1" customHeight="1">
      <c r="A27" s="16" t="str">
        <f>IF('6'!A27="","",'6'!A27)</f>
        <v/>
      </c>
      <c r="B27" s="16">
        <f>IF('6'!B27="","",'6'!B27)</f>
        <v>14</v>
      </c>
      <c r="C27" s="17" t="str">
        <f>IF('6'!C27="","",'6'!C27)</f>
        <v/>
      </c>
      <c r="D27" s="219" t="str">
        <f>IF('6'!D27="","",'6'!D27)</f>
        <v/>
      </c>
      <c r="E27" s="17" t="str">
        <f>IF('6'!E27="","",'6'!E27)</f>
        <v/>
      </c>
      <c r="F27" s="219" t="str">
        <f>IF('6'!F27="","",'6'!F27)</f>
        <v/>
      </c>
      <c r="G27" s="17" t="str">
        <f>IF('6'!G27="","",'6'!G27)</f>
        <v/>
      </c>
    </row>
    <row r="28" spans="1:7" s="19" customFormat="1" ht="23.1" customHeight="1">
      <c r="A28" s="16" t="str">
        <f>IF('6'!A28="","",'6'!A28)</f>
        <v/>
      </c>
      <c r="B28" s="16">
        <f>IF('6'!B28="","",'6'!B28)</f>
        <v>15</v>
      </c>
      <c r="C28" s="17" t="str">
        <f>IF('6'!C28="","",'6'!C28)</f>
        <v/>
      </c>
      <c r="D28" s="219" t="str">
        <f>IF('6'!D28="","",'6'!D28)</f>
        <v/>
      </c>
      <c r="E28" s="17" t="str">
        <f>IF('6'!E28="","",'6'!E28)</f>
        <v/>
      </c>
      <c r="F28" s="219" t="str">
        <f>IF('6'!F28="","",'6'!F28)</f>
        <v/>
      </c>
      <c r="G28" s="17" t="str">
        <f>IF('6'!G28="","",'6'!G28)</f>
        <v/>
      </c>
    </row>
    <row r="29" spans="1:7" s="19" customFormat="1" ht="23.1" customHeight="1">
      <c r="A29" s="16" t="str">
        <f>IF('6'!A29="","",'6'!A29)</f>
        <v/>
      </c>
      <c r="B29" s="16">
        <f>IF('6'!B29="","",'6'!B29)</f>
        <v>16</v>
      </c>
      <c r="C29" s="17" t="str">
        <f>IF('6'!C29="","",'6'!C29)</f>
        <v/>
      </c>
      <c r="D29" s="219" t="str">
        <f>IF('6'!D29="","",'6'!D29)</f>
        <v/>
      </c>
      <c r="E29" s="17" t="str">
        <f>IF('6'!E29="","",'6'!E29)</f>
        <v/>
      </c>
      <c r="F29" s="219" t="str">
        <f>IF('6'!F29="","",'6'!F29)</f>
        <v/>
      </c>
      <c r="G29" s="17" t="str">
        <f>IF('6'!G29="","",'6'!G29)</f>
        <v/>
      </c>
    </row>
    <row r="30" spans="1:7" s="19" customFormat="1" ht="23.1" customHeight="1">
      <c r="A30" s="16" t="str">
        <f>IF('6'!A30="","",'6'!A30)</f>
        <v/>
      </c>
      <c r="B30" s="16">
        <f>IF('6'!B30="","",'6'!B30)</f>
        <v>17</v>
      </c>
      <c r="C30" s="17" t="str">
        <f>IF('6'!C30="","",'6'!C30)</f>
        <v/>
      </c>
      <c r="D30" s="219" t="str">
        <f>IF('6'!D30="","",'6'!D30)</f>
        <v/>
      </c>
      <c r="E30" s="17" t="str">
        <f>IF('6'!E30="","",'6'!E30)</f>
        <v/>
      </c>
      <c r="F30" s="219" t="str">
        <f>IF('6'!F30="","",'6'!F30)</f>
        <v/>
      </c>
      <c r="G30" s="17" t="str">
        <f>IF('6'!G30="","",'6'!G30)</f>
        <v/>
      </c>
    </row>
    <row r="31" spans="1:7" s="19" customFormat="1" ht="23.1" customHeight="1">
      <c r="A31" s="16" t="str">
        <f>IF('6'!A31="","",'6'!A31)</f>
        <v/>
      </c>
      <c r="B31" s="16">
        <f>IF('6'!B31="","",'6'!B31)</f>
        <v>18</v>
      </c>
      <c r="C31" s="17" t="str">
        <f>IF('6'!C31="","",'6'!C31)</f>
        <v/>
      </c>
      <c r="D31" s="219" t="str">
        <f>IF('6'!D31="","",'6'!D31)</f>
        <v/>
      </c>
      <c r="E31" s="17" t="str">
        <f>IF('6'!E31="","",'6'!E31)</f>
        <v/>
      </c>
      <c r="F31" s="219" t="str">
        <f>IF('6'!F31="","",'6'!F31)</f>
        <v/>
      </c>
      <c r="G31" s="17" t="str">
        <f>IF('6'!G31="","",'6'!G31)</f>
        <v/>
      </c>
    </row>
    <row r="32" spans="1:7" s="19" customFormat="1" ht="23.1" customHeight="1">
      <c r="A32" s="16" t="str">
        <f>IF('6'!A32="","",'6'!A32)</f>
        <v/>
      </c>
      <c r="B32" s="16">
        <f>IF('6'!B32="","",'6'!B32)</f>
        <v>19</v>
      </c>
      <c r="C32" s="17" t="str">
        <f>IF('6'!C32="","",'6'!C32)</f>
        <v/>
      </c>
      <c r="D32" s="219" t="str">
        <f>IF('6'!D32="","",'6'!D32)</f>
        <v/>
      </c>
      <c r="E32" s="17" t="str">
        <f>IF('6'!E32="","",'6'!E32)</f>
        <v/>
      </c>
      <c r="F32" s="219" t="str">
        <f>IF('6'!F32="","",'6'!F32)</f>
        <v/>
      </c>
      <c r="G32" s="17" t="str">
        <f>IF('6'!G32="","",'6'!G32)</f>
        <v/>
      </c>
    </row>
    <row r="33" spans="1:7" s="19" customFormat="1" ht="23.1" customHeight="1">
      <c r="A33" s="16" t="str">
        <f>IF('6'!A33="","",'6'!A33)</f>
        <v/>
      </c>
      <c r="B33" s="16">
        <f>IF('6'!B33="","",'6'!B33)</f>
        <v>20</v>
      </c>
      <c r="C33" s="17" t="str">
        <f>IF('6'!C33="","",'6'!C33)</f>
        <v/>
      </c>
      <c r="D33" s="219" t="str">
        <f>IF('6'!D33="","",'6'!D33)</f>
        <v/>
      </c>
      <c r="E33" s="17" t="str">
        <f>IF('6'!E33="","",'6'!E33)</f>
        <v/>
      </c>
      <c r="F33" s="219" t="str">
        <f>IF('6'!F33="","",'6'!F33)</f>
        <v/>
      </c>
      <c r="G33" s="17" t="str">
        <f>IF('6'!G33="","",'6'!G33)</f>
        <v/>
      </c>
    </row>
    <row r="34" spans="1:7" s="19" customFormat="1" ht="23.1" customHeight="1">
      <c r="A34" s="16" t="str">
        <f>IF('6'!A34="","",'6'!A34)</f>
        <v/>
      </c>
      <c r="B34" s="16">
        <f>IF('6'!B34="","",'6'!B34)</f>
        <v>21</v>
      </c>
      <c r="C34" s="17" t="str">
        <f>IF('6'!C34="","",'6'!C34)</f>
        <v/>
      </c>
      <c r="D34" s="219" t="str">
        <f>IF('6'!D34="","",'6'!D34)</f>
        <v/>
      </c>
      <c r="E34" s="17" t="str">
        <f>IF('6'!E34="","",'6'!E34)</f>
        <v/>
      </c>
      <c r="F34" s="219" t="str">
        <f>IF('6'!F34="","",'6'!F34)</f>
        <v/>
      </c>
      <c r="G34" s="17" t="str">
        <f>IF('6'!G34="","",'6'!G34)</f>
        <v/>
      </c>
    </row>
    <row r="35" spans="1:7" s="19" customFormat="1" ht="23.1" customHeight="1">
      <c r="A35" s="16" t="str">
        <f>IF('6'!A35="","",'6'!A35)</f>
        <v/>
      </c>
      <c r="B35" s="16">
        <f>IF('6'!B35="","",'6'!B35)</f>
        <v>22</v>
      </c>
      <c r="C35" s="17" t="str">
        <f>IF('6'!C35="","",'6'!C35)</f>
        <v/>
      </c>
      <c r="D35" s="219" t="str">
        <f>IF('6'!D35="","",'6'!D35)</f>
        <v/>
      </c>
      <c r="E35" s="17" t="str">
        <f>IF('6'!E35="","",'6'!E35)</f>
        <v/>
      </c>
      <c r="F35" s="219" t="str">
        <f>IF('6'!F35="","",'6'!F35)</f>
        <v/>
      </c>
      <c r="G35" s="17" t="str">
        <f>IF('6'!G35="","",'6'!G35)</f>
        <v/>
      </c>
    </row>
    <row r="36" spans="1:7" s="19" customFormat="1" ht="23.1" customHeight="1">
      <c r="A36" s="16" t="str">
        <f>IF('6'!A36="","",'6'!A36)</f>
        <v/>
      </c>
      <c r="B36" s="16">
        <f>IF('6'!B36="","",'6'!B36)</f>
        <v>23</v>
      </c>
      <c r="C36" s="17" t="str">
        <f>IF('6'!C36="","",'6'!C36)</f>
        <v/>
      </c>
      <c r="D36" s="219" t="str">
        <f>IF('6'!D36="","",'6'!D36)</f>
        <v/>
      </c>
      <c r="E36" s="17" t="str">
        <f>IF('6'!E36="","",'6'!E36)</f>
        <v/>
      </c>
      <c r="F36" s="219" t="str">
        <f>IF('6'!F36="","",'6'!F36)</f>
        <v/>
      </c>
      <c r="G36" s="17" t="str">
        <f>IF('6'!G36="","",'6'!G36)</f>
        <v/>
      </c>
    </row>
    <row r="37" spans="1:7" s="19" customFormat="1" ht="23.1" customHeight="1">
      <c r="A37" s="16" t="str">
        <f>IF('6'!A37="","",'6'!A37)</f>
        <v/>
      </c>
      <c r="B37" s="16">
        <f>IF('6'!B37="","",'6'!B37)</f>
        <v>24</v>
      </c>
      <c r="C37" s="17" t="str">
        <f>IF('6'!C37="","",'6'!C37)</f>
        <v/>
      </c>
      <c r="D37" s="219" t="str">
        <f>IF('6'!D37="","",'6'!D37)</f>
        <v/>
      </c>
      <c r="E37" s="17" t="str">
        <f>IF('6'!E37="","",'6'!E37)</f>
        <v/>
      </c>
      <c r="F37" s="219" t="str">
        <f>IF('6'!F37="","",'6'!F37)</f>
        <v/>
      </c>
      <c r="G37" s="17" t="str">
        <f>IF('6'!G37="","",'6'!G37)</f>
        <v/>
      </c>
    </row>
    <row r="38" spans="1:7" s="19" customFormat="1" ht="23.1" customHeight="1">
      <c r="A38" s="16" t="str">
        <f>IF('6'!A38="","",'6'!A38)</f>
        <v/>
      </c>
      <c r="B38" s="16">
        <f>IF('6'!B38="","",'6'!B38)</f>
        <v>25</v>
      </c>
      <c r="C38" s="17" t="str">
        <f>IF('6'!C38="","",'6'!C38)</f>
        <v/>
      </c>
      <c r="D38" s="219" t="str">
        <f>IF('6'!D38="","",'6'!D38)</f>
        <v/>
      </c>
      <c r="E38" s="17" t="str">
        <f>IF('6'!E38="","",'6'!E38)</f>
        <v/>
      </c>
      <c r="F38" s="219" t="str">
        <f>IF('6'!F38="","",'6'!F38)</f>
        <v/>
      </c>
      <c r="G38" s="17" t="str">
        <f>IF('6'!G38="","",'6'!G38)</f>
        <v/>
      </c>
    </row>
    <row r="39" spans="1:7" s="19" customFormat="1" ht="23.1" customHeight="1">
      <c r="A39" s="16" t="str">
        <f>IF('6'!A39="","",'6'!A39)</f>
        <v/>
      </c>
      <c r="B39" s="16">
        <f>IF('6'!B39="","",'6'!B39)</f>
        <v>26</v>
      </c>
      <c r="C39" s="17" t="str">
        <f>IF('6'!C39="","",'6'!C39)</f>
        <v/>
      </c>
      <c r="D39" s="219" t="str">
        <f>IF('6'!D39="","",'6'!D39)</f>
        <v/>
      </c>
      <c r="E39" s="17" t="str">
        <f>IF('6'!E39="","",'6'!E39)</f>
        <v/>
      </c>
      <c r="F39" s="219" t="str">
        <f>IF('6'!F39="","",'6'!F39)</f>
        <v/>
      </c>
      <c r="G39" s="17" t="str">
        <f>IF('6'!G39="","",'6'!G39)</f>
        <v/>
      </c>
    </row>
    <row r="40" spans="1:7" s="19" customFormat="1" ht="23.1" customHeight="1">
      <c r="A40" s="16" t="str">
        <f>IF('6'!A40="","",'6'!A40)</f>
        <v/>
      </c>
      <c r="B40" s="16">
        <f>IF('6'!B40="","",'6'!B40)</f>
        <v>27</v>
      </c>
      <c r="C40" s="17" t="str">
        <f>IF('6'!C40="","",'6'!C40)</f>
        <v/>
      </c>
      <c r="D40" s="219" t="str">
        <f>IF('6'!D40="","",'6'!D40)</f>
        <v/>
      </c>
      <c r="E40" s="17" t="str">
        <f>IF('6'!E40="","",'6'!E40)</f>
        <v/>
      </c>
      <c r="F40" s="219" t="str">
        <f>IF('6'!F40="","",'6'!F40)</f>
        <v/>
      </c>
      <c r="G40" s="17" t="str">
        <f>IF('6'!G40="","",'6'!G40)</f>
        <v/>
      </c>
    </row>
    <row r="41" spans="1:7" s="19" customFormat="1" ht="23.1" customHeight="1">
      <c r="A41" s="16" t="str">
        <f>IF('6'!A41="","",'6'!A41)</f>
        <v/>
      </c>
      <c r="B41" s="16">
        <f>IF('6'!B41="","",'6'!B41)</f>
        <v>28</v>
      </c>
      <c r="C41" s="17" t="str">
        <f>IF('6'!C41="","",'6'!C41)</f>
        <v/>
      </c>
      <c r="D41" s="219" t="str">
        <f>IF('6'!D41="","",'6'!D41)</f>
        <v/>
      </c>
      <c r="E41" s="17" t="str">
        <f>IF('6'!E41="","",'6'!E41)</f>
        <v/>
      </c>
      <c r="F41" s="219" t="str">
        <f>IF('6'!F41="","",'6'!F41)</f>
        <v/>
      </c>
      <c r="G41" s="17" t="str">
        <f>IF('6'!G41="","",'6'!G41)</f>
        <v/>
      </c>
    </row>
    <row r="42" spans="1:7" s="19" customFormat="1" ht="23.1" customHeight="1">
      <c r="A42" s="16" t="str">
        <f>IF('6'!A42="","",'6'!A42)</f>
        <v/>
      </c>
      <c r="B42" s="16">
        <f>IF('6'!B42="","",'6'!B42)</f>
        <v>29</v>
      </c>
      <c r="C42" s="17" t="str">
        <f>IF('6'!C42="","",'6'!C42)</f>
        <v/>
      </c>
      <c r="D42" s="219" t="str">
        <f>IF('6'!D42="","",'6'!D42)</f>
        <v/>
      </c>
      <c r="E42" s="17" t="str">
        <f>IF('6'!E42="","",'6'!E42)</f>
        <v/>
      </c>
      <c r="F42" s="219" t="str">
        <f>IF('6'!F42="","",'6'!F42)</f>
        <v/>
      </c>
      <c r="G42" s="17" t="str">
        <f>IF('6'!G42="","",'6'!G42)</f>
        <v/>
      </c>
    </row>
    <row r="43" spans="1:7" s="19" customFormat="1" ht="23.1" customHeight="1">
      <c r="A43" s="16" t="str">
        <f>IF('6'!A43="","",'6'!A43)</f>
        <v/>
      </c>
      <c r="B43" s="16">
        <f>IF('6'!B43="","",'6'!B43)</f>
        <v>30</v>
      </c>
      <c r="C43" s="17" t="str">
        <f>IF('6'!C43="","",'6'!C43)</f>
        <v/>
      </c>
      <c r="D43" s="219" t="str">
        <f>IF('6'!D43="","",'6'!D43)</f>
        <v/>
      </c>
      <c r="E43" s="17" t="str">
        <f>IF('6'!E43="","",'6'!E43)</f>
        <v/>
      </c>
      <c r="F43" s="219" t="str">
        <f>IF('6'!F43="","",'6'!F43)</f>
        <v/>
      </c>
      <c r="G43" s="17" t="str">
        <f>IF('6'!G43="","",'6'!G43)</f>
        <v/>
      </c>
    </row>
    <row r="44" spans="1:7" ht="23.1" customHeight="1">
      <c r="A44" s="16" t="str">
        <f>IF('6'!A44="","",'6'!A44)</f>
        <v/>
      </c>
      <c r="B44" s="16" t="str">
        <f>IF('6'!B44="","",'6'!B44)</f>
        <v/>
      </c>
      <c r="C44" s="17" t="str">
        <f>IF('6'!C44="","",'6'!C44)</f>
        <v/>
      </c>
      <c r="D44" s="219" t="str">
        <f>IF('6'!D44="","",'6'!D44)</f>
        <v/>
      </c>
      <c r="E44" s="17" t="str">
        <f>IF('6'!E44="","",'6'!E44)</f>
        <v/>
      </c>
      <c r="F44" s="219" t="str">
        <f>IF('6'!F44="","",'6'!F44)</f>
        <v/>
      </c>
      <c r="G44" s="17" t="str">
        <f>IF('6'!G44="","",'6'!G44)</f>
        <v/>
      </c>
    </row>
    <row r="45" spans="1:7" ht="23.1" customHeight="1">
      <c r="A45" s="16" t="str">
        <f>IF('6'!A45="","",'6'!A45)</f>
        <v/>
      </c>
      <c r="B45" s="16" t="str">
        <f>IF('6'!B45="","",'6'!B45)</f>
        <v/>
      </c>
      <c r="C45" s="17" t="str">
        <f>IF('6'!C45="","",'6'!C45)</f>
        <v/>
      </c>
      <c r="D45" s="219" t="str">
        <f>IF('6'!D45="","",'6'!D45)</f>
        <v/>
      </c>
      <c r="E45" s="17" t="str">
        <f>IF('6'!E45="","",'6'!E45)</f>
        <v/>
      </c>
      <c r="F45" s="219" t="str">
        <f>IF('6'!F45="","",'6'!F45)</f>
        <v/>
      </c>
      <c r="G45" s="17" t="str">
        <f>IF('6'!G45="","",'6'!G45)</f>
        <v/>
      </c>
    </row>
    <row r="46" spans="1:7" ht="23.1" customHeight="1">
      <c r="A46" s="16" t="str">
        <f>IF('6'!A46="","",'6'!A46)</f>
        <v/>
      </c>
      <c r="B46" s="16" t="str">
        <f>IF('6'!B46="","",'6'!B46)</f>
        <v/>
      </c>
      <c r="C46" s="17" t="str">
        <f>IF('6'!C46="","",'6'!C46)</f>
        <v/>
      </c>
      <c r="D46" s="219" t="str">
        <f>IF('6'!D46="","",'6'!D46)</f>
        <v/>
      </c>
      <c r="E46" s="17" t="str">
        <f>IF('6'!E46="","",'6'!E46)</f>
        <v/>
      </c>
      <c r="F46" s="219" t="str">
        <f>IF('6'!F46="","",'6'!F46)</f>
        <v/>
      </c>
      <c r="G46" s="17" t="str">
        <f>IF('6'!G46="","",'6'!G46)</f>
        <v/>
      </c>
    </row>
    <row r="47" spans="1:7" ht="23.1" customHeight="1">
      <c r="A47" s="16" t="str">
        <f>IF('6'!A47="","",'6'!A47)</f>
        <v/>
      </c>
      <c r="B47" s="16" t="str">
        <f>IF('6'!B47="","",'6'!B47)</f>
        <v/>
      </c>
      <c r="C47" s="17" t="str">
        <f>IF('6'!C47="","",'6'!C47)</f>
        <v/>
      </c>
      <c r="D47" s="219" t="str">
        <f>IF('6'!D47="","",'6'!D47)</f>
        <v/>
      </c>
      <c r="E47" s="17" t="str">
        <f>IF('6'!E47="","",'6'!E47)</f>
        <v/>
      </c>
      <c r="F47" s="219" t="str">
        <f>IF('6'!F47="","",'6'!F47)</f>
        <v/>
      </c>
      <c r="G47" s="17" t="str">
        <f>IF('6'!G47="","",'6'!G47)</f>
        <v/>
      </c>
    </row>
    <row r="48" spans="1:7" ht="23.1" customHeight="1">
      <c r="A48" s="16" t="str">
        <f>IF('6'!A48="","",'6'!A48)</f>
        <v/>
      </c>
      <c r="B48" s="16" t="str">
        <f>IF('6'!B48="","",'6'!B48)</f>
        <v/>
      </c>
      <c r="C48" s="17" t="str">
        <f>IF('6'!C48="","",'6'!C48)</f>
        <v/>
      </c>
      <c r="D48" s="219" t="str">
        <f>IF('6'!D48="","",'6'!D48)</f>
        <v/>
      </c>
      <c r="E48" s="17" t="str">
        <f>IF('6'!E48="","",'6'!E48)</f>
        <v/>
      </c>
      <c r="F48" s="219" t="str">
        <f>IF('6'!F48="","",'6'!F48)</f>
        <v/>
      </c>
      <c r="G48" s="17" t="str">
        <f>IF('6'!G48="","",'6'!G48)</f>
        <v/>
      </c>
    </row>
    <row r="49" spans="1:7" ht="23.1" customHeight="1">
      <c r="A49" s="16" t="str">
        <f>IF('6'!A49="","",'6'!A49)</f>
        <v/>
      </c>
      <c r="B49" s="16" t="str">
        <f>IF('6'!B49="","",'6'!B49)</f>
        <v/>
      </c>
      <c r="C49" s="17" t="str">
        <f>IF('6'!C49="","",'6'!C49)</f>
        <v/>
      </c>
      <c r="D49" s="219" t="str">
        <f>IF('6'!D49="","",'6'!D49)</f>
        <v/>
      </c>
      <c r="E49" s="17" t="str">
        <f>IF('6'!E49="","",'6'!E49)</f>
        <v/>
      </c>
      <c r="F49" s="219" t="str">
        <f>IF('6'!F49="","",'6'!F49)</f>
        <v/>
      </c>
      <c r="G49" s="17" t="str">
        <f>IF('6'!G49="","",'6'!G49)</f>
        <v/>
      </c>
    </row>
    <row r="50" spans="1:7" ht="23.1" customHeight="1">
      <c r="A50" s="16" t="str">
        <f>IF('6'!A50="","",'6'!A50)</f>
        <v/>
      </c>
      <c r="B50" s="16" t="str">
        <f>IF('6'!B50="","",'6'!B50)</f>
        <v/>
      </c>
      <c r="C50" s="17" t="str">
        <f>IF('6'!C50="","",'6'!C50)</f>
        <v/>
      </c>
      <c r="D50" s="219" t="str">
        <f>IF('6'!D50="","",'6'!D50)</f>
        <v/>
      </c>
      <c r="E50" s="17" t="str">
        <f>IF('6'!E50="","",'6'!E50)</f>
        <v/>
      </c>
      <c r="F50" s="219" t="str">
        <f>IF('6'!F50="","",'6'!F50)</f>
        <v/>
      </c>
      <c r="G50" s="17" t="str">
        <f>IF('6'!G50="","",'6'!G50)</f>
        <v/>
      </c>
    </row>
    <row r="51" spans="1:7" ht="23.1" customHeight="1">
      <c r="A51" s="16" t="str">
        <f>IF('6'!A51="","",'6'!A51)</f>
        <v/>
      </c>
      <c r="B51" s="16" t="str">
        <f>IF('6'!B51="","",'6'!B51)</f>
        <v/>
      </c>
      <c r="C51" s="17" t="str">
        <f>IF('6'!C51="","",'6'!C51)</f>
        <v/>
      </c>
      <c r="D51" s="219" t="str">
        <f>IF('6'!D51="","",'6'!D51)</f>
        <v/>
      </c>
      <c r="E51" s="17" t="str">
        <f>IF('6'!E51="","",'6'!E51)</f>
        <v/>
      </c>
      <c r="F51" s="219" t="str">
        <f>IF('6'!F51="","",'6'!F51)</f>
        <v/>
      </c>
      <c r="G51" s="17" t="str">
        <f>IF('6'!G51="","",'6'!G51)</f>
        <v/>
      </c>
    </row>
    <row r="52" spans="1:7" ht="23.1" customHeight="1">
      <c r="A52" s="16" t="str">
        <f>IF('6'!A52="","",'6'!A52)</f>
        <v/>
      </c>
      <c r="B52" s="16" t="str">
        <f>IF('6'!B52="","",'6'!B52)</f>
        <v/>
      </c>
      <c r="C52" s="17" t="str">
        <f>IF('6'!C52="","",'6'!C52)</f>
        <v/>
      </c>
      <c r="D52" s="219" t="str">
        <f>IF('6'!D52="","",'6'!D52)</f>
        <v/>
      </c>
      <c r="E52" s="17" t="str">
        <f>IF('6'!E52="","",'6'!E52)</f>
        <v/>
      </c>
      <c r="F52" s="219" t="str">
        <f>IF('6'!F52="","",'6'!F52)</f>
        <v/>
      </c>
      <c r="G52" s="17" t="str">
        <f>IF('6'!G52="","",'6'!G52)</f>
        <v/>
      </c>
    </row>
    <row r="53" spans="1:7" ht="23.1" customHeight="1">
      <c r="A53" s="16" t="str">
        <f>IF('6'!A53="","",'6'!A53)</f>
        <v/>
      </c>
      <c r="B53" s="16" t="str">
        <f>IF('6'!B53="","",'6'!B53)</f>
        <v/>
      </c>
      <c r="C53" s="17" t="str">
        <f>IF('6'!C53="","",'6'!C53)</f>
        <v/>
      </c>
      <c r="D53" s="219" t="str">
        <f>IF('6'!D53="","",'6'!D53)</f>
        <v/>
      </c>
      <c r="E53" s="17" t="str">
        <f>IF('6'!E53="","",'6'!E53)</f>
        <v/>
      </c>
      <c r="F53" s="219" t="str">
        <f>IF('6'!F53="","",'6'!F53)</f>
        <v/>
      </c>
      <c r="G53" s="17" t="str">
        <f>IF('6'!G53="","",'6'!G53)</f>
        <v/>
      </c>
    </row>
    <row r="54" spans="1:7" ht="23.1" customHeight="1">
      <c r="A54" s="16" t="str">
        <f>IF('6'!A54="","",'6'!A54)</f>
        <v/>
      </c>
      <c r="B54" s="16" t="str">
        <f>IF('6'!B54="","",'6'!B54)</f>
        <v/>
      </c>
      <c r="C54" s="17" t="str">
        <f>IF('6'!C54="","",'6'!C54)</f>
        <v/>
      </c>
      <c r="D54" s="219" t="str">
        <f>IF('6'!D54="","",'6'!D54)</f>
        <v/>
      </c>
      <c r="E54" s="17" t="str">
        <f>IF('6'!E54="","",'6'!E54)</f>
        <v/>
      </c>
      <c r="F54" s="219" t="str">
        <f>IF('6'!F54="","",'6'!F54)</f>
        <v/>
      </c>
      <c r="G54" s="17" t="str">
        <f>IF('6'!G54="","",'6'!G54)</f>
        <v/>
      </c>
    </row>
    <row r="55" spans="1:7" ht="23.1" customHeight="1">
      <c r="A55" s="16" t="str">
        <f>IF('6'!A55="","",'6'!A55)</f>
        <v/>
      </c>
      <c r="B55" s="16" t="str">
        <f>IF('6'!B55="","",'6'!B55)</f>
        <v/>
      </c>
      <c r="C55" s="17" t="str">
        <f>IF('6'!C55="","",'6'!C55)</f>
        <v/>
      </c>
      <c r="D55" s="219" t="str">
        <f>IF('6'!D55="","",'6'!D55)</f>
        <v/>
      </c>
      <c r="E55" s="17" t="str">
        <f>IF('6'!E55="","",'6'!E55)</f>
        <v/>
      </c>
      <c r="F55" s="219" t="str">
        <f>IF('6'!F55="","",'6'!F55)</f>
        <v/>
      </c>
      <c r="G55" s="17" t="str">
        <f>IF('6'!G55="","",'6'!G55)</f>
        <v/>
      </c>
    </row>
    <row r="56" spans="1:7" ht="23.1" customHeight="1">
      <c r="A56" s="16" t="str">
        <f>IF('6'!A56="","",'6'!A56)</f>
        <v/>
      </c>
      <c r="B56" s="16" t="str">
        <f>IF('6'!B56="","",'6'!B56)</f>
        <v/>
      </c>
      <c r="C56" s="17" t="str">
        <f>IF('6'!C56="","",'6'!C56)</f>
        <v/>
      </c>
      <c r="D56" s="219" t="str">
        <f>IF('6'!D56="","",'6'!D56)</f>
        <v/>
      </c>
      <c r="E56" s="17" t="str">
        <f>IF('6'!E56="","",'6'!E56)</f>
        <v/>
      </c>
      <c r="F56" s="219" t="str">
        <f>IF('6'!F56="","",'6'!F56)</f>
        <v/>
      </c>
      <c r="G56" s="17" t="str">
        <f>IF('6'!G56="","",'6'!G56)</f>
        <v/>
      </c>
    </row>
    <row r="57" spans="1:7" ht="23.1" customHeight="1">
      <c r="A57" s="16" t="str">
        <f>IF('6'!A56="","",'6'!A56)</f>
        <v/>
      </c>
      <c r="B57" s="16" t="str">
        <f>IF('6'!B56="","",'6'!B56)</f>
        <v/>
      </c>
      <c r="C57" s="17" t="str">
        <f>IF('6'!C56="","",'6'!C56)</f>
        <v/>
      </c>
      <c r="D57" s="219" t="str">
        <f>IF('6'!D56="","",'6'!D56)</f>
        <v/>
      </c>
      <c r="E57" s="17" t="str">
        <f>IF('6'!E56="","",'6'!E56)</f>
        <v/>
      </c>
      <c r="F57" s="219" t="str">
        <f>IF('6'!F56="","",'6'!F56)</f>
        <v/>
      </c>
      <c r="G57" s="17" t="str">
        <f>IF('6'!G56="","",'6'!G56)</f>
        <v/>
      </c>
    </row>
    <row r="58" spans="1:7" ht="23.1" customHeight="1">
      <c r="A58" s="16" t="str">
        <f>IF('6'!A57="","",'6'!A57)</f>
        <v/>
      </c>
      <c r="B58" s="16" t="str">
        <f>IF('6'!B57="","",'6'!B57)</f>
        <v/>
      </c>
      <c r="C58" s="17" t="str">
        <f>IF('6'!C57="","",'6'!C57)</f>
        <v/>
      </c>
      <c r="D58" s="219" t="str">
        <f>IF('6'!D57="","",'6'!D57)</f>
        <v/>
      </c>
      <c r="E58" s="17" t="str">
        <f>IF('6'!E57="","",'6'!E57)</f>
        <v/>
      </c>
      <c r="F58" s="219" t="str">
        <f>IF('6'!F57="","",'6'!F57)</f>
        <v/>
      </c>
      <c r="G58" s="17" t="str">
        <f>IF('6'!G57="","",'6'!G57)</f>
        <v/>
      </c>
    </row>
    <row r="59" spans="1:7" ht="23.1" customHeight="1">
      <c r="A59" s="16" t="str">
        <f>IF('6'!A58="","",'6'!A58)</f>
        <v/>
      </c>
      <c r="B59" s="16" t="str">
        <f>IF('6'!B58="","",'6'!B58)</f>
        <v/>
      </c>
      <c r="C59" s="17" t="str">
        <f>IF('6'!C58="","",'6'!C58)</f>
        <v/>
      </c>
      <c r="D59" s="219" t="str">
        <f>IF('6'!D58="","",'6'!D58)</f>
        <v/>
      </c>
      <c r="E59" s="17" t="str">
        <f>IF('6'!E58="","",'6'!E58)</f>
        <v/>
      </c>
      <c r="F59" s="219" t="str">
        <f>IF('6'!F58="","",'6'!F58)</f>
        <v/>
      </c>
      <c r="G59" s="17" t="str">
        <f>IF('6'!G58="","",'6'!G58)</f>
        <v/>
      </c>
    </row>
    <row r="60" spans="1:7" ht="23.1" customHeight="1">
      <c r="A60" s="16" t="str">
        <f>IF('6'!A59="","",'6'!A59)</f>
        <v/>
      </c>
      <c r="B60" s="16" t="str">
        <f>IF('6'!B59="","",'6'!B59)</f>
        <v/>
      </c>
      <c r="C60" s="17" t="str">
        <f>IF('6'!C59="","",'6'!C59)</f>
        <v/>
      </c>
      <c r="D60" s="219" t="str">
        <f>IF('6'!D59="","",'6'!D59)</f>
        <v/>
      </c>
      <c r="E60" s="17" t="str">
        <f>IF('6'!E59="","",'6'!E59)</f>
        <v/>
      </c>
      <c r="F60" s="219" t="str">
        <f>IF('6'!F59="","",'6'!F59)</f>
        <v/>
      </c>
      <c r="G60" s="17" t="str">
        <f>IF('6'!G59="","",'6'!G59)</f>
        <v/>
      </c>
    </row>
    <row r="61" spans="1:7" ht="23.1" customHeight="1">
      <c r="A61" s="16" t="str">
        <f>IF('6'!A60="","",'6'!A60)</f>
        <v/>
      </c>
      <c r="B61" s="16" t="str">
        <f>IF('6'!B60="","",'6'!B60)</f>
        <v/>
      </c>
      <c r="C61" s="17" t="str">
        <f>IF('6'!C60="","",'6'!C60)</f>
        <v/>
      </c>
      <c r="D61" s="219" t="str">
        <f>IF('6'!D60="","",'6'!D60)</f>
        <v/>
      </c>
      <c r="E61" s="17" t="str">
        <f>IF('6'!E60="","",'6'!E60)</f>
        <v/>
      </c>
      <c r="F61" s="219" t="str">
        <f>IF('6'!F60="","",'6'!F60)</f>
        <v/>
      </c>
      <c r="G61" s="17" t="str">
        <f>IF('6'!G60="","",'6'!G60)</f>
        <v/>
      </c>
    </row>
    <row r="62" spans="1:7" ht="23.1" customHeight="1">
      <c r="A62" s="16" t="str">
        <f>IF('6'!A61="","",'6'!A61)</f>
        <v/>
      </c>
      <c r="B62" s="16" t="str">
        <f>IF('6'!B61="","",'6'!B61)</f>
        <v/>
      </c>
      <c r="C62" s="17" t="str">
        <f>IF('6'!C61="","",'6'!C61)</f>
        <v/>
      </c>
      <c r="D62" s="219" t="str">
        <f>IF('6'!D61="","",'6'!D61)</f>
        <v/>
      </c>
      <c r="E62" s="17" t="str">
        <f>IF('6'!E61="","",'6'!E61)</f>
        <v/>
      </c>
      <c r="F62" s="219" t="str">
        <f>IF('6'!F61="","",'6'!F61)</f>
        <v/>
      </c>
      <c r="G62" s="17" t="str">
        <f>IF('6'!G61="","",'6'!G61)</f>
        <v/>
      </c>
    </row>
    <row r="63" spans="1:7" ht="23.1" customHeight="1">
      <c r="A63" s="16" t="str">
        <f>IF('6'!A62="","",'6'!A62)</f>
        <v/>
      </c>
      <c r="B63" s="16" t="str">
        <f>IF('6'!B62="","",'6'!B62)</f>
        <v/>
      </c>
      <c r="C63" s="17" t="str">
        <f>IF('6'!C62="","",'6'!C62)</f>
        <v/>
      </c>
      <c r="D63" s="219" t="str">
        <f>IF('6'!D62="","",'6'!D62)</f>
        <v/>
      </c>
      <c r="E63" s="17" t="str">
        <f>IF('6'!E62="","",'6'!E62)</f>
        <v/>
      </c>
      <c r="F63" s="219" t="str">
        <f>IF('6'!F62="","",'6'!F62)</f>
        <v/>
      </c>
      <c r="G63" s="17" t="str">
        <f>IF('6'!G62="","",'6'!G62)</f>
        <v/>
      </c>
    </row>
    <row r="64" spans="1:7" ht="23.1" customHeight="1">
      <c r="A64" s="16" t="str">
        <f>IF('6'!A63="","",'6'!A63)</f>
        <v/>
      </c>
      <c r="B64" s="16" t="str">
        <f>IF('6'!B63="","",'6'!B63)</f>
        <v/>
      </c>
      <c r="C64" s="17" t="str">
        <f>IF('6'!C63="","",'6'!C63)</f>
        <v/>
      </c>
      <c r="D64" s="219" t="str">
        <f>IF('6'!D63="","",'6'!D63)</f>
        <v/>
      </c>
      <c r="E64" s="17" t="str">
        <f>IF('6'!E63="","",'6'!E63)</f>
        <v/>
      </c>
      <c r="F64" s="219" t="str">
        <f>IF('6'!F63="","",'6'!F63)</f>
        <v/>
      </c>
      <c r="G64" s="17" t="str">
        <f>IF('6'!G63="","",'6'!G63)</f>
        <v/>
      </c>
    </row>
    <row r="65" spans="1:7" ht="23.1" customHeight="1">
      <c r="A65" s="16" t="str">
        <f>IF('6'!A64="","",'6'!A64)</f>
        <v/>
      </c>
      <c r="B65" s="16" t="str">
        <f>IF('6'!B64="","",'6'!B64)</f>
        <v/>
      </c>
      <c r="C65" s="17" t="str">
        <f>IF('6'!C64="","",'6'!C64)</f>
        <v/>
      </c>
      <c r="D65" s="219" t="str">
        <f>IF('6'!D64="","",'6'!D64)</f>
        <v/>
      </c>
      <c r="E65" s="17" t="str">
        <f>IF('6'!E64="","",'6'!E64)</f>
        <v/>
      </c>
      <c r="F65" s="219" t="str">
        <f>IF('6'!F64="","",'6'!F64)</f>
        <v/>
      </c>
      <c r="G65" s="17" t="str">
        <f>IF('6'!G64="","",'6'!G64)</f>
        <v/>
      </c>
    </row>
    <row r="66" spans="1:7" ht="23.1" customHeight="1">
      <c r="A66" s="16" t="str">
        <f>IF('6'!A65="","",'6'!A65)</f>
        <v/>
      </c>
      <c r="B66" s="16" t="str">
        <f>IF('6'!B65="","",'6'!B65)</f>
        <v/>
      </c>
      <c r="C66" s="17" t="str">
        <f>IF('6'!C65="","",'6'!C65)</f>
        <v/>
      </c>
      <c r="D66" s="219" t="str">
        <f>IF('6'!D65="","",'6'!D65)</f>
        <v/>
      </c>
      <c r="E66" s="17" t="str">
        <f>IF('6'!E65="","",'6'!E65)</f>
        <v/>
      </c>
      <c r="F66" s="219" t="str">
        <f>IF('6'!F65="","",'6'!F65)</f>
        <v/>
      </c>
      <c r="G66" s="17" t="str">
        <f>IF('6'!G65="","",'6'!G65)</f>
        <v/>
      </c>
    </row>
    <row r="67" spans="1:7" ht="23.1" customHeight="1">
      <c r="A67" s="16" t="str">
        <f>IF('6'!A66="","",'6'!A66)</f>
        <v/>
      </c>
      <c r="B67" s="16" t="str">
        <f>IF('6'!B66="","",'6'!B66)</f>
        <v/>
      </c>
      <c r="C67" s="17" t="str">
        <f>IF('6'!C66="","",'6'!C66)</f>
        <v/>
      </c>
      <c r="D67" s="219" t="str">
        <f>IF('6'!D66="","",'6'!D66)</f>
        <v/>
      </c>
      <c r="E67" s="17" t="str">
        <f>IF('6'!E66="","",'6'!E66)</f>
        <v/>
      </c>
      <c r="F67" s="219" t="str">
        <f>IF('6'!F66="","",'6'!F66)</f>
        <v/>
      </c>
      <c r="G67" s="17" t="str">
        <f>IF('6'!G66="","",'6'!G66)</f>
        <v/>
      </c>
    </row>
    <row r="68" spans="1:7" ht="23.1" customHeight="1">
      <c r="A68" s="16" t="str">
        <f>IF('6'!A67="","",'6'!A67)</f>
        <v/>
      </c>
      <c r="B68" s="16" t="str">
        <f>IF('6'!B67="","",'6'!B67)</f>
        <v/>
      </c>
      <c r="C68" s="17" t="str">
        <f>IF('6'!C67="","",'6'!C67)</f>
        <v/>
      </c>
      <c r="D68" s="219" t="str">
        <f>IF('6'!D67="","",'6'!D67)</f>
        <v/>
      </c>
      <c r="E68" s="17" t="str">
        <f>IF('6'!E67="","",'6'!E67)</f>
        <v/>
      </c>
      <c r="F68" s="219" t="str">
        <f>IF('6'!F67="","",'6'!F67)</f>
        <v/>
      </c>
      <c r="G68" s="17" t="str">
        <f>IF('6'!G67="","",'6'!G67)</f>
        <v/>
      </c>
    </row>
    <row r="69" spans="1:7" ht="23.1" customHeight="1">
      <c r="A69" s="16" t="str">
        <f>IF('6'!A68="","",'6'!A68)</f>
        <v/>
      </c>
      <c r="B69" s="16" t="str">
        <f>IF('6'!B68="","",'6'!B68)</f>
        <v/>
      </c>
      <c r="C69" s="17" t="str">
        <f>IF('6'!C68="","",'6'!C68)</f>
        <v/>
      </c>
      <c r="D69" s="219" t="str">
        <f>IF('6'!D68="","",'6'!D68)</f>
        <v/>
      </c>
      <c r="E69" s="17" t="str">
        <f>IF('6'!E68="","",'6'!E68)</f>
        <v/>
      </c>
      <c r="F69" s="219" t="str">
        <f>IF('6'!F68="","",'6'!F68)</f>
        <v/>
      </c>
      <c r="G69" s="17" t="str">
        <f>IF('6'!G68="","",'6'!G68)</f>
        <v/>
      </c>
    </row>
    <row r="70" spans="1:7" ht="23.1" customHeight="1">
      <c r="A70" s="16" t="str">
        <f>IF('6'!A69="","",'6'!A69)</f>
        <v/>
      </c>
      <c r="B70" s="16" t="str">
        <f>IF('6'!B69="","",'6'!B69)</f>
        <v/>
      </c>
      <c r="C70" s="17" t="str">
        <f>IF('6'!C69="","",'6'!C69)</f>
        <v/>
      </c>
      <c r="D70" s="219" t="str">
        <f>IF('6'!D69="","",'6'!D69)</f>
        <v/>
      </c>
      <c r="E70" s="17" t="str">
        <f>IF('6'!E69="","",'6'!E69)</f>
        <v/>
      </c>
      <c r="F70" s="219" t="str">
        <f>IF('6'!F69="","",'6'!F69)</f>
        <v/>
      </c>
      <c r="G70" s="17" t="str">
        <f>IF('6'!G69="","",'6'!G69)</f>
        <v/>
      </c>
    </row>
    <row r="71" spans="1:7" ht="23.1" customHeight="1">
      <c r="A71" s="16" t="str">
        <f>IF('6'!A70="","",'6'!A70)</f>
        <v/>
      </c>
      <c r="B71" s="16" t="str">
        <f>IF('6'!B70="","",'6'!B70)</f>
        <v/>
      </c>
      <c r="C71" s="17" t="str">
        <f>IF('6'!C70="","",'6'!C70)</f>
        <v/>
      </c>
      <c r="D71" s="219" t="str">
        <f>IF('6'!D70="","",'6'!D70)</f>
        <v/>
      </c>
      <c r="E71" s="17" t="str">
        <f>IF('6'!E70="","",'6'!E70)</f>
        <v/>
      </c>
      <c r="F71" s="219" t="str">
        <f>IF('6'!F70="","",'6'!F70)</f>
        <v/>
      </c>
      <c r="G71" s="17" t="str">
        <f>IF('6'!G70="","",'6'!G70)</f>
        <v/>
      </c>
    </row>
    <row r="72" spans="1:7" ht="23.1" customHeight="1">
      <c r="A72" s="16" t="str">
        <f>IF('6'!A71="","",'6'!A71)</f>
        <v/>
      </c>
      <c r="B72" s="16" t="str">
        <f>IF('6'!B71="","",'6'!B71)</f>
        <v/>
      </c>
      <c r="C72" s="17" t="str">
        <f>IF('6'!C71="","",'6'!C71)</f>
        <v/>
      </c>
      <c r="D72" s="219" t="str">
        <f>IF('6'!D71="","",'6'!D71)</f>
        <v/>
      </c>
      <c r="E72" s="17" t="str">
        <f>IF('6'!E71="","",'6'!E71)</f>
        <v/>
      </c>
      <c r="F72" s="219" t="str">
        <f>IF('6'!F71="","",'6'!F71)</f>
        <v/>
      </c>
      <c r="G72" s="17" t="str">
        <f>IF('6'!G71="","",'6'!G71)</f>
        <v/>
      </c>
    </row>
    <row r="73" spans="1:7" ht="23.1" customHeight="1">
      <c r="A73" s="16" t="str">
        <f>IF('6'!A72="","",'6'!A72)</f>
        <v/>
      </c>
      <c r="B73" s="16" t="str">
        <f>IF('6'!B72="","",'6'!B72)</f>
        <v/>
      </c>
      <c r="C73" s="17" t="str">
        <f>IF('6'!C72="","",'6'!C72)</f>
        <v/>
      </c>
      <c r="D73" s="219" t="str">
        <f>IF('6'!D72="","",'6'!D72)</f>
        <v/>
      </c>
      <c r="E73" s="17" t="str">
        <f>IF('6'!E72="","",'6'!E72)</f>
        <v/>
      </c>
      <c r="F73" s="219" t="str">
        <f>IF('6'!F72="","",'6'!F72)</f>
        <v/>
      </c>
      <c r="G73" s="17" t="str">
        <f>IF('6'!G72="","",'6'!G72)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7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r:id="rId1"/>
  <headerFooter alignWithMargins="0">
    <oddHeader>&amp;R&amp;P/&amp;N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43F85-574D-4C57-A89B-054E11E0851B}">
  <sheetPr codeName="Sheet10">
    <tabColor rgb="FF0070C0"/>
  </sheetPr>
  <dimension ref="A4:J16"/>
  <sheetViews>
    <sheetView topLeftCell="A9" workbookViewId="0">
      <selection activeCell="L15" sqref="L15"/>
    </sheetView>
  </sheetViews>
  <sheetFormatPr defaultColWidth="8.88671875" defaultRowHeight="30" customHeight="1"/>
  <cols>
    <col min="1" max="1" width="8.88671875" style="107"/>
    <col min="2" max="3" width="8.88671875" style="105"/>
    <col min="4" max="4" width="17.88671875" style="106" customWidth="1"/>
    <col min="5" max="5" width="9.88671875" style="105" bestFit="1" customWidth="1"/>
    <col min="6" max="16384" width="8.88671875" style="105"/>
  </cols>
  <sheetData>
    <row r="4" spans="1:10" ht="30" customHeight="1">
      <c r="A4" s="244" t="str">
        <f>'7_中Ｃ'!C7</f>
        <v xml:space="preserve">2026 Fuji Horse Show Autumn Grand Prix </v>
      </c>
      <c r="B4" s="244"/>
      <c r="C4" s="244"/>
      <c r="D4" s="244"/>
      <c r="E4" s="244"/>
      <c r="F4" s="244"/>
      <c r="G4" s="244"/>
      <c r="H4" s="244"/>
      <c r="I4" s="244"/>
      <c r="J4" s="244"/>
    </row>
    <row r="6" spans="1:10" ht="30" customHeight="1">
      <c r="A6" s="107" t="s">
        <v>41</v>
      </c>
      <c r="B6" s="110">
        <f>'7_中Ｃ'!B8</f>
        <v>7</v>
      </c>
      <c r="C6" s="105" t="s">
        <v>42</v>
      </c>
      <c r="D6" s="108" t="str">
        <f>'7_中Ｃ'!D8:F8</f>
        <v>フジ中障害飛越競技Ｃ</v>
      </c>
    </row>
    <row r="8" spans="1:10" ht="30" customHeight="1">
      <c r="C8" s="105" t="s">
        <v>96</v>
      </c>
      <c r="E8" s="109">
        <v>0.50694444444444442</v>
      </c>
    </row>
    <row r="9" spans="1:10" ht="30" customHeight="1">
      <c r="C9" s="105" t="s">
        <v>95</v>
      </c>
      <c r="E9" s="109">
        <v>0.51736111111111116</v>
      </c>
      <c r="F9" s="105" t="s">
        <v>94</v>
      </c>
    </row>
    <row r="11" spans="1:10" ht="30" customHeight="1">
      <c r="C11" s="245" t="s">
        <v>93</v>
      </c>
      <c r="D11" s="245"/>
      <c r="E11" s="245"/>
      <c r="F11" s="245"/>
      <c r="G11" s="245"/>
    </row>
    <row r="12" spans="1:10" ht="30" customHeight="1">
      <c r="C12" s="105" t="s">
        <v>92</v>
      </c>
      <c r="D12" s="129">
        <v>30000</v>
      </c>
      <c r="F12" s="106"/>
      <c r="G12" s="106"/>
    </row>
    <row r="13" spans="1:10" ht="30" customHeight="1">
      <c r="C13" s="105" t="s">
        <v>91</v>
      </c>
      <c r="D13" s="129">
        <v>20000</v>
      </c>
      <c r="F13" s="106"/>
      <c r="G13" s="106"/>
    </row>
    <row r="14" spans="1:10" ht="30" customHeight="1">
      <c r="C14" s="105" t="s">
        <v>90</v>
      </c>
      <c r="D14" s="129">
        <v>10000</v>
      </c>
      <c r="G14" s="106"/>
    </row>
    <row r="15" spans="1:10" ht="30" customHeight="1">
      <c r="C15" s="105" t="s">
        <v>89</v>
      </c>
      <c r="D15" s="129" t="s">
        <v>231</v>
      </c>
      <c r="G15" s="106"/>
    </row>
    <row r="16" spans="1:10" ht="30" customHeight="1">
      <c r="C16" s="105" t="s">
        <v>88</v>
      </c>
      <c r="D16" s="130" t="s">
        <v>231</v>
      </c>
      <c r="E16" s="108"/>
      <c r="F16" s="108"/>
      <c r="G16" s="108"/>
    </row>
  </sheetData>
  <mergeCells count="2">
    <mergeCell ref="A4:J4"/>
    <mergeCell ref="C11:G11"/>
  </mergeCells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rgb="FF0070C0"/>
  </sheetPr>
  <dimension ref="A1:G73"/>
  <sheetViews>
    <sheetView view="pageBreakPreview" topLeftCell="A6" zoomScale="91" zoomScaleNormal="100" zoomScaleSheetLayoutView="91" workbookViewId="0">
      <selection activeCell="F13" sqref="F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'7'!C2</f>
        <v>0</v>
      </c>
      <c r="D6" s="3"/>
      <c r="F6" s="4" t="s">
        <v>2</v>
      </c>
      <c r="G6" s="6">
        <v>46276</v>
      </c>
    </row>
    <row r="7" spans="1:7" ht="24" customHeight="1">
      <c r="A7" s="7"/>
      <c r="B7" s="4" t="s">
        <v>4</v>
      </c>
      <c r="C7" s="8" t="str">
        <f>'7'!C3</f>
        <v xml:space="preserve">2026 Fuji Horse Show Autumn Grand Prix </v>
      </c>
      <c r="D7" s="9"/>
      <c r="E7" s="9"/>
      <c r="F7" s="9"/>
      <c r="G7" s="117" t="s">
        <v>727</v>
      </c>
    </row>
    <row r="8" spans="1:7" ht="21" customHeight="1">
      <c r="A8" s="10" t="s">
        <v>41</v>
      </c>
      <c r="B8" s="68">
        <f>'7'!C4</f>
        <v>7</v>
      </c>
      <c r="C8" s="4" t="s">
        <v>42</v>
      </c>
      <c r="D8" s="237" t="str">
        <f>'7'!F4</f>
        <v>フジ中障害飛越競技Ｃ</v>
      </c>
      <c r="E8" s="237"/>
      <c r="F8" s="237"/>
    </row>
    <row r="9" spans="1:7" ht="18.75" customHeight="1">
      <c r="C9" s="11" t="s">
        <v>11</v>
      </c>
      <c r="D9" s="217">
        <f>'7'!D5</f>
        <v>2</v>
      </c>
      <c r="E9" s="4" t="s">
        <v>9</v>
      </c>
      <c r="F9" s="220" t="str">
        <f>'7'!K4</f>
        <v>中障害Ｃ</v>
      </c>
    </row>
    <row r="10" spans="1:7" ht="21" customHeight="1">
      <c r="A10" s="12" t="s">
        <v>43</v>
      </c>
      <c r="B10" s="12"/>
      <c r="C10" s="12"/>
      <c r="D10" s="218" t="str">
        <f>'7'!D6</f>
        <v>-</v>
      </c>
      <c r="E10" s="4" t="s">
        <v>12</v>
      </c>
      <c r="F10" s="221" t="str">
        <f>'7'!F5</f>
        <v>★★★</v>
      </c>
      <c r="G10" s="13" t="s">
        <v>44</v>
      </c>
    </row>
    <row r="11" spans="1:7" ht="5.0999999999999996" customHeight="1"/>
    <row r="12" spans="1:7" ht="15" customHeight="1">
      <c r="A12" s="238" t="s">
        <v>45</v>
      </c>
      <c r="B12" s="240" t="s">
        <v>46</v>
      </c>
      <c r="C12" s="242" t="s">
        <v>47</v>
      </c>
      <c r="D12" s="243"/>
      <c r="E12" s="235" t="s">
        <v>48</v>
      </c>
      <c r="F12" s="235"/>
      <c r="G12" s="235" t="s">
        <v>49</v>
      </c>
    </row>
    <row r="13" spans="1:7" ht="24" customHeight="1">
      <c r="A13" s="239"/>
      <c r="B13" s="241"/>
      <c r="C13" s="14" t="s">
        <v>52</v>
      </c>
      <c r="D13" s="15" t="s">
        <v>53</v>
      </c>
      <c r="E13" s="15" t="s">
        <v>54</v>
      </c>
      <c r="F13" s="15" t="s">
        <v>55</v>
      </c>
      <c r="G13" s="236"/>
    </row>
    <row r="14" spans="1:7" s="19" customFormat="1" ht="23.1" customHeight="1">
      <c r="A14" s="16" t="str">
        <f>IF('7'!A14="","",'7'!A14)</f>
        <v/>
      </c>
      <c r="B14" s="16">
        <f>IF('7'!B14="","",'7'!B14)</f>
        <v>1</v>
      </c>
      <c r="C14" s="17" t="str">
        <f>IF('7'!C14="","",'7'!C14)</f>
        <v>下平　和久</v>
      </c>
      <c r="D14" s="219">
        <f>IF('7'!D14="","",'7'!D14)</f>
        <v>20115</v>
      </c>
      <c r="E14" s="17" t="str">
        <f>IF('7'!E14="","",'7'!E14)</f>
        <v>マルコS</v>
      </c>
      <c r="F14" s="219">
        <f>IF('7'!F14="","",'7'!F14)</f>
        <v>59063</v>
      </c>
      <c r="G14" s="17" t="str">
        <f>IF('7'!G14="","",'7'!G14)</f>
        <v>八王子乗馬倶楽部</v>
      </c>
    </row>
    <row r="15" spans="1:7" s="19" customFormat="1" ht="23.1" customHeight="1">
      <c r="A15" s="16" t="str">
        <f>IF('7'!A15="","",'7'!A15)</f>
        <v/>
      </c>
      <c r="B15" s="16">
        <f>IF('7'!B15="","",'7'!B15)</f>
        <v>2</v>
      </c>
      <c r="C15" s="17" t="str">
        <f>IF('7'!C15="","",'7'!C15)</f>
        <v>阿部　成海</v>
      </c>
      <c r="D15" s="219">
        <f>IF('7'!D15="","",'7'!D15)</f>
        <v>32390</v>
      </c>
      <c r="E15" s="17" t="str">
        <f>IF('7'!E15="","",'7'!E15)</f>
        <v>コアインパルス</v>
      </c>
      <c r="F15" s="219">
        <f>IF('7'!F15="","",'7'!F15)</f>
        <v>59574</v>
      </c>
      <c r="G15" s="17" t="str">
        <f>IF('7'!G15="","",'7'!G15)</f>
        <v>やまがた乗馬クラブ</v>
      </c>
    </row>
    <row r="16" spans="1:7" s="19" customFormat="1" ht="23.1" customHeight="1">
      <c r="A16" s="16" t="str">
        <f>IF('7'!A16="","",'7'!A16)</f>
        <v/>
      </c>
      <c r="B16" s="16">
        <f>IF('7'!B16="","",'7'!B16)</f>
        <v>3</v>
      </c>
      <c r="C16" s="17" t="str">
        <f>IF('7'!C16="","",'7'!C16)</f>
        <v>川口　飛鳥</v>
      </c>
      <c r="D16" s="219">
        <f>IF('7'!D16="","",'7'!D16)</f>
        <v>27498</v>
      </c>
      <c r="E16" s="17" t="str">
        <f>IF('7'!E16="","",'7'!E16)</f>
        <v>サムライブルー</v>
      </c>
      <c r="F16" s="219">
        <f>IF('7'!F16="","",'7'!F16)</f>
        <v>56296</v>
      </c>
      <c r="G16" s="17" t="str">
        <f>IF('7'!G16="","",'7'!G16)</f>
        <v>ライディングクラブフジファーム</v>
      </c>
    </row>
    <row r="17" spans="1:7" s="19" customFormat="1" ht="23.1" customHeight="1">
      <c r="A17" s="16" t="str">
        <f>IF('7'!A17="","",'7'!A17)</f>
        <v/>
      </c>
      <c r="B17" s="16">
        <f>IF('7'!B17="","",'7'!B17)</f>
        <v>4</v>
      </c>
      <c r="C17" s="17" t="str">
        <f>IF('7'!C17="","",'7'!C17)</f>
        <v>古田　慶幸</v>
      </c>
      <c r="D17" s="219">
        <f>IF('7'!D17="","",'7'!D17)</f>
        <v>18386</v>
      </c>
      <c r="E17" s="17" t="str">
        <f>IF('7'!E17="","",'7'!E17)</f>
        <v>カイレンバーリア</v>
      </c>
      <c r="F17" s="219">
        <f>IF('7'!F17="","",'7'!F17)</f>
        <v>60895</v>
      </c>
      <c r="G17" s="17" t="str">
        <f>IF('7'!G17="","",'7'!G17)</f>
        <v>riding team Regroup</v>
      </c>
    </row>
    <row r="18" spans="1:7" s="19" customFormat="1" ht="23.1" customHeight="1">
      <c r="A18" s="16" t="str">
        <f>IF('7'!A18="","",'7'!A18)</f>
        <v/>
      </c>
      <c r="B18" s="16">
        <f>IF('7'!B18="","",'7'!B18)</f>
        <v>5</v>
      </c>
      <c r="C18" s="17" t="str">
        <f>IF('7'!C18="","",'7'!C18)</f>
        <v>荒木　紀迪</v>
      </c>
      <c r="D18" s="219">
        <f>IF('7'!D18="","",'7'!D18)</f>
        <v>14221</v>
      </c>
      <c r="E18" s="17" t="str">
        <f>IF('7'!E18="","",'7'!E18)</f>
        <v>キャンドゥライト</v>
      </c>
      <c r="F18" s="219">
        <f>IF('7'!F18="","",'7'!F18)</f>
        <v>58330</v>
      </c>
      <c r="G18" s="17" t="str">
        <f>IF('7'!G18="","",'7'!G18)</f>
        <v>小山乗馬クラブ</v>
      </c>
    </row>
    <row r="19" spans="1:7" s="19" customFormat="1" ht="23.1" customHeight="1">
      <c r="A19" s="16" t="str">
        <f>IF('7'!A19="","",'7'!A19)</f>
        <v/>
      </c>
      <c r="B19" s="16">
        <f>IF('7'!B19="","",'7'!B19)</f>
        <v>6</v>
      </c>
      <c r="C19" s="17" t="str">
        <f>IF('7'!C19="","",'7'!C19)</f>
        <v>横田　真吾</v>
      </c>
      <c r="D19" s="219">
        <f>IF('7'!D19="","",'7'!D19)</f>
        <v>11693</v>
      </c>
      <c r="E19" s="17" t="str">
        <f>IF('7'!E19="","",'7'!E19)</f>
        <v>ハヤテ・ペガサス</v>
      </c>
      <c r="F19" s="219">
        <f>IF('7'!F19="","",'7'!F19)</f>
        <v>58584</v>
      </c>
      <c r="G19" s="17" t="str">
        <f>IF('7'!G19="","",'7'!G19)</f>
        <v>ペガサス乗馬クラブ</v>
      </c>
    </row>
    <row r="20" spans="1:7" s="19" customFormat="1" ht="23.1" customHeight="1">
      <c r="A20" s="16" t="str">
        <f>IF('7'!A20="","",'7'!A20)</f>
        <v/>
      </c>
      <c r="B20" s="16">
        <f>IF('7'!B20="","",'7'!B20)</f>
        <v>7</v>
      </c>
      <c r="C20" s="17" t="str">
        <f>IF('7'!C20="","",'7'!C20)</f>
        <v>桑原　咲季</v>
      </c>
      <c r="D20" s="219">
        <f>IF('7'!D20="","",'7'!D20)</f>
        <v>28809</v>
      </c>
      <c r="E20" s="17" t="str">
        <f>IF('7'!E20="","",'7'!E20)</f>
        <v>蘭丸</v>
      </c>
      <c r="F20" s="219">
        <f>IF('7'!F20="","",'7'!F20)</f>
        <v>58733</v>
      </c>
      <c r="G20" s="17" t="str">
        <f>IF('7'!G20="","",'7'!G20)</f>
        <v>八王子乗馬倶楽部</v>
      </c>
    </row>
    <row r="21" spans="1:7" s="19" customFormat="1" ht="23.1" customHeight="1">
      <c r="A21" s="16" t="str">
        <f>IF('7'!A21="","",'7'!A21)</f>
        <v/>
      </c>
      <c r="B21" s="16">
        <f>IF('7'!B21="","",'7'!B21)</f>
        <v>8</v>
      </c>
      <c r="C21" s="17" t="str">
        <f>IF('7'!C21="","",'7'!C21)</f>
        <v>藤本　光国</v>
      </c>
      <c r="D21" s="219">
        <f>IF('7'!D21="","",'7'!D21)</f>
        <v>18834</v>
      </c>
      <c r="E21" s="17" t="str">
        <f>IF('7'!E21="","",'7'!E21)</f>
        <v>ロードボス</v>
      </c>
      <c r="F21" s="219">
        <f>IF('7'!F21="","",'7'!F21)</f>
        <v>56066</v>
      </c>
      <c r="G21" s="17" t="str">
        <f>IF('7'!G21="","",'7'!G21)</f>
        <v>Horses' New Stage</v>
      </c>
    </row>
    <row r="22" spans="1:7" s="19" customFormat="1" ht="23.1" customHeight="1">
      <c r="A22" s="16" t="str">
        <f>IF('7'!A22="","",'7'!A22)</f>
        <v/>
      </c>
      <c r="B22" s="16">
        <f>IF('7'!B22="","",'7'!B22)</f>
        <v>9</v>
      </c>
      <c r="C22" s="17" t="str">
        <f>IF('7'!C22="","",'7'!C22)</f>
        <v>増山　誠倫</v>
      </c>
      <c r="D22" s="219">
        <f>IF('7'!D22="","",'7'!D22)</f>
        <v>8082</v>
      </c>
      <c r="E22" s="17" t="str">
        <f>IF('7'!E22="","",'7'!E22)</f>
        <v>メレリオ・ディ・メレー</v>
      </c>
      <c r="F22" s="219">
        <f>IF('7'!F22="","",'7'!F22)</f>
        <v>59855</v>
      </c>
      <c r="G22" s="17" t="str">
        <f>IF('7'!G22="","",'7'!G22)</f>
        <v>小山乗馬クラブ</v>
      </c>
    </row>
    <row r="23" spans="1:7" s="19" customFormat="1" ht="23.1" customHeight="1">
      <c r="A23" s="16" t="str">
        <f>IF('7'!A23="","",'7'!A23)</f>
        <v/>
      </c>
      <c r="B23" s="16">
        <f>IF('7'!B23="","",'7'!B23)</f>
        <v>10</v>
      </c>
      <c r="C23" s="17" t="str">
        <f>IF('7'!C23="","",'7'!C23)</f>
        <v>伊藤　正平</v>
      </c>
      <c r="D23" s="219">
        <f>IF('7'!D23="","",'7'!D23)</f>
        <v>11976</v>
      </c>
      <c r="E23" s="17" t="str">
        <f>IF('7'!E23="","",'7'!E23)</f>
        <v>アカペラ</v>
      </c>
      <c r="F23" s="219">
        <f>IF('7'!F23="","",'7'!F23)</f>
        <v>61272</v>
      </c>
      <c r="G23" s="17" t="str">
        <f>IF('7'!G23="","",'7'!G23)</f>
        <v>乗馬クラブクレイン伊奈</v>
      </c>
    </row>
    <row r="24" spans="1:7" s="19" customFormat="1" ht="23.1" customHeight="1">
      <c r="A24" s="16" t="str">
        <f>IF('7'!A24="","",'7'!A24)</f>
        <v/>
      </c>
      <c r="B24" s="16">
        <f>IF('7'!B24="","",'7'!B24)</f>
        <v>11</v>
      </c>
      <c r="C24" s="17" t="str">
        <f>IF('7'!C24="","",'7'!C24)</f>
        <v>川口　大輔</v>
      </c>
      <c r="D24" s="219">
        <f>IF('7'!D24="","",'7'!D24)</f>
        <v>13141</v>
      </c>
      <c r="E24" s="17" t="str">
        <f>IF('7'!E24="","",'7'!E24)</f>
        <v>トランプカード</v>
      </c>
      <c r="F24" s="219">
        <f>IF('7'!F24="","",'7'!F24)</f>
        <v>60517</v>
      </c>
      <c r="G24" s="17" t="str">
        <f>IF('7'!G24="","",'7'!G24)</f>
        <v>ライディングクラブフジファーム</v>
      </c>
    </row>
    <row r="25" spans="1:7" s="19" customFormat="1" ht="23.1" customHeight="1">
      <c r="A25" s="16" t="str">
        <f>IF('7'!A25="","",'7'!A25)</f>
        <v/>
      </c>
      <c r="B25" s="16">
        <f>IF('7'!B25="","",'7'!B25)</f>
        <v>12</v>
      </c>
      <c r="C25" s="17" t="str">
        <f>IF('7'!C25="","",'7'!C25)</f>
        <v>木村　茉里子</v>
      </c>
      <c r="D25" s="219">
        <f>IF('7'!D25="","",'7'!D25)</f>
        <v>12188</v>
      </c>
      <c r="E25" s="17" t="str">
        <f>IF('7'!E25="","",'7'!E25)</f>
        <v>カーラ・ブルー</v>
      </c>
      <c r="F25" s="219">
        <f>IF('7'!F25="","",'7'!F25)</f>
        <v>60249</v>
      </c>
      <c r="G25" s="17" t="str">
        <f>IF('7'!G25="","",'7'!G25)</f>
        <v>NGK Horse Paz.</v>
      </c>
    </row>
    <row r="26" spans="1:7" s="19" customFormat="1" ht="23.1" customHeight="1">
      <c r="A26" s="16" t="str">
        <f>IF('7'!A26="","",'7'!A26)</f>
        <v/>
      </c>
      <c r="B26" s="16">
        <f>IF('7'!B26="","",'7'!B26)</f>
        <v>13</v>
      </c>
      <c r="C26" s="17" t="str">
        <f>IF('7'!C26="","",'7'!C26)</f>
        <v/>
      </c>
      <c r="D26" s="219" t="str">
        <f>IF('7'!D26="","",'7'!D26)</f>
        <v/>
      </c>
      <c r="E26" s="17" t="str">
        <f>IF('7'!E26="","",'7'!E26)</f>
        <v/>
      </c>
      <c r="F26" s="219" t="str">
        <f>IF('7'!F26="","",'7'!F26)</f>
        <v/>
      </c>
      <c r="G26" s="17" t="str">
        <f>IF('7'!G26="","",'7'!G26)</f>
        <v/>
      </c>
    </row>
    <row r="27" spans="1:7" s="19" customFormat="1" ht="23.1" customHeight="1">
      <c r="A27" s="16" t="str">
        <f>IF('7'!A27="","",'7'!A27)</f>
        <v/>
      </c>
      <c r="B27" s="16">
        <f>IF('7'!B27="","",'7'!B27)</f>
        <v>14</v>
      </c>
      <c r="C27" s="17" t="str">
        <f>IF('7'!C27="","",'7'!C27)</f>
        <v/>
      </c>
      <c r="D27" s="219" t="str">
        <f>IF('7'!D27="","",'7'!D27)</f>
        <v/>
      </c>
      <c r="E27" s="17" t="str">
        <f>IF('7'!E27="","",'7'!E27)</f>
        <v/>
      </c>
      <c r="F27" s="219" t="str">
        <f>IF('7'!F27="","",'7'!F27)</f>
        <v/>
      </c>
      <c r="G27" s="17" t="str">
        <f>IF('7'!G27="","",'7'!G27)</f>
        <v/>
      </c>
    </row>
    <row r="28" spans="1:7" s="19" customFormat="1" ht="23.1" customHeight="1">
      <c r="A28" s="16" t="str">
        <f>IF('7'!A28="","",'7'!A28)</f>
        <v/>
      </c>
      <c r="B28" s="16">
        <f>IF('7'!B28="","",'7'!B28)</f>
        <v>15</v>
      </c>
      <c r="C28" s="17" t="str">
        <f>IF('7'!C28="","",'7'!C28)</f>
        <v/>
      </c>
      <c r="D28" s="219" t="str">
        <f>IF('7'!D28="","",'7'!D28)</f>
        <v/>
      </c>
      <c r="E28" s="17" t="str">
        <f>IF('7'!E28="","",'7'!E28)</f>
        <v/>
      </c>
      <c r="F28" s="219" t="str">
        <f>IF('7'!F28="","",'7'!F28)</f>
        <v/>
      </c>
      <c r="G28" s="17" t="str">
        <f>IF('7'!G28="","",'7'!G28)</f>
        <v/>
      </c>
    </row>
    <row r="29" spans="1:7" s="19" customFormat="1" ht="23.1" customHeight="1">
      <c r="A29" s="16" t="str">
        <f>IF('7'!A29="","",'7'!A29)</f>
        <v/>
      </c>
      <c r="B29" s="16">
        <f>IF('7'!B29="","",'7'!B29)</f>
        <v>16</v>
      </c>
      <c r="C29" s="17" t="str">
        <f>IF('7'!C29="","",'7'!C29)</f>
        <v/>
      </c>
      <c r="D29" s="219" t="str">
        <f>IF('7'!D29="","",'7'!D29)</f>
        <v/>
      </c>
      <c r="E29" s="17" t="str">
        <f>IF('7'!E29="","",'7'!E29)</f>
        <v/>
      </c>
      <c r="F29" s="219" t="str">
        <f>IF('7'!F29="","",'7'!F29)</f>
        <v/>
      </c>
      <c r="G29" s="17" t="str">
        <f>IF('7'!G29="","",'7'!G29)</f>
        <v/>
      </c>
    </row>
    <row r="30" spans="1:7" s="19" customFormat="1" ht="23.1" customHeight="1">
      <c r="A30" s="16" t="str">
        <f>IF('7'!A30="","",'7'!A30)</f>
        <v/>
      </c>
      <c r="B30" s="16">
        <f>IF('7'!B30="","",'7'!B30)</f>
        <v>17</v>
      </c>
      <c r="C30" s="17" t="str">
        <f>IF('7'!C30="","",'7'!C30)</f>
        <v/>
      </c>
      <c r="D30" s="219" t="str">
        <f>IF('7'!D30="","",'7'!D30)</f>
        <v/>
      </c>
      <c r="E30" s="17" t="str">
        <f>IF('7'!E30="","",'7'!E30)</f>
        <v/>
      </c>
      <c r="F30" s="219" t="str">
        <f>IF('7'!F30="","",'7'!F30)</f>
        <v/>
      </c>
      <c r="G30" s="17" t="str">
        <f>IF('7'!G30="","",'7'!G30)</f>
        <v/>
      </c>
    </row>
    <row r="31" spans="1:7" s="19" customFormat="1" ht="23.1" customHeight="1">
      <c r="A31" s="16" t="str">
        <f>IF('7'!A31="","",'7'!A31)</f>
        <v/>
      </c>
      <c r="B31" s="16">
        <f>IF('7'!B31="","",'7'!B31)</f>
        <v>18</v>
      </c>
      <c r="C31" s="17" t="str">
        <f>IF('7'!C31="","",'7'!C31)</f>
        <v/>
      </c>
      <c r="D31" s="219" t="str">
        <f>IF('7'!D31="","",'7'!D31)</f>
        <v/>
      </c>
      <c r="E31" s="17" t="str">
        <f>IF('7'!E31="","",'7'!E31)</f>
        <v/>
      </c>
      <c r="F31" s="219" t="str">
        <f>IF('7'!F31="","",'7'!F31)</f>
        <v/>
      </c>
      <c r="G31" s="17" t="str">
        <f>IF('7'!G31="","",'7'!G31)</f>
        <v/>
      </c>
    </row>
    <row r="32" spans="1:7" s="19" customFormat="1" ht="23.1" customHeight="1">
      <c r="A32" s="16" t="str">
        <f>IF('7'!A32="","",'7'!A32)</f>
        <v/>
      </c>
      <c r="B32" s="16">
        <f>IF('7'!B32="","",'7'!B32)</f>
        <v>19</v>
      </c>
      <c r="C32" s="17" t="str">
        <f>IF('7'!C32="","",'7'!C32)</f>
        <v/>
      </c>
      <c r="D32" s="219" t="str">
        <f>IF('7'!D32="","",'7'!D32)</f>
        <v/>
      </c>
      <c r="E32" s="17" t="str">
        <f>IF('7'!E32="","",'7'!E32)</f>
        <v/>
      </c>
      <c r="F32" s="219" t="str">
        <f>IF('7'!F32="","",'7'!F32)</f>
        <v/>
      </c>
      <c r="G32" s="17" t="str">
        <f>IF('7'!G32="","",'7'!G32)</f>
        <v/>
      </c>
    </row>
    <row r="33" spans="1:7" s="19" customFormat="1" ht="23.1" customHeight="1">
      <c r="A33" s="16" t="str">
        <f>IF('7'!A33="","",'7'!A33)</f>
        <v/>
      </c>
      <c r="B33" s="16">
        <f>IF('7'!B33="","",'7'!B33)</f>
        <v>20</v>
      </c>
      <c r="C33" s="17" t="str">
        <f>IF('7'!C33="","",'7'!C33)</f>
        <v/>
      </c>
      <c r="D33" s="219" t="str">
        <f>IF('7'!D33="","",'7'!D33)</f>
        <v/>
      </c>
      <c r="E33" s="17" t="str">
        <f>IF('7'!E33="","",'7'!E33)</f>
        <v/>
      </c>
      <c r="F33" s="219" t="str">
        <f>IF('7'!F33="","",'7'!F33)</f>
        <v/>
      </c>
      <c r="G33" s="17" t="str">
        <f>IF('7'!G33="","",'7'!G33)</f>
        <v/>
      </c>
    </row>
    <row r="34" spans="1:7" s="19" customFormat="1" ht="23.1" customHeight="1">
      <c r="A34" s="16" t="str">
        <f>IF('7'!A34="","",'7'!A34)</f>
        <v/>
      </c>
      <c r="B34" s="16">
        <f>IF('7'!B34="","",'7'!B34)</f>
        <v>21</v>
      </c>
      <c r="C34" s="17" t="str">
        <f>IF('7'!C34="","",'7'!C34)</f>
        <v/>
      </c>
      <c r="D34" s="219" t="str">
        <f>IF('7'!D34="","",'7'!D34)</f>
        <v/>
      </c>
      <c r="E34" s="17" t="str">
        <f>IF('7'!E34="","",'7'!E34)</f>
        <v/>
      </c>
      <c r="F34" s="219" t="str">
        <f>IF('7'!F34="","",'7'!F34)</f>
        <v/>
      </c>
      <c r="G34" s="17" t="str">
        <f>IF('7'!G34="","",'7'!G34)</f>
        <v/>
      </c>
    </row>
    <row r="35" spans="1:7" s="19" customFormat="1" ht="23.1" customHeight="1">
      <c r="A35" s="16" t="str">
        <f>IF('7'!A35="","",'7'!A35)</f>
        <v/>
      </c>
      <c r="B35" s="16">
        <f>IF('7'!B35="","",'7'!B35)</f>
        <v>22</v>
      </c>
      <c r="C35" s="17" t="str">
        <f>IF('7'!C35="","",'7'!C35)</f>
        <v/>
      </c>
      <c r="D35" s="219" t="str">
        <f>IF('7'!D35="","",'7'!D35)</f>
        <v/>
      </c>
      <c r="E35" s="17" t="str">
        <f>IF('7'!E35="","",'7'!E35)</f>
        <v/>
      </c>
      <c r="F35" s="219" t="str">
        <f>IF('7'!F35="","",'7'!F35)</f>
        <v/>
      </c>
      <c r="G35" s="17" t="str">
        <f>IF('7'!G35="","",'7'!G35)</f>
        <v/>
      </c>
    </row>
    <row r="36" spans="1:7" s="19" customFormat="1" ht="23.1" customHeight="1">
      <c r="A36" s="16" t="str">
        <f>IF('7'!A36="","",'7'!A36)</f>
        <v/>
      </c>
      <c r="B36" s="16">
        <f>IF('7'!B36="","",'7'!B36)</f>
        <v>23</v>
      </c>
      <c r="C36" s="17" t="str">
        <f>IF('7'!C36="","",'7'!C36)</f>
        <v/>
      </c>
      <c r="D36" s="219" t="str">
        <f>IF('7'!D36="","",'7'!D36)</f>
        <v/>
      </c>
      <c r="E36" s="17" t="str">
        <f>IF('7'!E36="","",'7'!E36)</f>
        <v/>
      </c>
      <c r="F36" s="219" t="str">
        <f>IF('7'!F36="","",'7'!F36)</f>
        <v/>
      </c>
      <c r="G36" s="17" t="str">
        <f>IF('7'!G36="","",'7'!G36)</f>
        <v/>
      </c>
    </row>
    <row r="37" spans="1:7" s="19" customFormat="1" ht="23.1" customHeight="1">
      <c r="A37" s="16" t="str">
        <f>IF('7'!A37="","",'7'!A37)</f>
        <v/>
      </c>
      <c r="B37" s="16">
        <f>IF('7'!B37="","",'7'!B37)</f>
        <v>24</v>
      </c>
      <c r="C37" s="17" t="str">
        <f>IF('7'!C37="","",'7'!C37)</f>
        <v/>
      </c>
      <c r="D37" s="219" t="str">
        <f>IF('7'!D37="","",'7'!D37)</f>
        <v/>
      </c>
      <c r="E37" s="17" t="str">
        <f>IF('7'!E37="","",'7'!E37)</f>
        <v/>
      </c>
      <c r="F37" s="219" t="str">
        <f>IF('7'!F37="","",'7'!F37)</f>
        <v/>
      </c>
      <c r="G37" s="17" t="str">
        <f>IF('7'!G37="","",'7'!G37)</f>
        <v/>
      </c>
    </row>
    <row r="38" spans="1:7" s="19" customFormat="1" ht="23.1" customHeight="1">
      <c r="A38" s="16" t="str">
        <f>IF('7'!A38="","",'7'!A38)</f>
        <v/>
      </c>
      <c r="B38" s="16">
        <f>IF('7'!B38="","",'7'!B38)</f>
        <v>25</v>
      </c>
      <c r="C38" s="17" t="str">
        <f>IF('7'!C38="","",'7'!C38)</f>
        <v/>
      </c>
      <c r="D38" s="219" t="str">
        <f>IF('7'!D38="","",'7'!D38)</f>
        <v/>
      </c>
      <c r="E38" s="17" t="str">
        <f>IF('7'!E38="","",'7'!E38)</f>
        <v/>
      </c>
      <c r="F38" s="219" t="str">
        <f>IF('7'!F38="","",'7'!F38)</f>
        <v/>
      </c>
      <c r="G38" s="17" t="str">
        <f>IF('7'!G38="","",'7'!G38)</f>
        <v/>
      </c>
    </row>
    <row r="39" spans="1:7" s="19" customFormat="1" ht="23.1" customHeight="1">
      <c r="A39" s="16" t="str">
        <f>IF('7'!A39="","",'7'!A39)</f>
        <v/>
      </c>
      <c r="B39" s="16">
        <f>IF('7'!B39="","",'7'!B39)</f>
        <v>26</v>
      </c>
      <c r="C39" s="17" t="str">
        <f>IF('7'!C39="","",'7'!C39)</f>
        <v/>
      </c>
      <c r="D39" s="219" t="str">
        <f>IF('7'!D39="","",'7'!D39)</f>
        <v/>
      </c>
      <c r="E39" s="17" t="str">
        <f>IF('7'!E39="","",'7'!E39)</f>
        <v/>
      </c>
      <c r="F39" s="219" t="str">
        <f>IF('7'!F39="","",'7'!F39)</f>
        <v/>
      </c>
      <c r="G39" s="17" t="str">
        <f>IF('7'!G39="","",'7'!G39)</f>
        <v/>
      </c>
    </row>
    <row r="40" spans="1:7" s="19" customFormat="1" ht="23.1" customHeight="1">
      <c r="A40" s="16" t="str">
        <f>IF('7'!A40="","",'7'!A40)</f>
        <v/>
      </c>
      <c r="B40" s="16">
        <f>IF('7'!B40="","",'7'!B40)</f>
        <v>27</v>
      </c>
      <c r="C40" s="17" t="str">
        <f>IF('7'!C40="","",'7'!C40)</f>
        <v/>
      </c>
      <c r="D40" s="219" t="str">
        <f>IF('7'!D40="","",'7'!D40)</f>
        <v/>
      </c>
      <c r="E40" s="17" t="str">
        <f>IF('7'!E40="","",'7'!E40)</f>
        <v/>
      </c>
      <c r="F40" s="219" t="str">
        <f>IF('7'!F40="","",'7'!F40)</f>
        <v/>
      </c>
      <c r="G40" s="17" t="str">
        <f>IF('7'!G40="","",'7'!G40)</f>
        <v/>
      </c>
    </row>
    <row r="41" spans="1:7" s="19" customFormat="1" ht="23.1" customHeight="1">
      <c r="A41" s="16" t="str">
        <f>IF('7'!A41="","",'7'!A41)</f>
        <v/>
      </c>
      <c r="B41" s="16">
        <f>IF('7'!B41="","",'7'!B41)</f>
        <v>28</v>
      </c>
      <c r="C41" s="17" t="str">
        <f>IF('7'!C41="","",'7'!C41)</f>
        <v/>
      </c>
      <c r="D41" s="219" t="str">
        <f>IF('7'!D41="","",'7'!D41)</f>
        <v/>
      </c>
      <c r="E41" s="17" t="str">
        <f>IF('7'!E41="","",'7'!E41)</f>
        <v/>
      </c>
      <c r="F41" s="219" t="str">
        <f>IF('7'!F41="","",'7'!F41)</f>
        <v/>
      </c>
      <c r="G41" s="17" t="str">
        <f>IF('7'!G41="","",'7'!G41)</f>
        <v/>
      </c>
    </row>
    <row r="42" spans="1:7" s="19" customFormat="1" ht="23.1" customHeight="1">
      <c r="A42" s="16" t="str">
        <f>IF('7'!A42="","",'7'!A42)</f>
        <v/>
      </c>
      <c r="B42" s="16">
        <f>IF('7'!B42="","",'7'!B42)</f>
        <v>29</v>
      </c>
      <c r="C42" s="17" t="str">
        <f>IF('7'!C42="","",'7'!C42)</f>
        <v/>
      </c>
      <c r="D42" s="219" t="str">
        <f>IF('7'!D42="","",'7'!D42)</f>
        <v/>
      </c>
      <c r="E42" s="17" t="str">
        <f>IF('7'!E42="","",'7'!E42)</f>
        <v/>
      </c>
      <c r="F42" s="219" t="str">
        <f>IF('7'!F42="","",'7'!F42)</f>
        <v/>
      </c>
      <c r="G42" s="17" t="str">
        <f>IF('7'!G42="","",'7'!G42)</f>
        <v/>
      </c>
    </row>
    <row r="43" spans="1:7" s="19" customFormat="1" ht="23.1" customHeight="1">
      <c r="A43" s="16" t="str">
        <f>IF('7'!A43="","",'7'!A43)</f>
        <v/>
      </c>
      <c r="B43" s="16">
        <f>IF('7'!B43="","",'7'!B43)</f>
        <v>30</v>
      </c>
      <c r="C43" s="17" t="str">
        <f>IF('7'!C43="","",'7'!C43)</f>
        <v/>
      </c>
      <c r="D43" s="219" t="str">
        <f>IF('7'!D43="","",'7'!D43)</f>
        <v/>
      </c>
      <c r="E43" s="17" t="str">
        <f>IF('7'!E43="","",'7'!E43)</f>
        <v/>
      </c>
      <c r="F43" s="219" t="str">
        <f>IF('7'!F43="","",'7'!F43)</f>
        <v/>
      </c>
      <c r="G43" s="17" t="str">
        <f>IF('7'!G43="","",'7'!G43)</f>
        <v/>
      </c>
    </row>
    <row r="44" spans="1:7" ht="23.1" customHeight="1">
      <c r="A44" s="16" t="str">
        <f>IF('7'!A44="","",'7'!A44)</f>
        <v/>
      </c>
      <c r="B44" s="16" t="str">
        <f>IF('7'!B44="","",'7'!B44)</f>
        <v/>
      </c>
      <c r="C44" s="17" t="str">
        <f>IF('7'!C44="","",'7'!C44)</f>
        <v/>
      </c>
      <c r="D44" s="219" t="str">
        <f>IF('7'!D44="","",'7'!D44)</f>
        <v/>
      </c>
      <c r="E44" s="17" t="str">
        <f>IF('7'!E44="","",'7'!E44)</f>
        <v/>
      </c>
      <c r="F44" s="219" t="str">
        <f>IF('7'!F44="","",'7'!F44)</f>
        <v/>
      </c>
      <c r="G44" s="17" t="str">
        <f>IF('7'!G44="","",'7'!G44)</f>
        <v/>
      </c>
    </row>
    <row r="45" spans="1:7" ht="23.1" customHeight="1">
      <c r="A45" s="16" t="str">
        <f>IF('7'!A45="","",'7'!A45)</f>
        <v/>
      </c>
      <c r="B45" s="16" t="str">
        <f>IF('7'!B45="","",'7'!B45)</f>
        <v/>
      </c>
      <c r="C45" s="17" t="str">
        <f>IF('7'!C45="","",'7'!C45)</f>
        <v/>
      </c>
      <c r="D45" s="219" t="str">
        <f>IF('7'!D45="","",'7'!D45)</f>
        <v/>
      </c>
      <c r="E45" s="17" t="str">
        <f>IF('7'!E45="","",'7'!E45)</f>
        <v/>
      </c>
      <c r="F45" s="219" t="str">
        <f>IF('7'!F45="","",'7'!F45)</f>
        <v/>
      </c>
      <c r="G45" s="17" t="str">
        <f>IF('7'!G45="","",'7'!G45)</f>
        <v/>
      </c>
    </row>
    <row r="46" spans="1:7" ht="23.1" customHeight="1">
      <c r="A46" s="16" t="str">
        <f>IF('7'!A46="","",'7'!A46)</f>
        <v/>
      </c>
      <c r="B46" s="16" t="str">
        <f>IF('7'!B46="","",'7'!B46)</f>
        <v/>
      </c>
      <c r="C46" s="17" t="str">
        <f>IF('7'!C46="","",'7'!C46)</f>
        <v/>
      </c>
      <c r="D46" s="219" t="str">
        <f>IF('7'!D46="","",'7'!D46)</f>
        <v/>
      </c>
      <c r="E46" s="17" t="str">
        <f>IF('7'!E46="","",'7'!E46)</f>
        <v/>
      </c>
      <c r="F46" s="219" t="str">
        <f>IF('7'!F46="","",'7'!F46)</f>
        <v/>
      </c>
      <c r="G46" s="17" t="str">
        <f>IF('7'!G46="","",'7'!G46)</f>
        <v/>
      </c>
    </row>
    <row r="47" spans="1:7" ht="23.1" customHeight="1">
      <c r="A47" s="16" t="str">
        <f>IF('7'!A47="","",'7'!A47)</f>
        <v/>
      </c>
      <c r="B47" s="16" t="str">
        <f>IF('7'!B47="","",'7'!B47)</f>
        <v/>
      </c>
      <c r="C47" s="17" t="str">
        <f>IF('7'!C47="","",'7'!C47)</f>
        <v/>
      </c>
      <c r="D47" s="219" t="str">
        <f>IF('7'!D47="","",'7'!D47)</f>
        <v/>
      </c>
      <c r="E47" s="17" t="str">
        <f>IF('7'!E47="","",'7'!E47)</f>
        <v/>
      </c>
      <c r="F47" s="219" t="str">
        <f>IF('7'!F47="","",'7'!F47)</f>
        <v/>
      </c>
      <c r="G47" s="17" t="str">
        <f>IF('7'!G47="","",'7'!G47)</f>
        <v/>
      </c>
    </row>
    <row r="48" spans="1:7" ht="23.1" customHeight="1">
      <c r="A48" s="16" t="str">
        <f>IF('7'!A48="","",'7'!A48)</f>
        <v/>
      </c>
      <c r="B48" s="16" t="str">
        <f>IF('7'!B48="","",'7'!B48)</f>
        <v/>
      </c>
      <c r="C48" s="17" t="str">
        <f>IF('7'!C48="","",'7'!C48)</f>
        <v/>
      </c>
      <c r="D48" s="219" t="str">
        <f>IF('7'!D48="","",'7'!D48)</f>
        <v/>
      </c>
      <c r="E48" s="17" t="str">
        <f>IF('7'!E48="","",'7'!E48)</f>
        <v/>
      </c>
      <c r="F48" s="219" t="str">
        <f>IF('7'!F48="","",'7'!F48)</f>
        <v/>
      </c>
      <c r="G48" s="17" t="str">
        <f>IF('7'!G48="","",'7'!G48)</f>
        <v/>
      </c>
    </row>
    <row r="49" spans="1:7" ht="23.1" customHeight="1">
      <c r="A49" s="16" t="str">
        <f>IF('7'!A49="","",'7'!A49)</f>
        <v/>
      </c>
      <c r="B49" s="16" t="str">
        <f>IF('7'!B49="","",'7'!B49)</f>
        <v/>
      </c>
      <c r="C49" s="17" t="str">
        <f>IF('7'!C49="","",'7'!C49)</f>
        <v/>
      </c>
      <c r="D49" s="219" t="str">
        <f>IF('7'!D49="","",'7'!D49)</f>
        <v/>
      </c>
      <c r="E49" s="17" t="str">
        <f>IF('7'!E49="","",'7'!E49)</f>
        <v/>
      </c>
      <c r="F49" s="219" t="str">
        <f>IF('7'!F49="","",'7'!F49)</f>
        <v/>
      </c>
      <c r="G49" s="17" t="str">
        <f>IF('7'!G49="","",'7'!G49)</f>
        <v/>
      </c>
    </row>
    <row r="50" spans="1:7" ht="23.1" customHeight="1">
      <c r="A50" s="16" t="str">
        <f>IF('7'!A50="","",'7'!A50)</f>
        <v/>
      </c>
      <c r="B50" s="16" t="str">
        <f>IF('7'!B50="","",'7'!B50)</f>
        <v/>
      </c>
      <c r="C50" s="17" t="str">
        <f>IF('7'!C50="","",'7'!C50)</f>
        <v/>
      </c>
      <c r="D50" s="219" t="str">
        <f>IF('7'!D50="","",'7'!D50)</f>
        <v/>
      </c>
      <c r="E50" s="17" t="str">
        <f>IF('7'!E50="","",'7'!E50)</f>
        <v/>
      </c>
      <c r="F50" s="219" t="str">
        <f>IF('7'!F50="","",'7'!F50)</f>
        <v/>
      </c>
      <c r="G50" s="17" t="str">
        <f>IF('7'!G50="","",'7'!G50)</f>
        <v/>
      </c>
    </row>
    <row r="51" spans="1:7" ht="23.1" customHeight="1">
      <c r="A51" s="16" t="str">
        <f>IF('7'!A51="","",'7'!A51)</f>
        <v/>
      </c>
      <c r="B51" s="16" t="str">
        <f>IF('7'!B51="","",'7'!B51)</f>
        <v/>
      </c>
      <c r="C51" s="17" t="str">
        <f>IF('7'!C51="","",'7'!C51)</f>
        <v/>
      </c>
      <c r="D51" s="219" t="str">
        <f>IF('7'!D51="","",'7'!D51)</f>
        <v/>
      </c>
      <c r="E51" s="17" t="str">
        <f>IF('7'!E51="","",'7'!E51)</f>
        <v/>
      </c>
      <c r="F51" s="219" t="str">
        <f>IF('7'!F51="","",'7'!F51)</f>
        <v/>
      </c>
      <c r="G51" s="17" t="str">
        <f>IF('7'!G51="","",'7'!G51)</f>
        <v/>
      </c>
    </row>
    <row r="52" spans="1:7" ht="23.1" customHeight="1">
      <c r="A52" s="16" t="str">
        <f>IF('7'!A52="","",'7'!A52)</f>
        <v/>
      </c>
      <c r="B52" s="16" t="str">
        <f>IF('7'!B52="","",'7'!B52)</f>
        <v/>
      </c>
      <c r="C52" s="17" t="str">
        <f>IF('7'!C52="","",'7'!C52)</f>
        <v/>
      </c>
      <c r="D52" s="219" t="str">
        <f>IF('7'!D52="","",'7'!D52)</f>
        <v/>
      </c>
      <c r="E52" s="17" t="str">
        <f>IF('7'!E52="","",'7'!E52)</f>
        <v/>
      </c>
      <c r="F52" s="219" t="str">
        <f>IF('7'!F52="","",'7'!F52)</f>
        <v/>
      </c>
      <c r="G52" s="17" t="str">
        <f>IF('7'!G52="","",'7'!G52)</f>
        <v/>
      </c>
    </row>
    <row r="53" spans="1:7" ht="23.1" customHeight="1">
      <c r="A53" s="16" t="str">
        <f>IF('7'!A53="","",'7'!A53)</f>
        <v/>
      </c>
      <c r="B53" s="16" t="str">
        <f>IF('7'!B53="","",'7'!B53)</f>
        <v/>
      </c>
      <c r="C53" s="17" t="str">
        <f>IF('7'!C53="","",'7'!C53)</f>
        <v/>
      </c>
      <c r="D53" s="219" t="str">
        <f>IF('7'!D53="","",'7'!D53)</f>
        <v/>
      </c>
      <c r="E53" s="17" t="str">
        <f>IF('7'!E53="","",'7'!E53)</f>
        <v/>
      </c>
      <c r="F53" s="219" t="str">
        <f>IF('7'!F53="","",'7'!F53)</f>
        <v/>
      </c>
      <c r="G53" s="17" t="str">
        <f>IF('7'!G53="","",'7'!G53)</f>
        <v/>
      </c>
    </row>
    <row r="54" spans="1:7" ht="23.1" customHeight="1">
      <c r="A54" s="16" t="str">
        <f>IF('7'!A54="","",'7'!A54)</f>
        <v/>
      </c>
      <c r="B54" s="16" t="str">
        <f>IF('7'!B54="","",'7'!B54)</f>
        <v/>
      </c>
      <c r="C54" s="17" t="str">
        <f>IF('7'!C54="","",'7'!C54)</f>
        <v/>
      </c>
      <c r="D54" s="219" t="str">
        <f>IF('7'!D54="","",'7'!D54)</f>
        <v/>
      </c>
      <c r="E54" s="17" t="str">
        <f>IF('7'!E54="","",'7'!E54)</f>
        <v/>
      </c>
      <c r="F54" s="219" t="str">
        <f>IF('7'!F54="","",'7'!F54)</f>
        <v/>
      </c>
      <c r="G54" s="17" t="str">
        <f>IF('7'!G54="","",'7'!G54)</f>
        <v/>
      </c>
    </row>
    <row r="55" spans="1:7" ht="23.1" customHeight="1">
      <c r="A55" s="16" t="str">
        <f>IF('7'!A55="","",'7'!A55)</f>
        <v/>
      </c>
      <c r="B55" s="16" t="str">
        <f>IF('7'!B55="","",'7'!B55)</f>
        <v/>
      </c>
      <c r="C55" s="17" t="str">
        <f>IF('7'!C55="","",'7'!C55)</f>
        <v/>
      </c>
      <c r="D55" s="219" t="str">
        <f>IF('7'!D55="","",'7'!D55)</f>
        <v/>
      </c>
      <c r="E55" s="17" t="str">
        <f>IF('7'!E55="","",'7'!E55)</f>
        <v/>
      </c>
      <c r="F55" s="219" t="str">
        <f>IF('7'!F55="","",'7'!F55)</f>
        <v/>
      </c>
      <c r="G55" s="17" t="str">
        <f>IF('7'!G55="","",'7'!G55)</f>
        <v/>
      </c>
    </row>
    <row r="56" spans="1:7" ht="23.1" customHeight="1">
      <c r="A56" s="16" t="str">
        <f>IF('7'!A56="","",'7'!A56)</f>
        <v/>
      </c>
      <c r="B56" s="16" t="str">
        <f>IF('7'!B56="","",'7'!B56)</f>
        <v/>
      </c>
      <c r="C56" s="17" t="str">
        <f>IF('7'!C56="","",'7'!C56)</f>
        <v/>
      </c>
      <c r="D56" s="219" t="str">
        <f>IF('7'!D56="","",'7'!D56)</f>
        <v/>
      </c>
      <c r="E56" s="17" t="str">
        <f>IF('7'!E56="","",'7'!E56)</f>
        <v/>
      </c>
      <c r="F56" s="219" t="str">
        <f>IF('7'!F56="","",'7'!F56)</f>
        <v/>
      </c>
      <c r="G56" s="17" t="str">
        <f>IF('7'!G56="","",'7'!G56)</f>
        <v/>
      </c>
    </row>
    <row r="57" spans="1:7" ht="23.1" customHeight="1">
      <c r="A57" s="16" t="str">
        <f>IF('7'!A57="","",'7'!A57)</f>
        <v/>
      </c>
      <c r="B57" s="16" t="str">
        <f>IF('7'!B57="","",'7'!B57)</f>
        <v/>
      </c>
      <c r="C57" s="17" t="str">
        <f>IF('7'!C57="","",'7'!C57)</f>
        <v/>
      </c>
      <c r="D57" s="219" t="str">
        <f>IF('7'!D57="","",'7'!D57)</f>
        <v/>
      </c>
      <c r="E57" s="17" t="str">
        <f>IF('7'!E57="","",'7'!E57)</f>
        <v/>
      </c>
      <c r="F57" s="219" t="str">
        <f>IF('7'!F57="","",'7'!F57)</f>
        <v/>
      </c>
      <c r="G57" s="17" t="str">
        <f>IF('7'!G57="","",'7'!G57)</f>
        <v/>
      </c>
    </row>
    <row r="58" spans="1:7" ht="23.1" customHeight="1">
      <c r="A58" s="16" t="str">
        <f>IF('7'!A58="","",'7'!A58)</f>
        <v/>
      </c>
      <c r="B58" s="16" t="str">
        <f>IF('7'!B58="","",'7'!B58)</f>
        <v/>
      </c>
      <c r="C58" s="17" t="str">
        <f>IF('7'!C58="","",'7'!C58)</f>
        <v/>
      </c>
      <c r="D58" s="219" t="str">
        <f>IF('7'!D58="","",'7'!D58)</f>
        <v/>
      </c>
      <c r="E58" s="17" t="str">
        <f>IF('7'!E58="","",'7'!E58)</f>
        <v/>
      </c>
      <c r="F58" s="219" t="str">
        <f>IF('7'!F58="","",'7'!F58)</f>
        <v/>
      </c>
      <c r="G58" s="17" t="str">
        <f>IF('7'!G58="","",'7'!G58)</f>
        <v/>
      </c>
    </row>
    <row r="59" spans="1:7" ht="23.1" customHeight="1">
      <c r="A59" s="16" t="str">
        <f>IF('7'!A59="","",'7'!A59)</f>
        <v/>
      </c>
      <c r="B59" s="16" t="str">
        <f>IF('7'!B59="","",'7'!B59)</f>
        <v/>
      </c>
      <c r="C59" s="17" t="str">
        <f>IF('7'!C59="","",'7'!C59)</f>
        <v/>
      </c>
      <c r="D59" s="219" t="str">
        <f>IF('7'!D59="","",'7'!D59)</f>
        <v/>
      </c>
      <c r="E59" s="17" t="str">
        <f>IF('7'!E59="","",'7'!E59)</f>
        <v/>
      </c>
      <c r="F59" s="219" t="str">
        <f>IF('7'!F59="","",'7'!F59)</f>
        <v/>
      </c>
      <c r="G59" s="17" t="str">
        <f>IF('7'!G59="","",'7'!G59)</f>
        <v/>
      </c>
    </row>
    <row r="60" spans="1:7" ht="23.1" customHeight="1">
      <c r="A60" s="16" t="str">
        <f>IF('7'!A60="","",'7'!A60)</f>
        <v/>
      </c>
      <c r="B60" s="16" t="str">
        <f>IF('7'!B60="","",'7'!B60)</f>
        <v/>
      </c>
      <c r="C60" s="17" t="str">
        <f>IF('7'!C60="","",'7'!C60)</f>
        <v/>
      </c>
      <c r="D60" s="219" t="str">
        <f>IF('7'!D60="","",'7'!D60)</f>
        <v/>
      </c>
      <c r="E60" s="17" t="str">
        <f>IF('7'!E60="","",'7'!E60)</f>
        <v/>
      </c>
      <c r="F60" s="219" t="str">
        <f>IF('7'!F60="","",'7'!F60)</f>
        <v/>
      </c>
      <c r="G60" s="17" t="str">
        <f>IF('7'!G60="","",'7'!G60)</f>
        <v/>
      </c>
    </row>
    <row r="61" spans="1:7" ht="23.1" customHeight="1">
      <c r="A61" s="16" t="str">
        <f>IF('7'!A61="","",'7'!A61)</f>
        <v/>
      </c>
      <c r="B61" s="16" t="str">
        <f>IF('7'!B61="","",'7'!B61)</f>
        <v/>
      </c>
      <c r="C61" s="17" t="str">
        <f>IF('7'!C61="","",'7'!C61)</f>
        <v/>
      </c>
      <c r="D61" s="219" t="str">
        <f>IF('7'!D61="","",'7'!D61)</f>
        <v/>
      </c>
      <c r="E61" s="17" t="str">
        <f>IF('7'!E61="","",'7'!E61)</f>
        <v/>
      </c>
      <c r="F61" s="219" t="str">
        <f>IF('7'!F61="","",'7'!F61)</f>
        <v/>
      </c>
      <c r="G61" s="17" t="str">
        <f>IF('7'!G61="","",'7'!G61)</f>
        <v/>
      </c>
    </row>
    <row r="62" spans="1:7" ht="23.1" customHeight="1">
      <c r="A62" s="16" t="str">
        <f>IF('7'!A62="","",'7'!A62)</f>
        <v/>
      </c>
      <c r="B62" s="16" t="str">
        <f>IF('7'!B62="","",'7'!B62)</f>
        <v/>
      </c>
      <c r="C62" s="17" t="str">
        <f>IF('7'!C62="","",'7'!C62)</f>
        <v/>
      </c>
      <c r="D62" s="219" t="str">
        <f>IF('7'!D62="","",'7'!D62)</f>
        <v/>
      </c>
      <c r="E62" s="17" t="str">
        <f>IF('7'!E62="","",'7'!E62)</f>
        <v/>
      </c>
      <c r="F62" s="219" t="str">
        <f>IF('7'!F62="","",'7'!F62)</f>
        <v/>
      </c>
      <c r="G62" s="17" t="str">
        <f>IF('7'!G62="","",'7'!G62)</f>
        <v/>
      </c>
    </row>
    <row r="63" spans="1:7" ht="23.1" customHeight="1">
      <c r="A63" s="16" t="str">
        <f>IF('7'!A63="","",'7'!A63)</f>
        <v/>
      </c>
      <c r="B63" s="16" t="str">
        <f>IF('7'!B63="","",'7'!B63)</f>
        <v/>
      </c>
      <c r="C63" s="17" t="str">
        <f>IF('7'!C63="","",'7'!C63)</f>
        <v/>
      </c>
      <c r="D63" s="219" t="str">
        <f>IF('7'!D63="","",'7'!D63)</f>
        <v/>
      </c>
      <c r="E63" s="17" t="str">
        <f>IF('7'!E63="","",'7'!E63)</f>
        <v/>
      </c>
      <c r="F63" s="219" t="str">
        <f>IF('7'!F63="","",'7'!F63)</f>
        <v/>
      </c>
      <c r="G63" s="17" t="str">
        <f>IF('7'!G63="","",'7'!G63)</f>
        <v/>
      </c>
    </row>
    <row r="64" spans="1:7" ht="23.1" customHeight="1">
      <c r="A64" s="16" t="str">
        <f>IF('7'!A64="","",'7'!A64)</f>
        <v/>
      </c>
      <c r="B64" s="16" t="str">
        <f>IF('7'!B64="","",'7'!B64)</f>
        <v/>
      </c>
      <c r="C64" s="17" t="str">
        <f>IF('7'!C64="","",'7'!C64)</f>
        <v/>
      </c>
      <c r="D64" s="219" t="str">
        <f>IF('7'!D64="","",'7'!D64)</f>
        <v/>
      </c>
      <c r="E64" s="17" t="str">
        <f>IF('7'!E64="","",'7'!E64)</f>
        <v/>
      </c>
      <c r="F64" s="219" t="str">
        <f>IF('7'!F64="","",'7'!F64)</f>
        <v/>
      </c>
      <c r="G64" s="17" t="str">
        <f>IF('7'!G64="","",'7'!G64)</f>
        <v/>
      </c>
    </row>
    <row r="65" spans="1:7" ht="23.1" customHeight="1">
      <c r="A65" s="16" t="str">
        <f>IF('7'!A65="","",'7'!A65)</f>
        <v/>
      </c>
      <c r="B65" s="16" t="str">
        <f>IF('7'!B65="","",'7'!B65)</f>
        <v/>
      </c>
      <c r="C65" s="17" t="str">
        <f>IF('7'!C65="","",'7'!C65)</f>
        <v/>
      </c>
      <c r="D65" s="219" t="str">
        <f>IF('7'!D65="","",'7'!D65)</f>
        <v/>
      </c>
      <c r="E65" s="17" t="str">
        <f>IF('7'!E65="","",'7'!E65)</f>
        <v/>
      </c>
      <c r="F65" s="219" t="str">
        <f>IF('7'!F65="","",'7'!F65)</f>
        <v/>
      </c>
      <c r="G65" s="17" t="str">
        <f>IF('7'!G65="","",'7'!G65)</f>
        <v/>
      </c>
    </row>
    <row r="66" spans="1:7" ht="23.1" customHeight="1">
      <c r="A66" s="16" t="str">
        <f>IF('7'!A66="","",'7'!A66)</f>
        <v/>
      </c>
      <c r="B66" s="16" t="str">
        <f>IF('7'!B66="","",'7'!B66)</f>
        <v/>
      </c>
      <c r="C66" s="17" t="str">
        <f>IF('7'!C66="","",'7'!C66)</f>
        <v/>
      </c>
      <c r="D66" s="219" t="str">
        <f>IF('7'!D66="","",'7'!D66)</f>
        <v/>
      </c>
      <c r="E66" s="17" t="str">
        <f>IF('7'!E66="","",'7'!E66)</f>
        <v/>
      </c>
      <c r="F66" s="219" t="str">
        <f>IF('7'!F66="","",'7'!F66)</f>
        <v/>
      </c>
      <c r="G66" s="17" t="str">
        <f>IF('7'!G66="","",'7'!G66)</f>
        <v/>
      </c>
    </row>
    <row r="67" spans="1:7" ht="23.1" customHeight="1">
      <c r="A67" s="16" t="str">
        <f>IF('7'!A67="","",'7'!A67)</f>
        <v/>
      </c>
      <c r="B67" s="16" t="str">
        <f>IF('7'!B67="","",'7'!B67)</f>
        <v/>
      </c>
      <c r="C67" s="17" t="str">
        <f>IF('7'!C67="","",'7'!C67)</f>
        <v/>
      </c>
      <c r="D67" s="219" t="str">
        <f>IF('7'!D67="","",'7'!D67)</f>
        <v/>
      </c>
      <c r="E67" s="17" t="str">
        <f>IF('7'!E67="","",'7'!E67)</f>
        <v/>
      </c>
      <c r="F67" s="219" t="str">
        <f>IF('7'!F67="","",'7'!F67)</f>
        <v/>
      </c>
      <c r="G67" s="17" t="str">
        <f>IF('7'!G67="","",'7'!G67)</f>
        <v/>
      </c>
    </row>
    <row r="68" spans="1:7" ht="23.1" customHeight="1">
      <c r="A68" s="16" t="str">
        <f>IF('7'!A68="","",'7'!A68)</f>
        <v/>
      </c>
      <c r="B68" s="16" t="str">
        <f>IF('7'!B68="","",'7'!B68)</f>
        <v/>
      </c>
      <c r="C68" s="17" t="str">
        <f>IF('7'!C68="","",'7'!C68)</f>
        <v/>
      </c>
      <c r="D68" s="219" t="str">
        <f>IF('7'!D68="","",'7'!D68)</f>
        <v/>
      </c>
      <c r="E68" s="17" t="str">
        <f>IF('7'!E68="","",'7'!E68)</f>
        <v/>
      </c>
      <c r="F68" s="219" t="str">
        <f>IF('7'!F68="","",'7'!F68)</f>
        <v/>
      </c>
      <c r="G68" s="17" t="str">
        <f>IF('7'!G68="","",'7'!G68)</f>
        <v/>
      </c>
    </row>
    <row r="69" spans="1:7" ht="23.1" customHeight="1">
      <c r="A69" s="16" t="str">
        <f>IF('7'!A69="","",'7'!A69)</f>
        <v/>
      </c>
      <c r="B69" s="16" t="str">
        <f>IF('7'!B69="","",'7'!B69)</f>
        <v/>
      </c>
      <c r="C69" s="17" t="str">
        <f>IF('7'!C69="","",'7'!C69)</f>
        <v/>
      </c>
      <c r="D69" s="219" t="str">
        <f>IF('7'!D69="","",'7'!D69)</f>
        <v/>
      </c>
      <c r="E69" s="17" t="str">
        <f>IF('7'!E69="","",'7'!E69)</f>
        <v/>
      </c>
      <c r="F69" s="219" t="str">
        <f>IF('7'!F69="","",'7'!F69)</f>
        <v/>
      </c>
      <c r="G69" s="17" t="str">
        <f>IF('7'!G69="","",'7'!G69)</f>
        <v/>
      </c>
    </row>
    <row r="70" spans="1:7" ht="23.1" customHeight="1">
      <c r="A70" s="16" t="str">
        <f>IF('7'!A70="","",'7'!A70)</f>
        <v/>
      </c>
      <c r="B70" s="16" t="str">
        <f>IF('7'!B70="","",'7'!B70)</f>
        <v/>
      </c>
      <c r="C70" s="17" t="str">
        <f>IF('7'!C70="","",'7'!C70)</f>
        <v/>
      </c>
      <c r="D70" s="219" t="str">
        <f>IF('7'!D70="","",'7'!D70)</f>
        <v/>
      </c>
      <c r="E70" s="17" t="str">
        <f>IF('7'!E70="","",'7'!E70)</f>
        <v/>
      </c>
      <c r="F70" s="219" t="str">
        <f>IF('7'!F70="","",'7'!F70)</f>
        <v/>
      </c>
      <c r="G70" s="17" t="str">
        <f>IF('7'!G70="","",'7'!G70)</f>
        <v/>
      </c>
    </row>
    <row r="71" spans="1:7" ht="23.1" customHeight="1">
      <c r="A71" s="16" t="str">
        <f>IF('7'!A71="","",'7'!A71)</f>
        <v/>
      </c>
      <c r="B71" s="16" t="str">
        <f>IF('7'!B71="","",'7'!B71)</f>
        <v/>
      </c>
      <c r="C71" s="17" t="str">
        <f>IF('7'!C71="","",'7'!C71)</f>
        <v/>
      </c>
      <c r="D71" s="219" t="str">
        <f>IF('7'!D71="","",'7'!D71)</f>
        <v/>
      </c>
      <c r="E71" s="17" t="str">
        <f>IF('7'!E71="","",'7'!E71)</f>
        <v/>
      </c>
      <c r="F71" s="219" t="str">
        <f>IF('7'!F71="","",'7'!F71)</f>
        <v/>
      </c>
      <c r="G71" s="17" t="str">
        <f>IF('7'!G71="","",'7'!G71)</f>
        <v/>
      </c>
    </row>
    <row r="72" spans="1:7" ht="23.1" customHeight="1">
      <c r="A72" s="16" t="str">
        <f>IF('7'!A72="","",'7'!A72)</f>
        <v/>
      </c>
      <c r="B72" s="16" t="str">
        <f>IF('7'!B72="","",'7'!B72)</f>
        <v/>
      </c>
      <c r="C72" s="17" t="str">
        <f>IF('7'!C72="","",'7'!C72)</f>
        <v/>
      </c>
      <c r="D72" s="219" t="str">
        <f>IF('7'!D72="","",'7'!D72)</f>
        <v/>
      </c>
      <c r="E72" s="17" t="str">
        <f>IF('7'!E72="","",'7'!E72)</f>
        <v/>
      </c>
      <c r="F72" s="219" t="str">
        <f>IF('7'!F72="","",'7'!F72)</f>
        <v/>
      </c>
      <c r="G72" s="17" t="str">
        <f>IF('7'!G72="","",'7'!G72)</f>
        <v/>
      </c>
    </row>
    <row r="73" spans="1:7" ht="23.1" customHeight="1">
      <c r="A73" s="16" t="str">
        <f>IF('7'!A73="","",'7'!A73)</f>
        <v/>
      </c>
      <c r="B73" s="16" t="str">
        <f>IF('7'!B73="","",'7'!B73)</f>
        <v/>
      </c>
      <c r="C73" s="17" t="str">
        <f>IF('7'!C73="","",'7'!C73)</f>
        <v/>
      </c>
      <c r="D73" s="219" t="str">
        <f>IF('7'!D73="","",'7'!D73)</f>
        <v/>
      </c>
      <c r="E73" s="17" t="str">
        <f>IF('7'!E73="","",'7'!E73)</f>
        <v/>
      </c>
      <c r="F73" s="219" t="str">
        <f>IF('7'!F73="","",'7'!F73)</f>
        <v/>
      </c>
      <c r="G73" s="17" t="str">
        <f>IF('7'!G73="","",'7'!G73)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7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r:id="rId1"/>
  <headerFooter alignWithMargins="0">
    <oddHeader>&amp;R&amp;P/&amp;N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2F165-9306-4264-B191-A8E601DC1893}">
  <sheetPr codeName="Sheet12">
    <tabColor rgb="FF0070C0"/>
  </sheetPr>
  <dimension ref="A4:J16"/>
  <sheetViews>
    <sheetView workbookViewId="0">
      <selection activeCell="L15" sqref="L15"/>
    </sheetView>
  </sheetViews>
  <sheetFormatPr defaultColWidth="8.88671875" defaultRowHeight="30" customHeight="1"/>
  <cols>
    <col min="1" max="1" width="8.88671875" style="107"/>
    <col min="2" max="3" width="8.88671875" style="105"/>
    <col min="4" max="4" width="13.6640625" style="106" customWidth="1"/>
    <col min="5" max="5" width="9.88671875" style="105" bestFit="1" customWidth="1"/>
    <col min="6" max="16384" width="8.88671875" style="105"/>
  </cols>
  <sheetData>
    <row r="4" spans="1:10" ht="30" customHeight="1">
      <c r="A4" s="244" t="str">
        <f>'8_MC'!C7</f>
        <v xml:space="preserve">2026 Fuji Horse Show Autumn Grand Prix </v>
      </c>
      <c r="B4" s="244"/>
      <c r="C4" s="244"/>
      <c r="D4" s="244"/>
      <c r="E4" s="244"/>
      <c r="F4" s="244"/>
      <c r="G4" s="244"/>
      <c r="H4" s="244"/>
      <c r="I4" s="244"/>
      <c r="J4" s="244"/>
    </row>
    <row r="6" spans="1:10" ht="30" customHeight="1">
      <c r="A6" s="107" t="s">
        <v>41</v>
      </c>
      <c r="B6" s="110">
        <f>'8_MC'!B8</f>
        <v>8</v>
      </c>
      <c r="C6" s="105" t="s">
        <v>42</v>
      </c>
      <c r="D6" s="108" t="str">
        <f>'8_MC'!D8:F8</f>
        <v>Ｍ－Ｃ級障害飛越競技</v>
      </c>
    </row>
    <row r="8" spans="1:10" ht="30" customHeight="1">
      <c r="C8" s="105" t="s">
        <v>96</v>
      </c>
      <c r="E8" s="109" t="s">
        <v>101</v>
      </c>
    </row>
    <row r="9" spans="1:10" ht="30" customHeight="1">
      <c r="C9" s="105" t="s">
        <v>95</v>
      </c>
      <c r="E9" s="109" t="s">
        <v>102</v>
      </c>
      <c r="F9" s="105" t="s">
        <v>94</v>
      </c>
    </row>
    <row r="11" spans="1:10" ht="30" customHeight="1">
      <c r="C11" s="245"/>
      <c r="D11" s="245"/>
      <c r="E11" s="245"/>
      <c r="F11" s="245"/>
      <c r="G11" s="245"/>
    </row>
    <row r="12" spans="1:10" ht="30" customHeight="1">
      <c r="D12" s="105"/>
      <c r="F12" s="106"/>
      <c r="G12" s="106"/>
    </row>
    <row r="13" spans="1:10" ht="30" customHeight="1">
      <c r="D13" s="105"/>
      <c r="F13" s="106"/>
      <c r="G13" s="106"/>
    </row>
    <row r="14" spans="1:10" ht="30" customHeight="1">
      <c r="D14" s="105"/>
      <c r="G14" s="106"/>
    </row>
    <row r="15" spans="1:10" ht="30" customHeight="1">
      <c r="D15" s="105"/>
      <c r="G15" s="106"/>
    </row>
    <row r="16" spans="1:10" ht="30" customHeight="1">
      <c r="D16" s="108"/>
      <c r="E16" s="108"/>
      <c r="F16" s="108"/>
      <c r="G16" s="108"/>
    </row>
  </sheetData>
  <mergeCells count="2">
    <mergeCell ref="A4:J4"/>
    <mergeCell ref="C11:G11"/>
  </mergeCells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0070C0"/>
  </sheetPr>
  <dimension ref="A1:G73"/>
  <sheetViews>
    <sheetView view="pageBreakPreview" topLeftCell="A27" zoomScale="96" zoomScaleNormal="100" zoomScaleSheetLayoutView="96" workbookViewId="0">
      <selection activeCell="F13" sqref="F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'8'!C2</f>
        <v>0</v>
      </c>
      <c r="D6" s="3"/>
      <c r="F6" s="4" t="s">
        <v>2</v>
      </c>
      <c r="G6" s="6">
        <v>46276</v>
      </c>
    </row>
    <row r="7" spans="1:7" ht="24" customHeight="1">
      <c r="A7" s="7"/>
      <c r="B7" s="4" t="s">
        <v>4</v>
      </c>
      <c r="C7" s="8" t="str">
        <f>'8'!C3</f>
        <v xml:space="preserve">2026 Fuji Horse Show Autumn Grand Prix </v>
      </c>
      <c r="D7" s="9"/>
      <c r="E7" s="9"/>
      <c r="F7" s="9"/>
      <c r="G7" s="117" t="s">
        <v>727</v>
      </c>
    </row>
    <row r="8" spans="1:7" ht="21" customHeight="1">
      <c r="A8" s="10" t="s">
        <v>41</v>
      </c>
      <c r="B8" s="68">
        <f>'8'!C4</f>
        <v>8</v>
      </c>
      <c r="C8" s="4" t="s">
        <v>42</v>
      </c>
      <c r="D8" s="237" t="str">
        <f>'8'!F4</f>
        <v>Ｍ－Ｃ級障害飛越競技</v>
      </c>
      <c r="E8" s="237"/>
      <c r="F8" s="237"/>
    </row>
    <row r="9" spans="1:7" ht="18.75" customHeight="1">
      <c r="C9" s="11" t="s">
        <v>11</v>
      </c>
      <c r="D9" s="217" t="str">
        <f>'8'!D5</f>
        <v>-</v>
      </c>
      <c r="E9" s="4" t="s">
        <v>9</v>
      </c>
      <c r="F9" s="220" t="str">
        <f>'8'!K4</f>
        <v>-</v>
      </c>
    </row>
    <row r="10" spans="1:7" ht="21" customHeight="1">
      <c r="A10" s="12" t="s">
        <v>43</v>
      </c>
      <c r="B10" s="12"/>
      <c r="C10" s="12"/>
      <c r="D10" s="218" t="str">
        <f>'8'!D6</f>
        <v>-</v>
      </c>
      <c r="E10" s="4" t="s">
        <v>12</v>
      </c>
      <c r="F10" s="221" t="str">
        <f>'8'!F5</f>
        <v>-</v>
      </c>
      <c r="G10" s="13" t="s">
        <v>44</v>
      </c>
    </row>
    <row r="11" spans="1:7" ht="5.0999999999999996" customHeight="1"/>
    <row r="12" spans="1:7" ht="15" customHeight="1">
      <c r="A12" s="238" t="s">
        <v>45</v>
      </c>
      <c r="B12" s="240" t="s">
        <v>46</v>
      </c>
      <c r="C12" s="242" t="s">
        <v>47</v>
      </c>
      <c r="D12" s="243"/>
      <c r="E12" s="235" t="s">
        <v>48</v>
      </c>
      <c r="F12" s="235"/>
      <c r="G12" s="235" t="s">
        <v>49</v>
      </c>
    </row>
    <row r="13" spans="1:7" ht="24" customHeight="1">
      <c r="A13" s="239"/>
      <c r="B13" s="241"/>
      <c r="C13" s="14" t="s">
        <v>52</v>
      </c>
      <c r="D13" s="15" t="s">
        <v>53</v>
      </c>
      <c r="E13" s="15" t="s">
        <v>54</v>
      </c>
      <c r="F13" s="15" t="s">
        <v>55</v>
      </c>
      <c r="G13" s="236"/>
    </row>
    <row r="14" spans="1:7" s="19" customFormat="1" ht="23.1" customHeight="1">
      <c r="A14" s="16" t="str">
        <f>IF('8'!A14="","",'8'!A14)</f>
        <v>ＯＰ</v>
      </c>
      <c r="B14" s="16">
        <f>IF('8'!B14="","",'8'!B14)</f>
        <v>1</v>
      </c>
      <c r="C14" s="17" t="str">
        <f>IF('8'!C14="","",'8'!C14)</f>
        <v>森　裕悟</v>
      </c>
      <c r="D14" s="219">
        <f>IF('8'!D14="","",'8'!D14)</f>
        <v>15169</v>
      </c>
      <c r="E14" s="17" t="str">
        <f>IF('8'!E14="","",'8'!E14)</f>
        <v>ジュノンAO</v>
      </c>
      <c r="F14" s="219">
        <f>IF('8'!F14="","",'8'!F14)</f>
        <v>59391</v>
      </c>
      <c r="G14" s="17" t="str">
        <f>IF('8'!G14="","",'8'!G14)</f>
        <v>AOステーブル</v>
      </c>
    </row>
    <row r="15" spans="1:7" s="19" customFormat="1" ht="23.1" customHeight="1">
      <c r="A15" s="16" t="str">
        <f>IF('8'!A15="","",'8'!A15)</f>
        <v/>
      </c>
      <c r="B15" s="16">
        <f>IF('8'!B15="","",'8'!B15)</f>
        <v>2</v>
      </c>
      <c r="C15" s="17" t="str">
        <f>IF('8'!C15="","",'8'!C15)</f>
        <v/>
      </c>
      <c r="D15" s="219" t="str">
        <f>IF('8'!D15="","",'8'!D15)</f>
        <v/>
      </c>
      <c r="E15" s="17" t="str">
        <f>IF('8'!E15="","",'8'!E15)</f>
        <v/>
      </c>
      <c r="F15" s="219" t="str">
        <f>IF('8'!F15="","",'8'!F15)</f>
        <v/>
      </c>
      <c r="G15" s="17" t="str">
        <f>IF('8'!G15="","",'8'!G15)</f>
        <v/>
      </c>
    </row>
    <row r="16" spans="1:7" s="19" customFormat="1" ht="23.1" customHeight="1">
      <c r="A16" s="16" t="str">
        <f>IF('8'!A16="","",'8'!A16)</f>
        <v/>
      </c>
      <c r="B16" s="16">
        <f>IF('8'!B16="","",'8'!B16)</f>
        <v>3</v>
      </c>
      <c r="C16" s="17" t="str">
        <f>IF('8'!C16="","",'8'!C16)</f>
        <v/>
      </c>
      <c r="D16" s="219" t="str">
        <f>IF('8'!D16="","",'8'!D16)</f>
        <v/>
      </c>
      <c r="E16" s="17" t="str">
        <f>IF('8'!E16="","",'8'!E16)</f>
        <v/>
      </c>
      <c r="F16" s="219" t="str">
        <f>IF('8'!F16="","",'8'!F16)</f>
        <v/>
      </c>
      <c r="G16" s="17" t="str">
        <f>IF('8'!G16="","",'8'!G16)</f>
        <v/>
      </c>
    </row>
    <row r="17" spans="1:7" s="19" customFormat="1" ht="23.1" customHeight="1">
      <c r="A17" s="16" t="str">
        <f>IF('8'!A17="","",'8'!A17)</f>
        <v/>
      </c>
      <c r="B17" s="16">
        <f>IF('8'!B17="","",'8'!B17)</f>
        <v>4</v>
      </c>
      <c r="C17" s="17" t="str">
        <f>IF('8'!C17="","",'8'!C17)</f>
        <v/>
      </c>
      <c r="D17" s="219" t="str">
        <f>IF('8'!D17="","",'8'!D17)</f>
        <v/>
      </c>
      <c r="E17" s="17" t="str">
        <f>IF('8'!E17="","",'8'!E17)</f>
        <v/>
      </c>
      <c r="F17" s="219" t="str">
        <f>IF('8'!F17="","",'8'!F17)</f>
        <v/>
      </c>
      <c r="G17" s="17" t="str">
        <f>IF('8'!G17="","",'8'!G17)</f>
        <v/>
      </c>
    </row>
    <row r="18" spans="1:7" s="19" customFormat="1" ht="23.1" customHeight="1">
      <c r="A18" s="16" t="str">
        <f>IF('8'!A18="","",'8'!A18)</f>
        <v/>
      </c>
      <c r="B18" s="16">
        <f>IF('8'!B18="","",'8'!B18)</f>
        <v>5</v>
      </c>
      <c r="C18" s="17" t="str">
        <f>IF('8'!C18="","",'8'!C18)</f>
        <v/>
      </c>
      <c r="D18" s="219" t="str">
        <f>IF('8'!D18="","",'8'!D18)</f>
        <v/>
      </c>
      <c r="E18" s="17" t="str">
        <f>IF('8'!E18="","",'8'!E18)</f>
        <v/>
      </c>
      <c r="F18" s="219" t="str">
        <f>IF('8'!F18="","",'8'!F18)</f>
        <v/>
      </c>
      <c r="G18" s="17" t="str">
        <f>IF('8'!G18="","",'8'!G18)</f>
        <v/>
      </c>
    </row>
    <row r="19" spans="1:7" s="19" customFormat="1" ht="23.1" customHeight="1">
      <c r="A19" s="16" t="str">
        <f>IF('8'!A19="","",'8'!A19)</f>
        <v/>
      </c>
      <c r="B19" s="16">
        <f>IF('8'!B19="","",'8'!B19)</f>
        <v>6</v>
      </c>
      <c r="C19" s="17" t="str">
        <f>IF('8'!C19="","",'8'!C19)</f>
        <v/>
      </c>
      <c r="D19" s="219" t="str">
        <f>IF('8'!D19="","",'8'!D19)</f>
        <v/>
      </c>
      <c r="E19" s="17" t="str">
        <f>IF('8'!E19="","",'8'!E19)</f>
        <v/>
      </c>
      <c r="F19" s="219" t="str">
        <f>IF('8'!F19="","",'8'!F19)</f>
        <v/>
      </c>
      <c r="G19" s="17" t="str">
        <f>IF('8'!G19="","",'8'!G19)</f>
        <v/>
      </c>
    </row>
    <row r="20" spans="1:7" s="19" customFormat="1" ht="23.1" customHeight="1">
      <c r="A20" s="16" t="str">
        <f>IF('8'!A20="","",'8'!A20)</f>
        <v/>
      </c>
      <c r="B20" s="16">
        <f>IF('8'!B20="","",'8'!B20)</f>
        <v>7</v>
      </c>
      <c r="C20" s="17" t="str">
        <f>IF('8'!C20="","",'8'!C20)</f>
        <v/>
      </c>
      <c r="D20" s="219" t="str">
        <f>IF('8'!D20="","",'8'!D20)</f>
        <v/>
      </c>
      <c r="E20" s="17" t="str">
        <f>IF('8'!E20="","",'8'!E20)</f>
        <v/>
      </c>
      <c r="F20" s="219" t="str">
        <f>IF('8'!F20="","",'8'!F20)</f>
        <v/>
      </c>
      <c r="G20" s="17" t="str">
        <f>IF('8'!G20="","",'8'!G20)</f>
        <v/>
      </c>
    </row>
    <row r="21" spans="1:7" s="19" customFormat="1" ht="23.1" customHeight="1">
      <c r="A21" s="16" t="str">
        <f>IF('8'!A21="","",'8'!A21)</f>
        <v/>
      </c>
      <c r="B21" s="16">
        <f>IF('8'!B21="","",'8'!B21)</f>
        <v>8</v>
      </c>
      <c r="C21" s="17" t="str">
        <f>IF('8'!C21="","",'8'!C21)</f>
        <v/>
      </c>
      <c r="D21" s="219" t="str">
        <f>IF('8'!D21="","",'8'!D21)</f>
        <v/>
      </c>
      <c r="E21" s="17" t="str">
        <f>IF('8'!E21="","",'8'!E21)</f>
        <v/>
      </c>
      <c r="F21" s="219" t="str">
        <f>IF('8'!F21="","",'8'!F21)</f>
        <v/>
      </c>
      <c r="G21" s="17" t="str">
        <f>IF('8'!G21="","",'8'!G21)</f>
        <v/>
      </c>
    </row>
    <row r="22" spans="1:7" s="19" customFormat="1" ht="23.1" customHeight="1">
      <c r="A22" s="16" t="str">
        <f>IF('8'!A22="","",'8'!A22)</f>
        <v/>
      </c>
      <c r="B22" s="16">
        <f>IF('8'!B22="","",'8'!B22)</f>
        <v>9</v>
      </c>
      <c r="C22" s="17" t="str">
        <f>IF('8'!C22="","",'8'!C22)</f>
        <v/>
      </c>
      <c r="D22" s="219" t="str">
        <f>IF('8'!D22="","",'8'!D22)</f>
        <v/>
      </c>
      <c r="E22" s="17" t="str">
        <f>IF('8'!E22="","",'8'!E22)</f>
        <v/>
      </c>
      <c r="F22" s="219" t="str">
        <f>IF('8'!F22="","",'8'!F22)</f>
        <v/>
      </c>
      <c r="G22" s="17" t="str">
        <f>IF('8'!G22="","",'8'!G22)</f>
        <v/>
      </c>
    </row>
    <row r="23" spans="1:7" s="19" customFormat="1" ht="23.1" customHeight="1">
      <c r="A23" s="16" t="str">
        <f>IF('8'!A23="","",'8'!A23)</f>
        <v/>
      </c>
      <c r="B23" s="16">
        <f>IF('8'!B23="","",'8'!B23)</f>
        <v>10</v>
      </c>
      <c r="C23" s="17" t="str">
        <f>IF('8'!C23="","",'8'!C23)</f>
        <v/>
      </c>
      <c r="D23" s="219" t="str">
        <f>IF('8'!D23="","",'8'!D23)</f>
        <v/>
      </c>
      <c r="E23" s="17" t="str">
        <f>IF('8'!E23="","",'8'!E23)</f>
        <v/>
      </c>
      <c r="F23" s="219" t="str">
        <f>IF('8'!F23="","",'8'!F23)</f>
        <v/>
      </c>
      <c r="G23" s="17" t="str">
        <f>IF('8'!G23="","",'8'!G23)</f>
        <v/>
      </c>
    </row>
    <row r="24" spans="1:7" s="19" customFormat="1" ht="23.1" customHeight="1">
      <c r="A24" s="16" t="str">
        <f>IF('8'!A24="","",'8'!A24)</f>
        <v/>
      </c>
      <c r="B24" s="16">
        <f>IF('8'!B24="","",'8'!B24)</f>
        <v>11</v>
      </c>
      <c r="C24" s="17" t="str">
        <f>IF('8'!C24="","",'8'!C24)</f>
        <v/>
      </c>
      <c r="D24" s="219" t="str">
        <f>IF('8'!D24="","",'8'!D24)</f>
        <v/>
      </c>
      <c r="E24" s="17" t="str">
        <f>IF('8'!E24="","",'8'!E24)</f>
        <v/>
      </c>
      <c r="F24" s="219" t="str">
        <f>IF('8'!F24="","",'8'!F24)</f>
        <v/>
      </c>
      <c r="G24" s="17" t="str">
        <f>IF('8'!G24="","",'8'!G24)</f>
        <v/>
      </c>
    </row>
    <row r="25" spans="1:7" s="19" customFormat="1" ht="23.1" customHeight="1">
      <c r="A25" s="16" t="str">
        <f>IF('8'!A25="","",'8'!A25)</f>
        <v/>
      </c>
      <c r="B25" s="16">
        <f>IF('8'!B25="","",'8'!B25)</f>
        <v>12</v>
      </c>
      <c r="C25" s="17" t="str">
        <f>IF('8'!C25="","",'8'!C25)</f>
        <v/>
      </c>
      <c r="D25" s="219" t="str">
        <f>IF('8'!D25="","",'8'!D25)</f>
        <v/>
      </c>
      <c r="E25" s="17" t="str">
        <f>IF('8'!E25="","",'8'!E25)</f>
        <v/>
      </c>
      <c r="F25" s="219" t="str">
        <f>IF('8'!F25="","",'8'!F25)</f>
        <v/>
      </c>
      <c r="G25" s="17" t="str">
        <f>IF('8'!G25="","",'8'!G25)</f>
        <v/>
      </c>
    </row>
    <row r="26" spans="1:7" s="19" customFormat="1" ht="23.1" customHeight="1">
      <c r="A26" s="16" t="str">
        <f>IF('8'!A26="","",'8'!A26)</f>
        <v/>
      </c>
      <c r="B26" s="16">
        <f>IF('8'!B26="","",'8'!B26)</f>
        <v>13</v>
      </c>
      <c r="C26" s="17" t="str">
        <f>IF('8'!C26="","",'8'!C26)</f>
        <v/>
      </c>
      <c r="D26" s="219" t="str">
        <f>IF('8'!D26="","",'8'!D26)</f>
        <v/>
      </c>
      <c r="E26" s="17" t="str">
        <f>IF('8'!E26="","",'8'!E26)</f>
        <v/>
      </c>
      <c r="F26" s="219" t="str">
        <f>IF('8'!F26="","",'8'!F26)</f>
        <v/>
      </c>
      <c r="G26" s="17" t="str">
        <f>IF('8'!G26="","",'8'!G26)</f>
        <v/>
      </c>
    </row>
    <row r="27" spans="1:7" s="19" customFormat="1" ht="23.1" customHeight="1">
      <c r="A27" s="16" t="str">
        <f>IF('8'!A27="","",'8'!A27)</f>
        <v/>
      </c>
      <c r="B27" s="16">
        <f>IF('8'!B27="","",'8'!B27)</f>
        <v>14</v>
      </c>
      <c r="C27" s="17" t="str">
        <f>IF('8'!C27="","",'8'!C27)</f>
        <v/>
      </c>
      <c r="D27" s="219" t="str">
        <f>IF('8'!D27="","",'8'!D27)</f>
        <v/>
      </c>
      <c r="E27" s="17" t="str">
        <f>IF('8'!E27="","",'8'!E27)</f>
        <v/>
      </c>
      <c r="F27" s="219" t="str">
        <f>IF('8'!F27="","",'8'!F27)</f>
        <v/>
      </c>
      <c r="G27" s="17" t="str">
        <f>IF('8'!G27="","",'8'!G27)</f>
        <v/>
      </c>
    </row>
    <row r="28" spans="1:7" s="19" customFormat="1" ht="23.1" customHeight="1">
      <c r="A28" s="16" t="str">
        <f>IF('8'!A28="","",'8'!A28)</f>
        <v/>
      </c>
      <c r="B28" s="16">
        <f>IF('8'!B28="","",'8'!B28)</f>
        <v>15</v>
      </c>
      <c r="C28" s="17" t="str">
        <f>IF('8'!C28="","",'8'!C28)</f>
        <v/>
      </c>
      <c r="D28" s="219" t="str">
        <f>IF('8'!D28="","",'8'!D28)</f>
        <v/>
      </c>
      <c r="E28" s="17" t="str">
        <f>IF('8'!E28="","",'8'!E28)</f>
        <v/>
      </c>
      <c r="F28" s="219" t="str">
        <f>IF('8'!F28="","",'8'!F28)</f>
        <v/>
      </c>
      <c r="G28" s="17" t="str">
        <f>IF('8'!G28="","",'8'!G28)</f>
        <v/>
      </c>
    </row>
    <row r="29" spans="1:7" s="19" customFormat="1" ht="23.1" customHeight="1">
      <c r="A29" s="16" t="str">
        <f>IF('8'!A29="","",'8'!A29)</f>
        <v/>
      </c>
      <c r="B29" s="16">
        <f>IF('8'!B29="","",'8'!B29)</f>
        <v>16</v>
      </c>
      <c r="C29" s="17" t="str">
        <f>IF('8'!C29="","",'8'!C29)</f>
        <v/>
      </c>
      <c r="D29" s="219" t="str">
        <f>IF('8'!D29="","",'8'!D29)</f>
        <v/>
      </c>
      <c r="E29" s="17" t="str">
        <f>IF('8'!E29="","",'8'!E29)</f>
        <v/>
      </c>
      <c r="F29" s="219" t="str">
        <f>IF('8'!F29="","",'8'!F29)</f>
        <v/>
      </c>
      <c r="G29" s="17" t="str">
        <f>IF('8'!G29="","",'8'!G29)</f>
        <v/>
      </c>
    </row>
    <row r="30" spans="1:7" s="19" customFormat="1" ht="23.1" customHeight="1">
      <c r="A30" s="16" t="str">
        <f>IF('8'!A30="","",'8'!A30)</f>
        <v/>
      </c>
      <c r="B30" s="16">
        <f>IF('8'!B30="","",'8'!B30)</f>
        <v>17</v>
      </c>
      <c r="C30" s="17" t="str">
        <f>IF('8'!C30="","",'8'!C30)</f>
        <v/>
      </c>
      <c r="D30" s="219" t="str">
        <f>IF('8'!D30="","",'8'!D30)</f>
        <v/>
      </c>
      <c r="E30" s="17" t="str">
        <f>IF('8'!E30="","",'8'!E30)</f>
        <v/>
      </c>
      <c r="F30" s="219" t="str">
        <f>IF('8'!F30="","",'8'!F30)</f>
        <v/>
      </c>
      <c r="G30" s="17" t="str">
        <f>IF('8'!G30="","",'8'!G30)</f>
        <v/>
      </c>
    </row>
    <row r="31" spans="1:7" s="19" customFormat="1" ht="23.1" customHeight="1">
      <c r="A31" s="16" t="str">
        <f>IF('8'!A31="","",'8'!A31)</f>
        <v/>
      </c>
      <c r="B31" s="16">
        <f>IF('8'!B31="","",'8'!B31)</f>
        <v>18</v>
      </c>
      <c r="C31" s="17" t="str">
        <f>IF('8'!C31="","",'8'!C31)</f>
        <v/>
      </c>
      <c r="D31" s="219" t="str">
        <f>IF('8'!D31="","",'8'!D31)</f>
        <v/>
      </c>
      <c r="E31" s="17" t="str">
        <f>IF('8'!E31="","",'8'!E31)</f>
        <v/>
      </c>
      <c r="F31" s="219" t="str">
        <f>IF('8'!F31="","",'8'!F31)</f>
        <v/>
      </c>
      <c r="G31" s="17" t="str">
        <f>IF('8'!G31="","",'8'!G31)</f>
        <v/>
      </c>
    </row>
    <row r="32" spans="1:7" s="19" customFormat="1" ht="23.1" customHeight="1">
      <c r="A32" s="16" t="str">
        <f>IF('8'!A32="","",'8'!A32)</f>
        <v/>
      </c>
      <c r="B32" s="16">
        <f>IF('8'!B32="","",'8'!B32)</f>
        <v>19</v>
      </c>
      <c r="C32" s="17" t="str">
        <f>IF('8'!C32="","",'8'!C32)</f>
        <v/>
      </c>
      <c r="D32" s="219" t="str">
        <f>IF('8'!D32="","",'8'!D32)</f>
        <v/>
      </c>
      <c r="E32" s="17" t="str">
        <f>IF('8'!E32="","",'8'!E32)</f>
        <v/>
      </c>
      <c r="F32" s="219" t="str">
        <f>IF('8'!F32="","",'8'!F32)</f>
        <v/>
      </c>
      <c r="G32" s="17" t="str">
        <f>IF('8'!G32="","",'8'!G32)</f>
        <v/>
      </c>
    </row>
    <row r="33" spans="1:7" s="19" customFormat="1" ht="23.1" customHeight="1">
      <c r="A33" s="16" t="str">
        <f>IF('8'!A33="","",'8'!A33)</f>
        <v/>
      </c>
      <c r="B33" s="16">
        <f>IF('8'!B33="","",'8'!B33)</f>
        <v>20</v>
      </c>
      <c r="C33" s="17" t="str">
        <f>IF('8'!C33="","",'8'!C33)</f>
        <v/>
      </c>
      <c r="D33" s="219" t="str">
        <f>IF('8'!D33="","",'8'!D33)</f>
        <v/>
      </c>
      <c r="E33" s="17" t="str">
        <f>IF('8'!E33="","",'8'!E33)</f>
        <v/>
      </c>
      <c r="F33" s="219" t="str">
        <f>IF('8'!F33="","",'8'!F33)</f>
        <v/>
      </c>
      <c r="G33" s="17" t="str">
        <f>IF('8'!G33="","",'8'!G33)</f>
        <v/>
      </c>
    </row>
    <row r="34" spans="1:7" s="19" customFormat="1" ht="23.1" customHeight="1">
      <c r="A34" s="16" t="str">
        <f>IF('8'!A34="","",'8'!A34)</f>
        <v/>
      </c>
      <c r="B34" s="16">
        <f>IF('8'!B34="","",'8'!B34)</f>
        <v>21</v>
      </c>
      <c r="C34" s="17" t="str">
        <f>IF('8'!C34="","",'8'!C34)</f>
        <v/>
      </c>
      <c r="D34" s="219" t="str">
        <f>IF('8'!D34="","",'8'!D34)</f>
        <v/>
      </c>
      <c r="E34" s="17" t="str">
        <f>IF('8'!E34="","",'8'!E34)</f>
        <v/>
      </c>
      <c r="F34" s="219" t="str">
        <f>IF('8'!F34="","",'8'!F34)</f>
        <v/>
      </c>
      <c r="G34" s="17" t="str">
        <f>IF('8'!G34="","",'8'!G34)</f>
        <v/>
      </c>
    </row>
    <row r="35" spans="1:7" s="19" customFormat="1" ht="23.1" customHeight="1">
      <c r="A35" s="16" t="str">
        <f>IF('8'!A35="","",'8'!A35)</f>
        <v/>
      </c>
      <c r="B35" s="16">
        <f>IF('8'!B35="","",'8'!B35)</f>
        <v>22</v>
      </c>
      <c r="C35" s="17" t="str">
        <f>IF('8'!C35="","",'8'!C35)</f>
        <v/>
      </c>
      <c r="D35" s="219" t="str">
        <f>IF('8'!D35="","",'8'!D35)</f>
        <v/>
      </c>
      <c r="E35" s="17" t="str">
        <f>IF('8'!E35="","",'8'!E35)</f>
        <v/>
      </c>
      <c r="F35" s="219" t="str">
        <f>IF('8'!F35="","",'8'!F35)</f>
        <v/>
      </c>
      <c r="G35" s="17" t="str">
        <f>IF('8'!G35="","",'8'!G35)</f>
        <v/>
      </c>
    </row>
    <row r="36" spans="1:7" s="19" customFormat="1" ht="23.1" customHeight="1">
      <c r="A36" s="16" t="str">
        <f>IF('8'!A36="","",'8'!A36)</f>
        <v/>
      </c>
      <c r="B36" s="16">
        <f>IF('8'!B36="","",'8'!B36)</f>
        <v>23</v>
      </c>
      <c r="C36" s="17" t="str">
        <f>IF('8'!C36="","",'8'!C36)</f>
        <v/>
      </c>
      <c r="D36" s="219" t="str">
        <f>IF('8'!D36="","",'8'!D36)</f>
        <v/>
      </c>
      <c r="E36" s="17" t="str">
        <f>IF('8'!E36="","",'8'!E36)</f>
        <v/>
      </c>
      <c r="F36" s="219" t="str">
        <f>IF('8'!F36="","",'8'!F36)</f>
        <v/>
      </c>
      <c r="G36" s="17" t="str">
        <f>IF('8'!G36="","",'8'!G36)</f>
        <v/>
      </c>
    </row>
    <row r="37" spans="1:7" s="19" customFormat="1" ht="23.1" customHeight="1">
      <c r="A37" s="16" t="str">
        <f>IF('8'!A37="","",'8'!A37)</f>
        <v/>
      </c>
      <c r="B37" s="16">
        <f>IF('8'!B37="","",'8'!B37)</f>
        <v>24</v>
      </c>
      <c r="C37" s="17" t="str">
        <f>IF('8'!C37="","",'8'!C37)</f>
        <v/>
      </c>
      <c r="D37" s="219" t="str">
        <f>IF('8'!D37="","",'8'!D37)</f>
        <v/>
      </c>
      <c r="E37" s="17" t="str">
        <f>IF('8'!E37="","",'8'!E37)</f>
        <v/>
      </c>
      <c r="F37" s="219" t="str">
        <f>IF('8'!F37="","",'8'!F37)</f>
        <v/>
      </c>
      <c r="G37" s="17" t="str">
        <f>IF('8'!G37="","",'8'!G37)</f>
        <v/>
      </c>
    </row>
    <row r="38" spans="1:7" s="19" customFormat="1" ht="23.1" customHeight="1">
      <c r="A38" s="16" t="str">
        <f>IF('8'!A38="","",'8'!A38)</f>
        <v/>
      </c>
      <c r="B38" s="16">
        <f>IF('8'!B38="","",'8'!B38)</f>
        <v>25</v>
      </c>
      <c r="C38" s="17" t="str">
        <f>IF('8'!C38="","",'8'!C38)</f>
        <v/>
      </c>
      <c r="D38" s="219" t="str">
        <f>IF('8'!D38="","",'8'!D38)</f>
        <v/>
      </c>
      <c r="E38" s="17" t="str">
        <f>IF('8'!E38="","",'8'!E38)</f>
        <v/>
      </c>
      <c r="F38" s="219" t="str">
        <f>IF('8'!F38="","",'8'!F38)</f>
        <v/>
      </c>
      <c r="G38" s="17" t="str">
        <f>IF('8'!G38="","",'8'!G38)</f>
        <v/>
      </c>
    </row>
    <row r="39" spans="1:7" s="19" customFormat="1" ht="23.1" customHeight="1">
      <c r="A39" s="16" t="str">
        <f>IF('8'!A39="","",'8'!A39)</f>
        <v/>
      </c>
      <c r="B39" s="16">
        <f>IF('8'!B39="","",'8'!B39)</f>
        <v>26</v>
      </c>
      <c r="C39" s="17" t="str">
        <f>IF('8'!C39="","",'8'!C39)</f>
        <v/>
      </c>
      <c r="D39" s="219" t="str">
        <f>IF('8'!D39="","",'8'!D39)</f>
        <v/>
      </c>
      <c r="E39" s="17" t="str">
        <f>IF('8'!E39="","",'8'!E39)</f>
        <v/>
      </c>
      <c r="F39" s="219" t="str">
        <f>IF('8'!F39="","",'8'!F39)</f>
        <v/>
      </c>
      <c r="G39" s="17" t="str">
        <f>IF('8'!G39="","",'8'!G39)</f>
        <v/>
      </c>
    </row>
    <row r="40" spans="1:7" s="19" customFormat="1" ht="23.1" customHeight="1">
      <c r="A40" s="16" t="str">
        <f>IF('8'!A40="","",'8'!A40)</f>
        <v/>
      </c>
      <c r="B40" s="16">
        <f>IF('8'!B40="","",'8'!B40)</f>
        <v>27</v>
      </c>
      <c r="C40" s="17" t="str">
        <f>IF('8'!C40="","",'8'!C40)</f>
        <v/>
      </c>
      <c r="D40" s="219" t="str">
        <f>IF('8'!D40="","",'8'!D40)</f>
        <v/>
      </c>
      <c r="E40" s="17" t="str">
        <f>IF('8'!E40="","",'8'!E40)</f>
        <v/>
      </c>
      <c r="F40" s="219" t="str">
        <f>IF('8'!F40="","",'8'!F40)</f>
        <v/>
      </c>
      <c r="G40" s="17" t="str">
        <f>IF('8'!G40="","",'8'!G40)</f>
        <v/>
      </c>
    </row>
    <row r="41" spans="1:7" s="19" customFormat="1" ht="23.1" customHeight="1">
      <c r="A41" s="16" t="str">
        <f>IF('8'!A41="","",'8'!A41)</f>
        <v/>
      </c>
      <c r="B41" s="16">
        <f>IF('8'!B41="","",'8'!B41)</f>
        <v>28</v>
      </c>
      <c r="C41" s="17" t="str">
        <f>IF('8'!C41="","",'8'!C41)</f>
        <v/>
      </c>
      <c r="D41" s="219" t="str">
        <f>IF('8'!D41="","",'8'!D41)</f>
        <v/>
      </c>
      <c r="E41" s="17" t="str">
        <f>IF('8'!E41="","",'8'!E41)</f>
        <v/>
      </c>
      <c r="F41" s="219" t="str">
        <f>IF('8'!F41="","",'8'!F41)</f>
        <v/>
      </c>
      <c r="G41" s="17" t="str">
        <f>IF('8'!G41="","",'8'!G41)</f>
        <v/>
      </c>
    </row>
    <row r="42" spans="1:7" s="19" customFormat="1" ht="23.1" customHeight="1">
      <c r="A42" s="16" t="str">
        <f>IF('8'!A42="","",'8'!A42)</f>
        <v/>
      </c>
      <c r="B42" s="16">
        <f>IF('8'!B42="","",'8'!B42)</f>
        <v>29</v>
      </c>
      <c r="C42" s="17" t="str">
        <f>IF('8'!C42="","",'8'!C42)</f>
        <v/>
      </c>
      <c r="D42" s="219" t="str">
        <f>IF('8'!D42="","",'8'!D42)</f>
        <v/>
      </c>
      <c r="E42" s="17" t="str">
        <f>IF('8'!E42="","",'8'!E42)</f>
        <v/>
      </c>
      <c r="F42" s="219" t="str">
        <f>IF('8'!F42="","",'8'!F42)</f>
        <v/>
      </c>
      <c r="G42" s="17" t="str">
        <f>IF('8'!G42="","",'8'!G42)</f>
        <v/>
      </c>
    </row>
    <row r="43" spans="1:7" s="19" customFormat="1" ht="23.1" customHeight="1">
      <c r="A43" s="16" t="str">
        <f>IF('8'!A43="","",'8'!A43)</f>
        <v/>
      </c>
      <c r="B43" s="16">
        <f>IF('8'!B43="","",'8'!B43)</f>
        <v>30</v>
      </c>
      <c r="C43" s="17" t="str">
        <f>IF('8'!C43="","",'8'!C43)</f>
        <v/>
      </c>
      <c r="D43" s="219" t="str">
        <f>IF('8'!D43="","",'8'!D43)</f>
        <v/>
      </c>
      <c r="E43" s="17" t="str">
        <f>IF('8'!E43="","",'8'!E43)</f>
        <v/>
      </c>
      <c r="F43" s="219" t="str">
        <f>IF('8'!F43="","",'8'!F43)</f>
        <v/>
      </c>
      <c r="G43" s="17" t="str">
        <f>IF('8'!G43="","",'8'!G43)</f>
        <v/>
      </c>
    </row>
    <row r="44" spans="1:7" ht="23.1" customHeight="1">
      <c r="A44" s="16" t="str">
        <f>IF('8'!A44="","",'8'!A44)</f>
        <v/>
      </c>
      <c r="B44" s="16" t="str">
        <f>IF('8'!B44="","",'8'!B44)</f>
        <v/>
      </c>
      <c r="C44" s="17" t="str">
        <f>IF('8'!C44="","",'8'!C44)</f>
        <v/>
      </c>
      <c r="D44" s="219" t="str">
        <f>IF('8'!D44="","",'8'!D44)</f>
        <v/>
      </c>
      <c r="E44" s="17" t="str">
        <f>IF('8'!E44="","",'8'!E44)</f>
        <v/>
      </c>
      <c r="F44" s="219" t="str">
        <f>IF('8'!F44="","",'8'!F44)</f>
        <v/>
      </c>
      <c r="G44" s="17" t="str">
        <f>IF('8'!G44="","",'8'!G44)</f>
        <v/>
      </c>
    </row>
    <row r="45" spans="1:7" ht="23.1" customHeight="1">
      <c r="A45" s="16" t="str">
        <f>IF('8'!A45="","",'8'!A45)</f>
        <v/>
      </c>
      <c r="B45" s="16" t="str">
        <f>IF('8'!B45="","",'8'!B45)</f>
        <v/>
      </c>
      <c r="C45" s="17" t="str">
        <f>IF('8'!C45="","",'8'!C45)</f>
        <v/>
      </c>
      <c r="D45" s="219" t="str">
        <f>IF('8'!D45="","",'8'!D45)</f>
        <v/>
      </c>
      <c r="E45" s="17" t="str">
        <f>IF('8'!E45="","",'8'!E45)</f>
        <v/>
      </c>
      <c r="F45" s="219" t="str">
        <f>IF('8'!F45="","",'8'!F45)</f>
        <v/>
      </c>
      <c r="G45" s="17" t="str">
        <f>IF('8'!G45="","",'8'!G45)</f>
        <v/>
      </c>
    </row>
    <row r="46" spans="1:7" ht="23.1" customHeight="1">
      <c r="A46" s="16" t="str">
        <f>IF('8'!A46="","",'8'!A46)</f>
        <v/>
      </c>
      <c r="B46" s="16" t="str">
        <f>IF('8'!B46="","",'8'!B46)</f>
        <v/>
      </c>
      <c r="C46" s="17" t="str">
        <f>IF('8'!C46="","",'8'!C46)</f>
        <v/>
      </c>
      <c r="D46" s="219" t="str">
        <f>IF('8'!D46="","",'8'!D46)</f>
        <v/>
      </c>
      <c r="E46" s="17" t="str">
        <f>IF('8'!E46="","",'8'!E46)</f>
        <v/>
      </c>
      <c r="F46" s="219" t="str">
        <f>IF('8'!F46="","",'8'!F46)</f>
        <v/>
      </c>
      <c r="G46" s="17" t="str">
        <f>IF('8'!G46="","",'8'!G46)</f>
        <v/>
      </c>
    </row>
    <row r="47" spans="1:7" ht="23.1" customHeight="1">
      <c r="A47" s="16" t="str">
        <f>IF('8'!A47="","",'8'!A47)</f>
        <v/>
      </c>
      <c r="B47" s="16" t="str">
        <f>IF('8'!B47="","",'8'!B47)</f>
        <v/>
      </c>
      <c r="C47" s="17" t="str">
        <f>IF('8'!C47="","",'8'!C47)</f>
        <v/>
      </c>
      <c r="D47" s="219" t="str">
        <f>IF('8'!D47="","",'8'!D47)</f>
        <v/>
      </c>
      <c r="E47" s="17" t="str">
        <f>IF('8'!E47="","",'8'!E47)</f>
        <v/>
      </c>
      <c r="F47" s="219" t="str">
        <f>IF('8'!F47="","",'8'!F47)</f>
        <v/>
      </c>
      <c r="G47" s="17" t="str">
        <f>IF('8'!G47="","",'8'!G47)</f>
        <v/>
      </c>
    </row>
    <row r="48" spans="1:7" ht="23.1" customHeight="1">
      <c r="A48" s="16" t="str">
        <f>IF('8'!A48="","",'8'!A48)</f>
        <v/>
      </c>
      <c r="B48" s="16" t="str">
        <f>IF('8'!B48="","",'8'!B48)</f>
        <v/>
      </c>
      <c r="C48" s="17" t="str">
        <f>IF('8'!C48="","",'8'!C48)</f>
        <v/>
      </c>
      <c r="D48" s="219" t="str">
        <f>IF('8'!D48="","",'8'!D48)</f>
        <v/>
      </c>
      <c r="E48" s="17" t="str">
        <f>IF('8'!E48="","",'8'!E48)</f>
        <v/>
      </c>
      <c r="F48" s="219" t="str">
        <f>IF('8'!F48="","",'8'!F48)</f>
        <v/>
      </c>
      <c r="G48" s="17" t="str">
        <f>IF('8'!G48="","",'8'!G48)</f>
        <v/>
      </c>
    </row>
    <row r="49" spans="1:7" ht="23.1" customHeight="1">
      <c r="A49" s="16" t="str">
        <f>IF('8'!A49="","",'8'!A49)</f>
        <v/>
      </c>
      <c r="B49" s="16" t="str">
        <f>IF('8'!B49="","",'8'!B49)</f>
        <v/>
      </c>
      <c r="C49" s="17" t="str">
        <f>IF('8'!C49="","",'8'!C49)</f>
        <v/>
      </c>
      <c r="D49" s="219" t="str">
        <f>IF('8'!D49="","",'8'!D49)</f>
        <v/>
      </c>
      <c r="E49" s="17" t="str">
        <f>IF('8'!E49="","",'8'!E49)</f>
        <v/>
      </c>
      <c r="F49" s="219" t="str">
        <f>IF('8'!F49="","",'8'!F49)</f>
        <v/>
      </c>
      <c r="G49" s="17" t="str">
        <f>IF('8'!G49="","",'8'!G49)</f>
        <v/>
      </c>
    </row>
    <row r="50" spans="1:7" ht="23.1" customHeight="1">
      <c r="A50" s="16" t="str">
        <f>IF('8'!A50="","",'8'!A50)</f>
        <v/>
      </c>
      <c r="B50" s="16" t="str">
        <f>IF('8'!B50="","",'8'!B50)</f>
        <v/>
      </c>
      <c r="C50" s="17" t="str">
        <f>IF('8'!C50="","",'8'!C50)</f>
        <v/>
      </c>
      <c r="D50" s="219" t="str">
        <f>IF('8'!D50="","",'8'!D50)</f>
        <v/>
      </c>
      <c r="E50" s="17" t="str">
        <f>IF('8'!E50="","",'8'!E50)</f>
        <v/>
      </c>
      <c r="F50" s="219" t="str">
        <f>IF('8'!F50="","",'8'!F50)</f>
        <v/>
      </c>
      <c r="G50" s="17" t="str">
        <f>IF('8'!G50="","",'8'!G50)</f>
        <v/>
      </c>
    </row>
    <row r="51" spans="1:7" ht="23.1" customHeight="1">
      <c r="A51" s="16" t="str">
        <f>IF('8'!A51="","",'8'!A51)</f>
        <v/>
      </c>
      <c r="B51" s="16" t="str">
        <f>IF('8'!B51="","",'8'!B51)</f>
        <v/>
      </c>
      <c r="C51" s="17" t="str">
        <f>IF('8'!C51="","",'8'!C51)</f>
        <v/>
      </c>
      <c r="D51" s="219" t="str">
        <f>IF('8'!D51="","",'8'!D51)</f>
        <v/>
      </c>
      <c r="E51" s="17" t="str">
        <f>IF('8'!E51="","",'8'!E51)</f>
        <v/>
      </c>
      <c r="F51" s="219" t="str">
        <f>IF('8'!F51="","",'8'!F51)</f>
        <v/>
      </c>
      <c r="G51" s="17" t="str">
        <f>IF('8'!G51="","",'8'!G51)</f>
        <v/>
      </c>
    </row>
    <row r="52" spans="1:7" ht="23.1" customHeight="1">
      <c r="A52" s="16" t="str">
        <f>IF('8'!A52="","",'8'!A52)</f>
        <v/>
      </c>
      <c r="B52" s="16" t="str">
        <f>IF('8'!B52="","",'8'!B52)</f>
        <v/>
      </c>
      <c r="C52" s="17" t="str">
        <f>IF('8'!C52="","",'8'!C52)</f>
        <v/>
      </c>
      <c r="D52" s="219" t="str">
        <f>IF('8'!D52="","",'8'!D52)</f>
        <v/>
      </c>
      <c r="E52" s="17" t="str">
        <f>IF('8'!E52="","",'8'!E52)</f>
        <v/>
      </c>
      <c r="F52" s="219" t="str">
        <f>IF('8'!F52="","",'8'!F52)</f>
        <v/>
      </c>
      <c r="G52" s="17" t="str">
        <f>IF('8'!G52="","",'8'!G52)</f>
        <v/>
      </c>
    </row>
    <row r="53" spans="1:7" ht="23.1" customHeight="1">
      <c r="A53" s="16" t="str">
        <f>IF('8'!A53="","",'8'!A53)</f>
        <v/>
      </c>
      <c r="B53" s="16" t="str">
        <f>IF('8'!B53="","",'8'!B53)</f>
        <v/>
      </c>
      <c r="C53" s="17" t="str">
        <f>IF('8'!C53="","",'8'!C53)</f>
        <v/>
      </c>
      <c r="D53" s="219" t="str">
        <f>IF('8'!D53="","",'8'!D53)</f>
        <v/>
      </c>
      <c r="E53" s="17" t="str">
        <f>IF('8'!E53="","",'8'!E53)</f>
        <v/>
      </c>
      <c r="F53" s="219" t="str">
        <f>IF('8'!F53="","",'8'!F53)</f>
        <v/>
      </c>
      <c r="G53" s="17" t="str">
        <f>IF('8'!G53="","",'8'!G53)</f>
        <v/>
      </c>
    </row>
    <row r="54" spans="1:7" ht="23.1" customHeight="1">
      <c r="A54" s="16" t="str">
        <f>IF('8'!A54="","",'8'!A54)</f>
        <v/>
      </c>
      <c r="B54" s="16" t="str">
        <f>IF('8'!B54="","",'8'!B54)</f>
        <v/>
      </c>
      <c r="C54" s="17" t="str">
        <f>IF('8'!C54="","",'8'!C54)</f>
        <v/>
      </c>
      <c r="D54" s="219" t="str">
        <f>IF('8'!D54="","",'8'!D54)</f>
        <v/>
      </c>
      <c r="E54" s="17" t="str">
        <f>IF('8'!E54="","",'8'!E54)</f>
        <v/>
      </c>
      <c r="F54" s="219" t="str">
        <f>IF('8'!F54="","",'8'!F54)</f>
        <v/>
      </c>
      <c r="G54" s="17" t="str">
        <f>IF('8'!G54="","",'8'!G54)</f>
        <v/>
      </c>
    </row>
    <row r="55" spans="1:7" ht="23.1" customHeight="1">
      <c r="A55" s="16" t="str">
        <f>IF('8'!A55="","",'8'!A55)</f>
        <v/>
      </c>
      <c r="B55" s="16" t="str">
        <f>IF('8'!B55="","",'8'!B55)</f>
        <v/>
      </c>
      <c r="C55" s="17" t="str">
        <f>IF('8'!C55="","",'8'!C55)</f>
        <v/>
      </c>
      <c r="D55" s="219" t="str">
        <f>IF('8'!D55="","",'8'!D55)</f>
        <v/>
      </c>
      <c r="E55" s="17" t="str">
        <f>IF('8'!E55="","",'8'!E55)</f>
        <v/>
      </c>
      <c r="F55" s="219" t="str">
        <f>IF('8'!F55="","",'8'!F55)</f>
        <v/>
      </c>
      <c r="G55" s="17" t="str">
        <f>IF('8'!G55="","",'8'!G55)</f>
        <v/>
      </c>
    </row>
    <row r="56" spans="1:7" ht="23.1" customHeight="1">
      <c r="A56" s="16" t="str">
        <f>IF('8'!A56="","",'8'!A56)</f>
        <v/>
      </c>
      <c r="B56" s="16" t="str">
        <f>IF('8'!B56="","",'8'!B56)</f>
        <v/>
      </c>
      <c r="C56" s="17" t="str">
        <f>IF('8'!C56="","",'8'!C56)</f>
        <v/>
      </c>
      <c r="D56" s="219" t="str">
        <f>IF('8'!D56="","",'8'!D56)</f>
        <v/>
      </c>
      <c r="E56" s="17" t="str">
        <f>IF('8'!E56="","",'8'!E56)</f>
        <v/>
      </c>
      <c r="F56" s="219" t="str">
        <f>IF('8'!F56="","",'8'!F56)</f>
        <v/>
      </c>
      <c r="G56" s="17" t="str">
        <f>IF('8'!G56="","",'8'!G56)</f>
        <v/>
      </c>
    </row>
    <row r="57" spans="1:7" ht="23.1" customHeight="1">
      <c r="A57" s="16" t="str">
        <f>IF('8'!A57="","",'8'!A57)</f>
        <v/>
      </c>
      <c r="B57" s="16" t="str">
        <f>IF('8'!B57="","",'8'!B57)</f>
        <v/>
      </c>
      <c r="C57" s="17" t="str">
        <f>IF('8'!C57="","",'8'!C57)</f>
        <v/>
      </c>
      <c r="D57" s="219" t="str">
        <f>IF('8'!D57="","",'8'!D57)</f>
        <v/>
      </c>
      <c r="E57" s="17" t="str">
        <f>IF('8'!E57="","",'8'!E57)</f>
        <v/>
      </c>
      <c r="F57" s="219" t="str">
        <f>IF('8'!F57="","",'8'!F57)</f>
        <v/>
      </c>
      <c r="G57" s="17" t="str">
        <f>IF('8'!G57="","",'8'!G57)</f>
        <v/>
      </c>
    </row>
    <row r="58" spans="1:7" ht="23.1" customHeight="1">
      <c r="A58" s="16" t="str">
        <f>IF('8'!A58="","",'8'!A58)</f>
        <v/>
      </c>
      <c r="B58" s="16" t="str">
        <f>IF('8'!B58="","",'8'!B58)</f>
        <v/>
      </c>
      <c r="C58" s="17" t="str">
        <f>IF('8'!C58="","",'8'!C58)</f>
        <v/>
      </c>
      <c r="D58" s="219" t="str">
        <f>IF('8'!D58="","",'8'!D58)</f>
        <v/>
      </c>
      <c r="E58" s="17" t="str">
        <f>IF('8'!E58="","",'8'!E58)</f>
        <v/>
      </c>
      <c r="F58" s="219" t="str">
        <f>IF('8'!F58="","",'8'!F58)</f>
        <v/>
      </c>
      <c r="G58" s="17" t="str">
        <f>IF('8'!G58="","",'8'!G58)</f>
        <v/>
      </c>
    </row>
    <row r="59" spans="1:7" ht="23.1" customHeight="1">
      <c r="A59" s="16" t="str">
        <f>IF('8'!A59="","",'8'!A59)</f>
        <v/>
      </c>
      <c r="B59" s="16" t="str">
        <f>IF('8'!B59="","",'8'!B59)</f>
        <v/>
      </c>
      <c r="C59" s="17" t="str">
        <f>IF('8'!C59="","",'8'!C59)</f>
        <v/>
      </c>
      <c r="D59" s="219" t="str">
        <f>IF('8'!D59="","",'8'!D59)</f>
        <v/>
      </c>
      <c r="E59" s="17" t="str">
        <f>IF('8'!E59="","",'8'!E59)</f>
        <v/>
      </c>
      <c r="F59" s="219" t="str">
        <f>IF('8'!F59="","",'8'!F59)</f>
        <v/>
      </c>
      <c r="G59" s="17" t="str">
        <f>IF('8'!G59="","",'8'!G59)</f>
        <v/>
      </c>
    </row>
    <row r="60" spans="1:7" ht="23.1" customHeight="1">
      <c r="A60" s="16" t="str">
        <f>IF('8'!A60="","",'8'!A60)</f>
        <v/>
      </c>
      <c r="B60" s="16" t="str">
        <f>IF('8'!B60="","",'8'!B60)</f>
        <v/>
      </c>
      <c r="C60" s="17" t="str">
        <f>IF('8'!C60="","",'8'!C60)</f>
        <v/>
      </c>
      <c r="D60" s="219" t="str">
        <f>IF('8'!D60="","",'8'!D60)</f>
        <v/>
      </c>
      <c r="E60" s="17" t="str">
        <f>IF('8'!E60="","",'8'!E60)</f>
        <v/>
      </c>
      <c r="F60" s="219" t="str">
        <f>IF('8'!F60="","",'8'!F60)</f>
        <v/>
      </c>
      <c r="G60" s="17" t="str">
        <f>IF('8'!G60="","",'8'!G60)</f>
        <v/>
      </c>
    </row>
    <row r="61" spans="1:7" ht="23.1" customHeight="1">
      <c r="A61" s="16" t="str">
        <f>IF('8'!A61="","",'8'!A61)</f>
        <v/>
      </c>
      <c r="B61" s="16" t="str">
        <f>IF('8'!B61="","",'8'!B61)</f>
        <v/>
      </c>
      <c r="C61" s="17" t="str">
        <f>IF('8'!C61="","",'8'!C61)</f>
        <v/>
      </c>
      <c r="D61" s="219" t="str">
        <f>IF('8'!D61="","",'8'!D61)</f>
        <v/>
      </c>
      <c r="E61" s="17" t="str">
        <f>IF('8'!E61="","",'8'!E61)</f>
        <v/>
      </c>
      <c r="F61" s="219" t="str">
        <f>IF('8'!F61="","",'8'!F61)</f>
        <v/>
      </c>
      <c r="G61" s="17" t="str">
        <f>IF('8'!G61="","",'8'!G61)</f>
        <v/>
      </c>
    </row>
    <row r="62" spans="1:7" ht="23.1" customHeight="1">
      <c r="A62" s="16" t="str">
        <f>IF('8'!A62="","",'8'!A62)</f>
        <v/>
      </c>
      <c r="B62" s="16" t="str">
        <f>IF('8'!B62="","",'8'!B62)</f>
        <v/>
      </c>
      <c r="C62" s="17" t="str">
        <f>IF('8'!C62="","",'8'!C62)</f>
        <v/>
      </c>
      <c r="D62" s="219" t="str">
        <f>IF('8'!D62="","",'8'!D62)</f>
        <v/>
      </c>
      <c r="E62" s="17" t="str">
        <f>IF('8'!E62="","",'8'!E62)</f>
        <v/>
      </c>
      <c r="F62" s="219" t="str">
        <f>IF('8'!F62="","",'8'!F62)</f>
        <v/>
      </c>
      <c r="G62" s="17" t="str">
        <f>IF('8'!G62="","",'8'!G62)</f>
        <v/>
      </c>
    </row>
    <row r="63" spans="1:7" ht="23.1" customHeight="1">
      <c r="A63" s="16" t="str">
        <f>IF('8'!A63="","",'8'!A63)</f>
        <v/>
      </c>
      <c r="B63" s="16" t="str">
        <f>IF('8'!B63="","",'8'!B63)</f>
        <v/>
      </c>
      <c r="C63" s="17" t="str">
        <f>IF('8'!C63="","",'8'!C63)</f>
        <v/>
      </c>
      <c r="D63" s="219" t="str">
        <f>IF('8'!D63="","",'8'!D63)</f>
        <v/>
      </c>
      <c r="E63" s="17" t="str">
        <f>IF('8'!E63="","",'8'!E63)</f>
        <v/>
      </c>
      <c r="F63" s="219" t="str">
        <f>IF('8'!F63="","",'8'!F63)</f>
        <v/>
      </c>
      <c r="G63" s="17" t="str">
        <f>IF('8'!G63="","",'8'!G63)</f>
        <v/>
      </c>
    </row>
    <row r="64" spans="1:7" ht="23.1" customHeight="1">
      <c r="A64" s="16" t="str">
        <f>IF('8'!A64="","",'8'!A64)</f>
        <v/>
      </c>
      <c r="B64" s="16" t="str">
        <f>IF('8'!B64="","",'8'!B64)</f>
        <v/>
      </c>
      <c r="C64" s="17" t="str">
        <f>IF('8'!C64="","",'8'!C64)</f>
        <v/>
      </c>
      <c r="D64" s="219" t="str">
        <f>IF('8'!D64="","",'8'!D64)</f>
        <v/>
      </c>
      <c r="E64" s="17" t="str">
        <f>IF('8'!E64="","",'8'!E64)</f>
        <v/>
      </c>
      <c r="F64" s="219" t="str">
        <f>IF('8'!F64="","",'8'!F64)</f>
        <v/>
      </c>
      <c r="G64" s="17" t="str">
        <f>IF('8'!G64="","",'8'!G64)</f>
        <v/>
      </c>
    </row>
    <row r="65" spans="1:7" ht="23.1" customHeight="1">
      <c r="A65" s="16" t="str">
        <f>IF('8'!A65="","",'8'!A65)</f>
        <v/>
      </c>
      <c r="B65" s="16" t="str">
        <f>IF('8'!B65="","",'8'!B65)</f>
        <v/>
      </c>
      <c r="C65" s="17" t="str">
        <f>IF('8'!C65="","",'8'!C65)</f>
        <v/>
      </c>
      <c r="D65" s="219" t="str">
        <f>IF('8'!D65="","",'8'!D65)</f>
        <v/>
      </c>
      <c r="E65" s="17" t="str">
        <f>IF('8'!E65="","",'8'!E65)</f>
        <v/>
      </c>
      <c r="F65" s="219" t="str">
        <f>IF('8'!F65="","",'8'!F65)</f>
        <v/>
      </c>
      <c r="G65" s="17" t="str">
        <f>IF('8'!G65="","",'8'!G65)</f>
        <v/>
      </c>
    </row>
    <row r="66" spans="1:7" ht="23.1" customHeight="1">
      <c r="A66" s="16" t="str">
        <f>IF('8'!A66="","",'8'!A66)</f>
        <v/>
      </c>
      <c r="B66" s="16" t="str">
        <f>IF('8'!B66="","",'8'!B66)</f>
        <v/>
      </c>
      <c r="C66" s="17" t="str">
        <f>IF('8'!C66="","",'8'!C66)</f>
        <v/>
      </c>
      <c r="D66" s="219" t="str">
        <f>IF('8'!D66="","",'8'!D66)</f>
        <v/>
      </c>
      <c r="E66" s="17" t="str">
        <f>IF('8'!E66="","",'8'!E66)</f>
        <v/>
      </c>
      <c r="F66" s="219" t="str">
        <f>IF('8'!F66="","",'8'!F66)</f>
        <v/>
      </c>
      <c r="G66" s="17" t="str">
        <f>IF('8'!G66="","",'8'!G66)</f>
        <v/>
      </c>
    </row>
    <row r="67" spans="1:7" ht="23.1" customHeight="1">
      <c r="A67" s="16" t="str">
        <f>IF('8'!A67="","",'8'!A67)</f>
        <v/>
      </c>
      <c r="B67" s="16" t="str">
        <f>IF('8'!B67="","",'8'!B67)</f>
        <v/>
      </c>
      <c r="C67" s="17" t="str">
        <f>IF('8'!C67="","",'8'!C67)</f>
        <v/>
      </c>
      <c r="D67" s="219" t="str">
        <f>IF('8'!D67="","",'8'!D67)</f>
        <v/>
      </c>
      <c r="E67" s="17" t="str">
        <f>IF('8'!E67="","",'8'!E67)</f>
        <v/>
      </c>
      <c r="F67" s="219" t="str">
        <f>IF('8'!F67="","",'8'!F67)</f>
        <v/>
      </c>
      <c r="G67" s="17" t="str">
        <f>IF('8'!G67="","",'8'!G67)</f>
        <v/>
      </c>
    </row>
    <row r="68" spans="1:7" ht="23.1" customHeight="1">
      <c r="A68" s="16" t="str">
        <f>IF('8'!A68="","",'8'!A68)</f>
        <v/>
      </c>
      <c r="B68" s="16" t="str">
        <f>IF('8'!B68="","",'8'!B68)</f>
        <v/>
      </c>
      <c r="C68" s="17" t="str">
        <f>IF('8'!C68="","",'8'!C68)</f>
        <v/>
      </c>
      <c r="D68" s="219" t="str">
        <f>IF('8'!D68="","",'8'!D68)</f>
        <v/>
      </c>
      <c r="E68" s="17" t="str">
        <f>IF('8'!E68="","",'8'!E68)</f>
        <v/>
      </c>
      <c r="F68" s="219" t="str">
        <f>IF('8'!F68="","",'8'!F68)</f>
        <v/>
      </c>
      <c r="G68" s="17" t="str">
        <f>IF('8'!G68="","",'8'!G68)</f>
        <v/>
      </c>
    </row>
    <row r="69" spans="1:7" ht="23.1" customHeight="1">
      <c r="A69" s="16" t="str">
        <f>IF('8'!A69="","",'8'!A69)</f>
        <v/>
      </c>
      <c r="B69" s="16" t="str">
        <f>IF('8'!B69="","",'8'!B69)</f>
        <v/>
      </c>
      <c r="C69" s="17" t="str">
        <f>IF('8'!C69="","",'8'!C69)</f>
        <v/>
      </c>
      <c r="D69" s="219" t="str">
        <f>IF('8'!D69="","",'8'!D69)</f>
        <v/>
      </c>
      <c r="E69" s="17" t="str">
        <f>IF('8'!E69="","",'8'!E69)</f>
        <v/>
      </c>
      <c r="F69" s="219" t="str">
        <f>IF('8'!F69="","",'8'!F69)</f>
        <v/>
      </c>
      <c r="G69" s="17" t="str">
        <f>IF('8'!G69="","",'8'!G69)</f>
        <v/>
      </c>
    </row>
    <row r="70" spans="1:7" ht="23.1" customHeight="1">
      <c r="A70" s="16" t="str">
        <f>IF('8'!A70="","",'8'!A70)</f>
        <v/>
      </c>
      <c r="B70" s="16" t="str">
        <f>IF('8'!B70="","",'8'!B70)</f>
        <v/>
      </c>
      <c r="C70" s="17" t="str">
        <f>IF('8'!C70="","",'8'!C70)</f>
        <v/>
      </c>
      <c r="D70" s="219" t="str">
        <f>IF('8'!D70="","",'8'!D70)</f>
        <v/>
      </c>
      <c r="E70" s="17" t="str">
        <f>IF('8'!E70="","",'8'!E70)</f>
        <v/>
      </c>
      <c r="F70" s="219" t="str">
        <f>IF('8'!F70="","",'8'!F70)</f>
        <v/>
      </c>
      <c r="G70" s="17" t="str">
        <f>IF('8'!G70="","",'8'!G70)</f>
        <v/>
      </c>
    </row>
    <row r="71" spans="1:7" ht="23.1" customHeight="1">
      <c r="A71" s="16" t="str">
        <f>IF('8'!A71="","",'8'!A71)</f>
        <v/>
      </c>
      <c r="B71" s="16" t="str">
        <f>IF('8'!B71="","",'8'!B71)</f>
        <v/>
      </c>
      <c r="C71" s="17" t="str">
        <f>IF('8'!C71="","",'8'!C71)</f>
        <v/>
      </c>
      <c r="D71" s="219" t="str">
        <f>IF('8'!D71="","",'8'!D71)</f>
        <v/>
      </c>
      <c r="E71" s="17" t="str">
        <f>IF('8'!E71="","",'8'!E71)</f>
        <v/>
      </c>
      <c r="F71" s="219" t="str">
        <f>IF('8'!F71="","",'8'!F71)</f>
        <v/>
      </c>
      <c r="G71" s="17" t="str">
        <f>IF('8'!G71="","",'8'!G71)</f>
        <v/>
      </c>
    </row>
    <row r="72" spans="1:7" ht="23.1" customHeight="1">
      <c r="A72" s="16" t="str">
        <f>IF('8'!A72="","",'8'!A72)</f>
        <v/>
      </c>
      <c r="B72" s="16" t="str">
        <f>IF('8'!B72="","",'8'!B72)</f>
        <v/>
      </c>
      <c r="C72" s="17" t="str">
        <f>IF('8'!C72="","",'8'!C72)</f>
        <v/>
      </c>
      <c r="D72" s="219" t="str">
        <f>IF('8'!D72="","",'8'!D72)</f>
        <v/>
      </c>
      <c r="E72" s="17" t="str">
        <f>IF('8'!E72="","",'8'!E72)</f>
        <v/>
      </c>
      <c r="F72" s="219" t="str">
        <f>IF('8'!F72="","",'8'!F72)</f>
        <v/>
      </c>
      <c r="G72" s="17" t="str">
        <f>IF('8'!G72="","",'8'!G72)</f>
        <v/>
      </c>
    </row>
    <row r="73" spans="1:7" ht="23.1" customHeight="1">
      <c r="A73" s="16" t="str">
        <f>IF('8'!A73="","",'8'!A73)</f>
        <v/>
      </c>
      <c r="B73" s="16" t="str">
        <f>IF('8'!B73="","",'8'!B73)</f>
        <v/>
      </c>
      <c r="C73" s="17" t="str">
        <f>IF('8'!C73="","",'8'!C73)</f>
        <v/>
      </c>
      <c r="D73" s="219" t="str">
        <f>IF('8'!D73="","",'8'!D73)</f>
        <v/>
      </c>
      <c r="E73" s="17" t="str">
        <f>IF('8'!E73="","",'8'!E73)</f>
        <v/>
      </c>
      <c r="F73" s="219" t="str">
        <f>IF('8'!F73="","",'8'!F73)</f>
        <v/>
      </c>
      <c r="G73" s="17" t="str">
        <f>IF('8'!G73="","",'8'!G73)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7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r:id="rId1"/>
  <headerFooter alignWithMargins="0">
    <oddHeader>&amp;R&amp;P/&amp;N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C67F-6DCE-4C98-8D0E-B55FE6857F32}">
  <sheetPr codeName="Sheet14">
    <tabColor rgb="FF0070C0"/>
  </sheetPr>
  <dimension ref="A4:J16"/>
  <sheetViews>
    <sheetView workbookViewId="0">
      <selection activeCell="N8" sqref="N8"/>
    </sheetView>
  </sheetViews>
  <sheetFormatPr defaultColWidth="8.88671875" defaultRowHeight="30" customHeight="1"/>
  <cols>
    <col min="1" max="1" width="8.88671875" style="107"/>
    <col min="2" max="3" width="8.88671875" style="105"/>
    <col min="4" max="4" width="20.33203125" style="106" customWidth="1"/>
    <col min="5" max="5" width="9.88671875" style="105" bestFit="1" customWidth="1"/>
    <col min="6" max="16384" width="8.88671875" style="105"/>
  </cols>
  <sheetData>
    <row r="4" spans="1:10" ht="30" customHeight="1">
      <c r="A4" s="244" t="str">
        <f>'9_中B'!C7</f>
        <v xml:space="preserve">2026 Fuji Horse Show Autumn Grand Prix </v>
      </c>
      <c r="B4" s="244"/>
      <c r="C4" s="244"/>
      <c r="D4" s="244"/>
      <c r="E4" s="244"/>
      <c r="F4" s="244"/>
      <c r="G4" s="244"/>
      <c r="H4" s="244"/>
      <c r="I4" s="244"/>
      <c r="J4" s="244"/>
    </row>
    <row r="6" spans="1:10" ht="30" customHeight="1">
      <c r="A6" s="107" t="s">
        <v>41</v>
      </c>
      <c r="B6" s="110">
        <f>'9_中B'!B8</f>
        <v>9</v>
      </c>
      <c r="C6" s="105" t="s">
        <v>42</v>
      </c>
      <c r="D6" s="108" t="str">
        <f>'9_中B'!D8:F8</f>
        <v>フジ中障害飛越競技Ｂ</v>
      </c>
    </row>
    <row r="8" spans="1:10" ht="30" customHeight="1">
      <c r="C8" s="105" t="s">
        <v>96</v>
      </c>
      <c r="E8" s="109">
        <v>0.55902777777777779</v>
      </c>
    </row>
    <row r="9" spans="1:10" ht="30" customHeight="1">
      <c r="C9" s="105" t="s">
        <v>95</v>
      </c>
      <c r="E9" s="109">
        <v>0.56944444444444442</v>
      </c>
      <c r="F9" s="105" t="s">
        <v>94</v>
      </c>
    </row>
    <row r="11" spans="1:10" ht="30" customHeight="1">
      <c r="C11" s="245" t="s">
        <v>93</v>
      </c>
      <c r="D11" s="245"/>
      <c r="E11" s="245"/>
      <c r="F11" s="245"/>
      <c r="G11" s="245"/>
    </row>
    <row r="12" spans="1:10" ht="30" customHeight="1">
      <c r="C12" s="105" t="s">
        <v>92</v>
      </c>
      <c r="D12" s="129">
        <v>30000</v>
      </c>
      <c r="F12" s="106"/>
      <c r="G12" s="106"/>
    </row>
    <row r="13" spans="1:10" ht="30" customHeight="1">
      <c r="C13" s="105" t="s">
        <v>91</v>
      </c>
      <c r="D13" s="129">
        <v>20000</v>
      </c>
      <c r="F13" s="106"/>
      <c r="G13" s="106"/>
    </row>
    <row r="14" spans="1:10" ht="30" customHeight="1">
      <c r="C14" s="105" t="s">
        <v>90</v>
      </c>
      <c r="D14" s="129">
        <v>10000</v>
      </c>
      <c r="G14" s="106"/>
    </row>
    <row r="15" spans="1:10" ht="30" customHeight="1">
      <c r="C15" s="105" t="s">
        <v>89</v>
      </c>
      <c r="D15" s="129" t="s">
        <v>231</v>
      </c>
      <c r="G15" s="106"/>
    </row>
    <row r="16" spans="1:10" ht="30" customHeight="1">
      <c r="C16" s="105" t="s">
        <v>88</v>
      </c>
      <c r="D16" s="130" t="s">
        <v>231</v>
      </c>
      <c r="E16" s="108"/>
      <c r="F16" s="108"/>
      <c r="G16" s="108"/>
    </row>
  </sheetData>
  <mergeCells count="2">
    <mergeCell ref="A4:J4"/>
    <mergeCell ref="C11:G11"/>
  </mergeCells>
  <phoneticPr fontId="7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0070C0"/>
  </sheetPr>
  <dimension ref="A1:G73"/>
  <sheetViews>
    <sheetView view="pageBreakPreview" topLeftCell="A24" zoomScaleNormal="100" zoomScaleSheetLayoutView="100" workbookViewId="0">
      <selection activeCell="F13" sqref="F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'9'!C2</f>
        <v>0</v>
      </c>
      <c r="D6" s="3"/>
      <c r="F6" s="4" t="s">
        <v>2</v>
      </c>
      <c r="G6" s="6">
        <v>46276</v>
      </c>
    </row>
    <row r="7" spans="1:7" ht="24" customHeight="1">
      <c r="A7" s="7"/>
      <c r="B7" s="4" t="s">
        <v>4</v>
      </c>
      <c r="C7" s="8" t="str">
        <f>'9'!C3</f>
        <v xml:space="preserve">2026 Fuji Horse Show Autumn Grand Prix </v>
      </c>
      <c r="D7" s="9"/>
      <c r="E7" s="9"/>
      <c r="F7" s="9"/>
      <c r="G7" s="117" t="s">
        <v>727</v>
      </c>
    </row>
    <row r="8" spans="1:7" ht="21" customHeight="1">
      <c r="A8" s="10" t="s">
        <v>41</v>
      </c>
      <c r="B8" s="68">
        <f>'9'!C4</f>
        <v>9</v>
      </c>
      <c r="C8" s="4" t="s">
        <v>42</v>
      </c>
      <c r="D8" s="237" t="str">
        <f>'9'!F4</f>
        <v>フジ中障害飛越競技Ｂ</v>
      </c>
      <c r="E8" s="237"/>
      <c r="F8" s="237"/>
    </row>
    <row r="9" spans="1:7" ht="18.75" customHeight="1">
      <c r="C9" s="11" t="s">
        <v>11</v>
      </c>
      <c r="D9" s="217">
        <f>'9'!D5</f>
        <v>3</v>
      </c>
      <c r="E9" s="4" t="s">
        <v>9</v>
      </c>
      <c r="F9" s="220" t="str">
        <f>'9'!K4</f>
        <v>中障害Ｂ</v>
      </c>
    </row>
    <row r="10" spans="1:7" ht="21" customHeight="1">
      <c r="A10" s="12" t="s">
        <v>43</v>
      </c>
      <c r="B10" s="12"/>
      <c r="C10" s="12"/>
      <c r="D10" s="218" t="str">
        <f>'9'!D6</f>
        <v>-</v>
      </c>
      <c r="E10" s="4" t="s">
        <v>12</v>
      </c>
      <c r="F10" s="221" t="str">
        <f>'9'!F5</f>
        <v>★★★</v>
      </c>
      <c r="G10" s="13" t="s">
        <v>44</v>
      </c>
    </row>
    <row r="11" spans="1:7" ht="5.0999999999999996" customHeight="1"/>
    <row r="12" spans="1:7" ht="15" customHeight="1">
      <c r="A12" s="238" t="s">
        <v>45</v>
      </c>
      <c r="B12" s="240" t="s">
        <v>46</v>
      </c>
      <c r="C12" s="242" t="s">
        <v>47</v>
      </c>
      <c r="D12" s="243"/>
      <c r="E12" s="235" t="s">
        <v>48</v>
      </c>
      <c r="F12" s="235"/>
      <c r="G12" s="235" t="s">
        <v>49</v>
      </c>
    </row>
    <row r="13" spans="1:7" ht="24" customHeight="1">
      <c r="A13" s="239"/>
      <c r="B13" s="241"/>
      <c r="C13" s="14" t="s">
        <v>52</v>
      </c>
      <c r="D13" s="15" t="s">
        <v>53</v>
      </c>
      <c r="E13" s="15" t="s">
        <v>54</v>
      </c>
      <c r="F13" s="15" t="s">
        <v>55</v>
      </c>
      <c r="G13" s="236"/>
    </row>
    <row r="14" spans="1:7" s="19" customFormat="1" ht="23.1" customHeight="1">
      <c r="A14" s="16" t="str">
        <f>IF('9'!A14="","",'9'!A14)</f>
        <v/>
      </c>
      <c r="B14" s="16">
        <f>IF('9'!B14="","",'9'!B14)</f>
        <v>1</v>
      </c>
      <c r="C14" s="17" t="str">
        <f>IF('9'!C14="","",'9'!C14)</f>
        <v>福島　大輔</v>
      </c>
      <c r="D14" s="219">
        <f>IF('9'!D14="","",'9'!D14)</f>
        <v>7270</v>
      </c>
      <c r="E14" s="17" t="str">
        <f>IF('9'!E14="","",'9'!E14)</f>
        <v>カレア</v>
      </c>
      <c r="F14" s="219">
        <f>IF('9'!F14="","",'9'!F14)</f>
        <v>62036</v>
      </c>
      <c r="G14" s="17" t="str">
        <f>IF('9'!G14="","",'9'!G14)</f>
        <v>アシェンダ乗馬学校</v>
      </c>
    </row>
    <row r="15" spans="1:7" s="19" customFormat="1" ht="23.1" customHeight="1">
      <c r="A15" s="16" t="str">
        <f>IF('9'!A15="","",'9'!A15)</f>
        <v/>
      </c>
      <c r="B15" s="16">
        <f>IF('9'!B15="","",'9'!B15)</f>
        <v>2</v>
      </c>
      <c r="C15" s="17" t="str">
        <f>IF('9'!C15="","",'9'!C15)</f>
        <v>二宮　裕哉</v>
      </c>
      <c r="D15" s="219">
        <f>IF('9'!D15="","",'9'!D15)</f>
        <v>14718</v>
      </c>
      <c r="E15" s="17" t="str">
        <f>IF('9'!E15="","",'9'!E15)</f>
        <v>カレッジM</v>
      </c>
      <c r="F15" s="219">
        <f>IF('9'!F15="","",'9'!F15)</f>
        <v>60096</v>
      </c>
      <c r="G15" s="17" t="str">
        <f>IF('9'!G15="","",'9'!G15)</f>
        <v>成田乗馬クラブ</v>
      </c>
    </row>
    <row r="16" spans="1:7" s="19" customFormat="1" ht="23.1" customHeight="1">
      <c r="A16" s="16" t="str">
        <f>IF('9'!A16="","",'9'!A16)</f>
        <v/>
      </c>
      <c r="B16" s="16">
        <f>IF('9'!B16="","",'9'!B16)</f>
        <v>3</v>
      </c>
      <c r="C16" s="17" t="str">
        <f>IF('9'!C16="","",'9'!C16)</f>
        <v>林　忠義</v>
      </c>
      <c r="D16" s="219">
        <f>IF('9'!D16="","",'9'!D16)</f>
        <v>1384</v>
      </c>
      <c r="E16" s="17" t="str">
        <f>IF('9'!E16="","",'9'!E16)</f>
        <v>レヴィノ</v>
      </c>
      <c r="F16" s="219">
        <f>IF('9'!F16="","",'9'!F16)</f>
        <v>61343</v>
      </c>
      <c r="G16" s="17" t="str">
        <f>IF('9'!G16="","",'9'!G16)</f>
        <v>北総乗馬クラブ</v>
      </c>
    </row>
    <row r="17" spans="1:7" s="19" customFormat="1" ht="23.1" customHeight="1">
      <c r="A17" s="16" t="str">
        <f>IF('9'!A17="","",'9'!A17)</f>
        <v/>
      </c>
      <c r="B17" s="16">
        <f>IF('9'!B17="","",'9'!B17)</f>
        <v>4</v>
      </c>
      <c r="C17" s="17" t="str">
        <f>IF('9'!C17="","",'9'!C17)</f>
        <v>鈴木　裕介</v>
      </c>
      <c r="D17" s="219">
        <f>IF('9'!D17="","",'9'!D17)</f>
        <v>23529</v>
      </c>
      <c r="E17" s="17" t="str">
        <f>IF('9'!E17="","",'9'!E17)</f>
        <v>スプレンディッド・アーク</v>
      </c>
      <c r="F17" s="219">
        <f>IF('9'!F17="","",'9'!F17)</f>
        <v>60111</v>
      </c>
      <c r="G17" s="17" t="str">
        <f>IF('9'!G17="","",'9'!G17)</f>
        <v>北駿ホースヴィラ</v>
      </c>
    </row>
    <row r="18" spans="1:7" s="19" customFormat="1" ht="23.1" customHeight="1">
      <c r="A18" s="16" t="str">
        <f>IF('9'!A18="","",'9'!A18)</f>
        <v/>
      </c>
      <c r="B18" s="16">
        <f>IF('9'!B18="","",'9'!B18)</f>
        <v>5</v>
      </c>
      <c r="C18" s="17" t="str">
        <f>IF('9'!C18="","",'9'!C18)</f>
        <v>森　裕悟</v>
      </c>
      <c r="D18" s="219">
        <f>IF('9'!D18="","",'9'!D18)</f>
        <v>15169</v>
      </c>
      <c r="E18" s="17" t="str">
        <f>IF('9'!E18="","",'9'!E18)</f>
        <v>コンスタッカーラPS</v>
      </c>
      <c r="F18" s="219">
        <f>IF('9'!F18="","",'9'!F18)</f>
        <v>61438</v>
      </c>
      <c r="G18" s="17" t="str">
        <f>IF('9'!G18="","",'9'!G18)</f>
        <v>AOステーブル</v>
      </c>
    </row>
    <row r="19" spans="1:7" s="19" customFormat="1" ht="23.1" customHeight="1">
      <c r="A19" s="16" t="str">
        <f>IF('9'!A19="","",'9'!A19)</f>
        <v/>
      </c>
      <c r="B19" s="16">
        <f>IF('9'!B19="","",'9'!B19)</f>
        <v>6</v>
      </c>
      <c r="C19" s="17" t="str">
        <f>IF('9'!C19="","",'9'!C19)</f>
        <v>紙本　萌々</v>
      </c>
      <c r="D19" s="219">
        <f>IF('9'!D19="","",'9'!D19)</f>
        <v>28066</v>
      </c>
      <c r="E19" s="17" t="str">
        <f>IF('9'!E19="","",'9'!E19)</f>
        <v>ヴィンセント</v>
      </c>
      <c r="F19" s="219">
        <f>IF('9'!F19="","",'9'!F19)</f>
        <v>59979</v>
      </c>
      <c r="G19" s="17" t="str">
        <f>IF('9'!G19="","",'9'!G19)</f>
        <v>北総乗馬クラブ</v>
      </c>
    </row>
    <row r="20" spans="1:7" s="19" customFormat="1" ht="23.1" customHeight="1">
      <c r="A20" s="16" t="str">
        <f>IF('9'!A20="","",'9'!A20)</f>
        <v/>
      </c>
      <c r="B20" s="16">
        <f>IF('9'!B20="","",'9'!B20)</f>
        <v>7</v>
      </c>
      <c r="C20" s="17" t="str">
        <f>IF('9'!C20="","",'9'!C20)</f>
        <v>鈴木　萌</v>
      </c>
      <c r="D20" s="219">
        <f>IF('9'!D20="","",'9'!D20)</f>
        <v>31292</v>
      </c>
      <c r="E20" s="17" t="str">
        <f>IF('9'!E20="","",'9'!E20)</f>
        <v>グリュックスブリンガー</v>
      </c>
      <c r="F20" s="219">
        <f>IF('9'!F20="","",'9'!F20)</f>
        <v>60391</v>
      </c>
      <c r="G20" s="17" t="str">
        <f>IF('9'!G20="","",'9'!G20)</f>
        <v>Horses' New Stage</v>
      </c>
    </row>
    <row r="21" spans="1:7" s="19" customFormat="1" ht="23.1" customHeight="1">
      <c r="A21" s="16" t="str">
        <f>IF('9'!A21="","",'9'!A21)</f>
        <v/>
      </c>
      <c r="B21" s="16">
        <f>IF('9'!B21="","",'9'!B21)</f>
        <v>8</v>
      </c>
      <c r="C21" s="17" t="str">
        <f>IF('9'!C21="","",'9'!C21)</f>
        <v>福島　大輔</v>
      </c>
      <c r="D21" s="219">
        <f>IF('9'!D21="","",'9'!D21)</f>
        <v>7270</v>
      </c>
      <c r="E21" s="17" t="str">
        <f>IF('9'!E21="","",'9'!E21)</f>
        <v>フォーランダPS</v>
      </c>
      <c r="F21" s="219">
        <f>IF('9'!F21="","",'9'!F21)</f>
        <v>61511</v>
      </c>
      <c r="G21" s="17" t="str">
        <f>IF('9'!G21="","",'9'!G21)</f>
        <v>STAR HORSES</v>
      </c>
    </row>
    <row r="22" spans="1:7" s="19" customFormat="1" ht="23.1" customHeight="1">
      <c r="A22" s="16" t="str">
        <f>IF('9'!A22="","",'9'!A22)</f>
        <v/>
      </c>
      <c r="B22" s="16">
        <f>IF('9'!B22="","",'9'!B22)</f>
        <v>9</v>
      </c>
      <c r="C22" s="17" t="str">
        <f>IF('9'!C22="","",'9'!C22)</f>
        <v>古田　慶幸</v>
      </c>
      <c r="D22" s="219">
        <f>IF('9'!D22="","",'9'!D22)</f>
        <v>18386</v>
      </c>
      <c r="E22" s="17" t="str">
        <f>IF('9'!E22="","",'9'!E22)</f>
        <v>ライーズ</v>
      </c>
      <c r="F22" s="219">
        <f>IF('9'!F22="","",'9'!F22)</f>
        <v>60264</v>
      </c>
      <c r="G22" s="17" t="str">
        <f>IF('9'!G22="","",'9'!G22)</f>
        <v>riding team Regroup</v>
      </c>
    </row>
    <row r="23" spans="1:7" s="19" customFormat="1" ht="23.1" customHeight="1">
      <c r="A23" s="16" t="str">
        <f>IF('9'!A23="","",'9'!A23)</f>
        <v/>
      </c>
      <c r="B23" s="16">
        <f>IF('9'!B23="","",'9'!B23)</f>
        <v>10</v>
      </c>
      <c r="C23" s="17" t="str">
        <f>IF('9'!C23="","",'9'!C23)</f>
        <v>岡本　雅海</v>
      </c>
      <c r="D23" s="219">
        <f>IF('9'!D23="","",'9'!D23)</f>
        <v>19572</v>
      </c>
      <c r="E23" s="17" t="str">
        <f>IF('9'!E23="","",'9'!E23)</f>
        <v>サクソンブルー</v>
      </c>
      <c r="F23" s="219">
        <f>IF('9'!F23="","",'9'!F23)</f>
        <v>59650</v>
      </c>
      <c r="G23" s="17" t="str">
        <f>IF('9'!G23="","",'9'!G23)</f>
        <v>岡本ライディングクラブJAPAN</v>
      </c>
    </row>
    <row r="24" spans="1:7" s="19" customFormat="1" ht="23.1" customHeight="1">
      <c r="A24" s="16" t="str">
        <f>IF('9'!A24="","",'9'!A24)</f>
        <v/>
      </c>
      <c r="B24" s="16">
        <f>IF('9'!B24="","",'9'!B24)</f>
        <v>11</v>
      </c>
      <c r="C24" s="17" t="str">
        <f>IF('9'!C24="","",'9'!C24)</f>
        <v>吉田　真理恵</v>
      </c>
      <c r="D24" s="219">
        <f>IF('9'!D24="","",'9'!D24)</f>
        <v>29957</v>
      </c>
      <c r="E24" s="17" t="str">
        <f>IF('9'!E24="","",'9'!E24)</f>
        <v>チャルーセム</v>
      </c>
      <c r="F24" s="219">
        <f>IF('9'!F24="","",'9'!F24)</f>
        <v>61353</v>
      </c>
      <c r="G24" s="17" t="str">
        <f>IF('9'!G24="","",'9'!G24)</f>
        <v>北総乗馬クラブ</v>
      </c>
    </row>
    <row r="25" spans="1:7" s="19" customFormat="1" ht="23.1" customHeight="1">
      <c r="A25" s="16" t="str">
        <f>IF('9'!A25="","",'9'!A25)</f>
        <v/>
      </c>
      <c r="B25" s="16">
        <f>IF('9'!B25="","",'9'!B25)</f>
        <v>12</v>
      </c>
      <c r="C25" s="17" t="str">
        <f>IF('9'!C25="","",'9'!C25)</f>
        <v>増山　誠倫</v>
      </c>
      <c r="D25" s="219">
        <f>IF('9'!D25="","",'9'!D25)</f>
        <v>8082</v>
      </c>
      <c r="E25" s="17" t="str">
        <f>IF('9'!E25="","",'9'!E25)</f>
        <v>廬山</v>
      </c>
      <c r="F25" s="219">
        <f>IF('9'!F25="","",'9'!F25)</f>
        <v>60750</v>
      </c>
      <c r="G25" s="17" t="str">
        <f>IF('9'!G25="","",'9'!G25)</f>
        <v>小山乗馬クラブ</v>
      </c>
    </row>
    <row r="26" spans="1:7" s="19" customFormat="1" ht="23.1" customHeight="1">
      <c r="A26" s="16" t="str">
        <f>IF('9'!A26="","",'9'!A26)</f>
        <v/>
      </c>
      <c r="B26" s="16">
        <f>IF('9'!B26="","",'9'!B26)</f>
        <v>13</v>
      </c>
      <c r="C26" s="17" t="str">
        <f>IF('9'!C26="","",'9'!C26)</f>
        <v>増山　久佳</v>
      </c>
      <c r="D26" s="219">
        <f>IF('9'!D26="","",'9'!D26)</f>
        <v>10571</v>
      </c>
      <c r="E26" s="17" t="str">
        <f>IF('9'!E26="","",'9'!E26)</f>
        <v>ベントレー・デ・キャステル</v>
      </c>
      <c r="F26" s="219">
        <f>IF('9'!F26="","",'9'!F26)</f>
        <v>61278</v>
      </c>
      <c r="G26" s="17" t="str">
        <f>IF('9'!G26="","",'9'!G26)</f>
        <v>小山乗馬クラブ</v>
      </c>
    </row>
    <row r="27" spans="1:7" s="19" customFormat="1" ht="23.1" customHeight="1">
      <c r="A27" s="16" t="str">
        <f>IF('9'!A27="","",'9'!A27)</f>
        <v/>
      </c>
      <c r="B27" s="16">
        <f>IF('9'!B27="","",'9'!B27)</f>
        <v>14</v>
      </c>
      <c r="C27" s="17" t="str">
        <f>IF('9'!C27="","",'9'!C27)</f>
        <v>二宮　裕哉</v>
      </c>
      <c r="D27" s="219">
        <f>IF('9'!D27="","",'9'!D27)</f>
        <v>14718</v>
      </c>
      <c r="E27" s="17" t="str">
        <f>IF('9'!E27="","",'9'!E27)</f>
        <v>インフィデル</v>
      </c>
      <c r="F27" s="219">
        <f>IF('9'!F27="","",'9'!F27)</f>
        <v>60418</v>
      </c>
      <c r="G27" s="17" t="str">
        <f>IF('9'!G27="","",'9'!G27)</f>
        <v>成田乗馬クラブ</v>
      </c>
    </row>
    <row r="28" spans="1:7" s="19" customFormat="1" ht="23.1" customHeight="1">
      <c r="A28" s="16" t="str">
        <f>IF('9'!A28="","",'9'!A28)</f>
        <v/>
      </c>
      <c r="B28" s="16">
        <f>IF('9'!B28="","",'9'!B28)</f>
        <v>15</v>
      </c>
      <c r="C28" s="17" t="str">
        <f>IF('9'!C28="","",'9'!C28)</f>
        <v>福島　大輔</v>
      </c>
      <c r="D28" s="219">
        <f>IF('9'!D28="","",'9'!D28)</f>
        <v>7270</v>
      </c>
      <c r="E28" s="17" t="str">
        <f>IF('9'!E28="","",'9'!E28)</f>
        <v>エドグリーヴァ</v>
      </c>
      <c r="F28" s="219">
        <f>IF('9'!F28="","",'9'!F28)</f>
        <v>61183</v>
      </c>
      <c r="G28" s="17" t="str">
        <f>IF('9'!G28="","",'9'!G28)</f>
        <v>STAR HORSES</v>
      </c>
    </row>
    <row r="29" spans="1:7" s="19" customFormat="1" ht="23.1" customHeight="1">
      <c r="A29" s="16" t="str">
        <f>IF('9'!A29="","",'9'!A29)</f>
        <v>WD</v>
      </c>
      <c r="B29" s="16">
        <f>IF('9'!B29="","",'9'!B29)</f>
        <v>16</v>
      </c>
      <c r="C29" s="17" t="str">
        <f>IF('9'!C29="","",'9'!C29)</f>
        <v>佃　日出彦</v>
      </c>
      <c r="D29" s="219">
        <f>IF('9'!D29="","",'9'!D29)</f>
        <v>5943</v>
      </c>
      <c r="E29" s="17" t="str">
        <f>IF('9'!E29="","",'9'!E29)</f>
        <v>武尊</v>
      </c>
      <c r="F29" s="219">
        <f>IF('9'!F29="","",'9'!F29)</f>
        <v>61733</v>
      </c>
      <c r="G29" s="17" t="str">
        <f>IF('9'!G29="","",'9'!G29)</f>
        <v>乗馬クラブ　リバーサイドステーブル浜北</v>
      </c>
    </row>
    <row r="30" spans="1:7" s="19" customFormat="1" ht="23.1" customHeight="1">
      <c r="A30" s="16" t="str">
        <f>IF('9'!A30="","",'9'!A30)</f>
        <v>WD</v>
      </c>
      <c r="B30" s="16">
        <f>IF('9'!B30="","",'9'!B30)</f>
        <v>17</v>
      </c>
      <c r="C30" s="17" t="str">
        <f>IF('9'!C30="","",'9'!C30)</f>
        <v>佃　日出彦</v>
      </c>
      <c r="D30" s="219">
        <f>IF('9'!D30="","",'9'!D30)</f>
        <v>5943</v>
      </c>
      <c r="E30" s="17" t="str">
        <f>IF('9'!E30="","",'9'!E30)</f>
        <v>アルデバランZ</v>
      </c>
      <c r="F30" s="219">
        <f>IF('9'!F30="","",'9'!F30)</f>
        <v>60218</v>
      </c>
      <c r="G30" s="17" t="str">
        <f>IF('9'!G30="","",'9'!G30)</f>
        <v>乗馬クラブ　リバーサイドステーブル浜北</v>
      </c>
    </row>
    <row r="31" spans="1:7" s="19" customFormat="1" ht="23.1" customHeight="1">
      <c r="A31" s="16" t="str">
        <f>IF('9'!A31="","",'9'!A31)</f>
        <v>WD</v>
      </c>
      <c r="B31" s="16">
        <f>IF('9'!B31="","",'9'!B31)</f>
        <v>18</v>
      </c>
      <c r="C31" s="17" t="str">
        <f>IF('9'!C31="","",'9'!C31)</f>
        <v>木村　茉里子</v>
      </c>
      <c r="D31" s="219">
        <f>IF('9'!D31="","",'9'!D31)</f>
        <v>12188</v>
      </c>
      <c r="E31" s="17" t="str">
        <f>IF('9'!E31="","",'9'!E31)</f>
        <v>ラフィーニャ</v>
      </c>
      <c r="F31" s="219">
        <f>IF('9'!F31="","",'9'!F31)</f>
        <v>60248</v>
      </c>
      <c r="G31" s="17" t="str">
        <f>IF('9'!G31="","",'9'!G31)</f>
        <v>NGK Horse Paz.</v>
      </c>
    </row>
    <row r="32" spans="1:7" s="19" customFormat="1" ht="23.1" customHeight="1">
      <c r="A32" s="16" t="str">
        <f>IF('9'!A32="","",'9'!A32)</f>
        <v/>
      </c>
      <c r="B32" s="16">
        <f>IF('9'!B32="","",'9'!B32)</f>
        <v>19</v>
      </c>
      <c r="C32" s="17" t="str">
        <f>IF('9'!C32="","",'9'!C32)</f>
        <v/>
      </c>
      <c r="D32" s="219" t="str">
        <f>IF('9'!D32="","",'9'!D32)</f>
        <v/>
      </c>
      <c r="E32" s="17" t="str">
        <f>IF('9'!E32="","",'9'!E32)</f>
        <v/>
      </c>
      <c r="F32" s="219" t="str">
        <f>IF('9'!F32="","",'9'!F32)</f>
        <v/>
      </c>
      <c r="G32" s="17" t="str">
        <f>IF('9'!G32="","",'9'!G32)</f>
        <v/>
      </c>
    </row>
    <row r="33" spans="1:7" s="19" customFormat="1" ht="23.1" customHeight="1">
      <c r="A33" s="16" t="str">
        <f>IF('9'!A33="","",'9'!A33)</f>
        <v/>
      </c>
      <c r="B33" s="16">
        <f>IF('9'!B33="","",'9'!B33)</f>
        <v>20</v>
      </c>
      <c r="C33" s="17" t="str">
        <f>IF('9'!C33="","",'9'!C33)</f>
        <v/>
      </c>
      <c r="D33" s="219" t="str">
        <f>IF('9'!D33="","",'9'!D33)</f>
        <v/>
      </c>
      <c r="E33" s="17" t="str">
        <f>IF('9'!E33="","",'9'!E33)</f>
        <v/>
      </c>
      <c r="F33" s="219" t="str">
        <f>IF('9'!F33="","",'9'!F33)</f>
        <v/>
      </c>
      <c r="G33" s="17" t="str">
        <f>IF('9'!G33="","",'9'!G33)</f>
        <v/>
      </c>
    </row>
    <row r="34" spans="1:7" s="19" customFormat="1" ht="23.1" customHeight="1">
      <c r="A34" s="16" t="str">
        <f>IF('9'!A34="","",'9'!A34)</f>
        <v/>
      </c>
      <c r="B34" s="16">
        <f>IF('9'!B34="","",'9'!B34)</f>
        <v>21</v>
      </c>
      <c r="C34" s="17" t="str">
        <f>IF('9'!C34="","",'9'!C34)</f>
        <v/>
      </c>
      <c r="D34" s="219" t="str">
        <f>IF('9'!D34="","",'9'!D34)</f>
        <v/>
      </c>
      <c r="E34" s="17" t="str">
        <f>IF('9'!E34="","",'9'!E34)</f>
        <v/>
      </c>
      <c r="F34" s="219" t="str">
        <f>IF('9'!F34="","",'9'!F34)</f>
        <v/>
      </c>
      <c r="G34" s="17" t="str">
        <f>IF('9'!G34="","",'9'!G34)</f>
        <v/>
      </c>
    </row>
    <row r="35" spans="1:7" s="19" customFormat="1" ht="23.1" customHeight="1">
      <c r="A35" s="16" t="str">
        <f>IF('9'!A35="","",'9'!A35)</f>
        <v/>
      </c>
      <c r="B35" s="16">
        <f>IF('9'!B35="","",'9'!B35)</f>
        <v>22</v>
      </c>
      <c r="C35" s="17" t="str">
        <f>IF('9'!C35="","",'9'!C35)</f>
        <v/>
      </c>
      <c r="D35" s="219" t="str">
        <f>IF('9'!D35="","",'9'!D35)</f>
        <v/>
      </c>
      <c r="E35" s="17" t="str">
        <f>IF('9'!E35="","",'9'!E35)</f>
        <v/>
      </c>
      <c r="F35" s="219" t="str">
        <f>IF('9'!F35="","",'9'!F35)</f>
        <v/>
      </c>
      <c r="G35" s="17" t="str">
        <f>IF('9'!G35="","",'9'!G35)</f>
        <v/>
      </c>
    </row>
    <row r="36" spans="1:7" s="19" customFormat="1" ht="23.1" customHeight="1">
      <c r="A36" s="16" t="str">
        <f>IF('9'!A36="","",'9'!A36)</f>
        <v/>
      </c>
      <c r="B36" s="16">
        <f>IF('9'!B36="","",'9'!B36)</f>
        <v>23</v>
      </c>
      <c r="C36" s="17" t="str">
        <f>IF('9'!C36="","",'9'!C36)</f>
        <v/>
      </c>
      <c r="D36" s="219" t="str">
        <f>IF('9'!D36="","",'9'!D36)</f>
        <v/>
      </c>
      <c r="E36" s="17" t="str">
        <f>IF('9'!E36="","",'9'!E36)</f>
        <v/>
      </c>
      <c r="F36" s="219" t="str">
        <f>IF('9'!F36="","",'9'!F36)</f>
        <v/>
      </c>
      <c r="G36" s="17" t="str">
        <f>IF('9'!G36="","",'9'!G36)</f>
        <v/>
      </c>
    </row>
    <row r="37" spans="1:7" s="19" customFormat="1" ht="23.1" customHeight="1">
      <c r="A37" s="16" t="str">
        <f>IF('9'!A37="","",'9'!A37)</f>
        <v/>
      </c>
      <c r="B37" s="16">
        <f>IF('9'!B37="","",'9'!B37)</f>
        <v>24</v>
      </c>
      <c r="C37" s="17" t="str">
        <f>IF('9'!C37="","",'9'!C37)</f>
        <v/>
      </c>
      <c r="D37" s="219" t="str">
        <f>IF('9'!D37="","",'9'!D37)</f>
        <v/>
      </c>
      <c r="E37" s="17" t="str">
        <f>IF('9'!E37="","",'9'!E37)</f>
        <v/>
      </c>
      <c r="F37" s="219" t="str">
        <f>IF('9'!F37="","",'9'!F37)</f>
        <v/>
      </c>
      <c r="G37" s="17" t="str">
        <f>IF('9'!G37="","",'9'!G37)</f>
        <v/>
      </c>
    </row>
    <row r="38" spans="1:7" s="19" customFormat="1" ht="23.1" customHeight="1">
      <c r="A38" s="16" t="str">
        <f>IF('9'!A38="","",'9'!A38)</f>
        <v/>
      </c>
      <c r="B38" s="16">
        <f>IF('9'!B38="","",'9'!B38)</f>
        <v>25</v>
      </c>
      <c r="C38" s="17" t="str">
        <f>IF('9'!C38="","",'9'!C38)</f>
        <v/>
      </c>
      <c r="D38" s="219" t="str">
        <f>IF('9'!D38="","",'9'!D38)</f>
        <v/>
      </c>
      <c r="E38" s="17" t="str">
        <f>IF('9'!E38="","",'9'!E38)</f>
        <v/>
      </c>
      <c r="F38" s="219" t="str">
        <f>IF('9'!F38="","",'9'!F38)</f>
        <v/>
      </c>
      <c r="G38" s="17" t="str">
        <f>IF('9'!G38="","",'9'!G38)</f>
        <v/>
      </c>
    </row>
    <row r="39" spans="1:7" s="19" customFormat="1" ht="23.1" customHeight="1">
      <c r="A39" s="16" t="str">
        <f>IF('9'!A39="","",'9'!A39)</f>
        <v/>
      </c>
      <c r="B39" s="16">
        <f>IF('9'!B39="","",'9'!B39)</f>
        <v>26</v>
      </c>
      <c r="C39" s="17" t="str">
        <f>IF('9'!C39="","",'9'!C39)</f>
        <v/>
      </c>
      <c r="D39" s="219" t="str">
        <f>IF('9'!D39="","",'9'!D39)</f>
        <v/>
      </c>
      <c r="E39" s="17" t="str">
        <f>IF('9'!E39="","",'9'!E39)</f>
        <v/>
      </c>
      <c r="F39" s="219" t="str">
        <f>IF('9'!F39="","",'9'!F39)</f>
        <v/>
      </c>
      <c r="G39" s="17" t="str">
        <f>IF('9'!G39="","",'9'!G39)</f>
        <v/>
      </c>
    </row>
    <row r="40" spans="1:7" s="19" customFormat="1" ht="23.1" customHeight="1">
      <c r="A40" s="16" t="str">
        <f>IF('9'!A40="","",'9'!A40)</f>
        <v/>
      </c>
      <c r="B40" s="16">
        <f>IF('9'!B40="","",'9'!B40)</f>
        <v>27</v>
      </c>
      <c r="C40" s="17" t="str">
        <f>IF('9'!C40="","",'9'!C40)</f>
        <v/>
      </c>
      <c r="D40" s="219" t="str">
        <f>IF('9'!D40="","",'9'!D40)</f>
        <v/>
      </c>
      <c r="E40" s="17" t="str">
        <f>IF('9'!E40="","",'9'!E40)</f>
        <v/>
      </c>
      <c r="F40" s="219" t="str">
        <f>IF('9'!F40="","",'9'!F40)</f>
        <v/>
      </c>
      <c r="G40" s="17" t="str">
        <f>IF('9'!G40="","",'9'!G40)</f>
        <v/>
      </c>
    </row>
    <row r="41" spans="1:7" s="19" customFormat="1" ht="23.1" customHeight="1">
      <c r="A41" s="16" t="str">
        <f>IF('9'!A41="","",'9'!A41)</f>
        <v/>
      </c>
      <c r="B41" s="16">
        <f>IF('9'!B41="","",'9'!B41)</f>
        <v>28</v>
      </c>
      <c r="C41" s="17" t="str">
        <f>IF('9'!C41="","",'9'!C41)</f>
        <v/>
      </c>
      <c r="D41" s="219" t="str">
        <f>IF('9'!D41="","",'9'!D41)</f>
        <v/>
      </c>
      <c r="E41" s="17" t="str">
        <f>IF('9'!E41="","",'9'!E41)</f>
        <v/>
      </c>
      <c r="F41" s="219" t="str">
        <f>IF('9'!F41="","",'9'!F41)</f>
        <v/>
      </c>
      <c r="G41" s="17" t="str">
        <f>IF('9'!G41="","",'9'!G41)</f>
        <v/>
      </c>
    </row>
    <row r="42" spans="1:7" s="19" customFormat="1" ht="23.1" customHeight="1">
      <c r="A42" s="16" t="str">
        <f>IF('9'!A42="","",'9'!A42)</f>
        <v/>
      </c>
      <c r="B42" s="16" t="str">
        <f>IF('9'!B42="","",'9'!B42)</f>
        <v/>
      </c>
      <c r="C42" s="17" t="str">
        <f>IF('9'!C42="","",'9'!C42)</f>
        <v/>
      </c>
      <c r="D42" s="219" t="str">
        <f>IF('9'!D42="","",'9'!D42)</f>
        <v/>
      </c>
      <c r="E42" s="17" t="str">
        <f>IF('9'!E42="","",'9'!E42)</f>
        <v/>
      </c>
      <c r="F42" s="219" t="str">
        <f>IF('9'!F42="","",'9'!F42)</f>
        <v/>
      </c>
      <c r="G42" s="17" t="str">
        <f>IF('9'!G42="","",'9'!G42)</f>
        <v/>
      </c>
    </row>
    <row r="43" spans="1:7" s="19" customFormat="1" ht="23.1" customHeight="1">
      <c r="A43" s="16" t="str">
        <f>IF('9'!A43="","",'9'!A43)</f>
        <v/>
      </c>
      <c r="B43" s="16" t="str">
        <f>IF('9'!B43="","",'9'!B43)</f>
        <v/>
      </c>
      <c r="C43" s="17" t="str">
        <f>IF('9'!C43="","",'9'!C43)</f>
        <v/>
      </c>
      <c r="D43" s="219" t="str">
        <f>IF('9'!D43="","",'9'!D43)</f>
        <v/>
      </c>
      <c r="E43" s="17" t="str">
        <f>IF('9'!E43="","",'9'!E43)</f>
        <v/>
      </c>
      <c r="F43" s="219" t="str">
        <f>IF('9'!F43="","",'9'!F43)</f>
        <v/>
      </c>
      <c r="G43" s="17" t="str">
        <f>IF('9'!G43="","",'9'!G43)</f>
        <v/>
      </c>
    </row>
    <row r="44" spans="1:7" ht="23.1" customHeight="1">
      <c r="A44" s="16" t="str">
        <f>IF('9'!A44="","",'9'!A44)</f>
        <v/>
      </c>
      <c r="B44" s="16" t="str">
        <f>IF('9'!B44="","",'9'!B44)</f>
        <v/>
      </c>
      <c r="C44" s="17" t="str">
        <f>IF('9'!C44="","",'9'!C44)</f>
        <v/>
      </c>
      <c r="D44" s="219" t="str">
        <f>IF('9'!D44="","",'9'!D44)</f>
        <v/>
      </c>
      <c r="E44" s="17" t="str">
        <f>IF('9'!E44="","",'9'!E44)</f>
        <v/>
      </c>
      <c r="F44" s="219" t="str">
        <f>IF('9'!F44="","",'9'!F44)</f>
        <v/>
      </c>
      <c r="G44" s="17" t="str">
        <f>IF('9'!G44="","",'9'!G44)</f>
        <v/>
      </c>
    </row>
    <row r="45" spans="1:7" ht="23.1" customHeight="1">
      <c r="A45" s="16" t="str">
        <f>IF('9'!A45="","",'9'!A45)</f>
        <v/>
      </c>
      <c r="B45" s="16" t="str">
        <f>IF('9'!B45="","",'9'!B45)</f>
        <v/>
      </c>
      <c r="C45" s="17" t="str">
        <f>IF('9'!C45="","",'9'!C45)</f>
        <v/>
      </c>
      <c r="D45" s="219" t="str">
        <f>IF('9'!D45="","",'9'!D45)</f>
        <v/>
      </c>
      <c r="E45" s="17" t="str">
        <f>IF('9'!E45="","",'9'!E45)</f>
        <v/>
      </c>
      <c r="F45" s="219" t="str">
        <f>IF('9'!F45="","",'9'!F45)</f>
        <v/>
      </c>
      <c r="G45" s="17" t="str">
        <f>IF('9'!G45="","",'9'!G45)</f>
        <v/>
      </c>
    </row>
    <row r="46" spans="1:7" ht="23.1" customHeight="1">
      <c r="A46" s="16" t="str">
        <f>IF('9'!A46="","",'9'!A46)</f>
        <v/>
      </c>
      <c r="B46" s="16" t="str">
        <f>IF('9'!B46="","",'9'!B46)</f>
        <v/>
      </c>
      <c r="C46" s="17" t="str">
        <f>IF('9'!C46="","",'9'!C46)</f>
        <v/>
      </c>
      <c r="D46" s="219" t="str">
        <f>IF('9'!D46="","",'9'!D46)</f>
        <v/>
      </c>
      <c r="E46" s="17" t="str">
        <f>IF('9'!E46="","",'9'!E46)</f>
        <v/>
      </c>
      <c r="F46" s="219" t="str">
        <f>IF('9'!F46="","",'9'!F46)</f>
        <v/>
      </c>
      <c r="G46" s="17" t="str">
        <f>IF('9'!G46="","",'9'!G46)</f>
        <v/>
      </c>
    </row>
    <row r="47" spans="1:7" ht="23.1" customHeight="1">
      <c r="A47" s="16" t="str">
        <f>IF('9'!A47="","",'9'!A47)</f>
        <v/>
      </c>
      <c r="B47" s="16" t="str">
        <f>IF('9'!B47="","",'9'!B47)</f>
        <v/>
      </c>
      <c r="C47" s="17" t="str">
        <f>IF('9'!C47="","",'9'!C47)</f>
        <v/>
      </c>
      <c r="D47" s="219" t="str">
        <f>IF('9'!D47="","",'9'!D47)</f>
        <v/>
      </c>
      <c r="E47" s="17" t="str">
        <f>IF('9'!E47="","",'9'!E47)</f>
        <v/>
      </c>
      <c r="F47" s="219" t="str">
        <f>IF('9'!F47="","",'9'!F47)</f>
        <v/>
      </c>
      <c r="G47" s="17" t="str">
        <f>IF('9'!G47="","",'9'!G47)</f>
        <v/>
      </c>
    </row>
    <row r="48" spans="1:7" ht="23.1" customHeight="1">
      <c r="A48" s="16" t="str">
        <f>IF('9'!A48="","",'9'!A48)</f>
        <v/>
      </c>
      <c r="B48" s="16" t="str">
        <f>IF('9'!B48="","",'9'!B48)</f>
        <v/>
      </c>
      <c r="C48" s="17" t="str">
        <f>IF('9'!C48="","",'9'!C48)</f>
        <v/>
      </c>
      <c r="D48" s="219" t="str">
        <f>IF('9'!D48="","",'9'!D48)</f>
        <v/>
      </c>
      <c r="E48" s="17" t="str">
        <f>IF('9'!E48="","",'9'!E48)</f>
        <v/>
      </c>
      <c r="F48" s="219" t="str">
        <f>IF('9'!F48="","",'9'!F48)</f>
        <v/>
      </c>
      <c r="G48" s="17" t="str">
        <f>IF('9'!G48="","",'9'!G48)</f>
        <v/>
      </c>
    </row>
    <row r="49" spans="1:7" ht="23.1" customHeight="1">
      <c r="A49" s="16" t="str">
        <f>IF('9'!A49="","",'9'!A49)</f>
        <v/>
      </c>
      <c r="B49" s="16" t="str">
        <f>IF('9'!B49="","",'9'!B49)</f>
        <v/>
      </c>
      <c r="C49" s="17" t="str">
        <f>IF('9'!C49="","",'9'!C49)</f>
        <v/>
      </c>
      <c r="D49" s="219" t="str">
        <f>IF('9'!D49="","",'9'!D49)</f>
        <v/>
      </c>
      <c r="E49" s="17" t="str">
        <f>IF('9'!E49="","",'9'!E49)</f>
        <v/>
      </c>
      <c r="F49" s="219" t="str">
        <f>IF('9'!F49="","",'9'!F49)</f>
        <v/>
      </c>
      <c r="G49" s="17" t="str">
        <f>IF('9'!G49="","",'9'!G49)</f>
        <v/>
      </c>
    </row>
    <row r="50" spans="1:7" ht="23.1" customHeight="1">
      <c r="A50" s="16" t="str">
        <f>IF('9'!A50="","",'9'!A50)</f>
        <v/>
      </c>
      <c r="B50" s="16" t="str">
        <f>IF('9'!B50="","",'9'!B50)</f>
        <v/>
      </c>
      <c r="C50" s="17" t="str">
        <f>IF('9'!C50="","",'9'!C50)</f>
        <v/>
      </c>
      <c r="D50" s="219" t="str">
        <f>IF('9'!D50="","",'9'!D50)</f>
        <v/>
      </c>
      <c r="E50" s="17" t="str">
        <f>IF('9'!E50="","",'9'!E50)</f>
        <v/>
      </c>
      <c r="F50" s="219" t="str">
        <f>IF('9'!F50="","",'9'!F50)</f>
        <v/>
      </c>
      <c r="G50" s="17" t="str">
        <f>IF('9'!G50="","",'9'!G50)</f>
        <v/>
      </c>
    </row>
    <row r="51" spans="1:7" ht="23.1" customHeight="1">
      <c r="A51" s="16" t="str">
        <f>IF('9'!A51="","",'9'!A51)</f>
        <v/>
      </c>
      <c r="B51" s="16" t="str">
        <f>IF('9'!B51="","",'9'!B51)</f>
        <v/>
      </c>
      <c r="C51" s="17" t="str">
        <f>IF('9'!C51="","",'9'!C51)</f>
        <v/>
      </c>
      <c r="D51" s="219" t="str">
        <f>IF('9'!D51="","",'9'!D51)</f>
        <v/>
      </c>
      <c r="E51" s="17" t="str">
        <f>IF('9'!E51="","",'9'!E51)</f>
        <v/>
      </c>
      <c r="F51" s="219" t="str">
        <f>IF('9'!F51="","",'9'!F51)</f>
        <v/>
      </c>
      <c r="G51" s="17" t="str">
        <f>IF('9'!G51="","",'9'!G51)</f>
        <v/>
      </c>
    </row>
    <row r="52" spans="1:7" ht="23.1" customHeight="1">
      <c r="A52" s="16" t="str">
        <f>IF('9'!A52="","",'9'!A52)</f>
        <v/>
      </c>
      <c r="B52" s="16" t="str">
        <f>IF('9'!B52="","",'9'!B52)</f>
        <v/>
      </c>
      <c r="C52" s="17" t="str">
        <f>IF('9'!C52="","",'9'!C52)</f>
        <v/>
      </c>
      <c r="D52" s="219" t="str">
        <f>IF('9'!D52="","",'9'!D52)</f>
        <v/>
      </c>
      <c r="E52" s="17" t="str">
        <f>IF('9'!E52="","",'9'!E52)</f>
        <v/>
      </c>
      <c r="F52" s="219" t="str">
        <f>IF('9'!F52="","",'9'!F52)</f>
        <v/>
      </c>
      <c r="G52" s="17" t="str">
        <f>IF('9'!G52="","",'9'!G52)</f>
        <v/>
      </c>
    </row>
    <row r="53" spans="1:7" ht="23.1" customHeight="1">
      <c r="A53" s="16" t="str">
        <f>IF('9'!A53="","",'9'!A53)</f>
        <v/>
      </c>
      <c r="B53" s="16" t="str">
        <f>IF('9'!B53="","",'9'!B53)</f>
        <v/>
      </c>
      <c r="C53" s="17" t="str">
        <f>IF('9'!C53="","",'9'!C53)</f>
        <v/>
      </c>
      <c r="D53" s="219" t="str">
        <f>IF('9'!D53="","",'9'!D53)</f>
        <v/>
      </c>
      <c r="E53" s="17" t="str">
        <f>IF('9'!E53="","",'9'!E53)</f>
        <v/>
      </c>
      <c r="F53" s="219" t="str">
        <f>IF('9'!F53="","",'9'!F53)</f>
        <v/>
      </c>
      <c r="G53" s="17" t="str">
        <f>IF('9'!G53="","",'9'!G53)</f>
        <v/>
      </c>
    </row>
    <row r="54" spans="1:7" ht="23.1" customHeight="1">
      <c r="A54" s="16" t="str">
        <f>IF('9'!A54="","",'9'!A54)</f>
        <v/>
      </c>
      <c r="B54" s="16" t="str">
        <f>IF('9'!B54="","",'9'!B54)</f>
        <v/>
      </c>
      <c r="C54" s="17" t="str">
        <f>IF('9'!C54="","",'9'!C54)</f>
        <v/>
      </c>
      <c r="D54" s="219" t="str">
        <f>IF('9'!D54="","",'9'!D54)</f>
        <v/>
      </c>
      <c r="E54" s="17" t="str">
        <f>IF('9'!E54="","",'9'!E54)</f>
        <v/>
      </c>
      <c r="F54" s="219" t="str">
        <f>IF('9'!F54="","",'9'!F54)</f>
        <v/>
      </c>
      <c r="G54" s="17" t="str">
        <f>IF('9'!G54="","",'9'!G54)</f>
        <v/>
      </c>
    </row>
    <row r="55" spans="1:7" ht="23.1" customHeight="1">
      <c r="A55" s="16" t="str">
        <f>IF('9'!A55="","",'9'!A55)</f>
        <v/>
      </c>
      <c r="B55" s="16" t="str">
        <f>IF('9'!B55="","",'9'!B55)</f>
        <v/>
      </c>
      <c r="C55" s="17" t="str">
        <f>IF('9'!C55="","",'9'!C55)</f>
        <v/>
      </c>
      <c r="D55" s="219" t="str">
        <f>IF('9'!D55="","",'9'!D55)</f>
        <v/>
      </c>
      <c r="E55" s="17" t="str">
        <f>IF('9'!E55="","",'9'!E55)</f>
        <v/>
      </c>
      <c r="F55" s="219" t="str">
        <f>IF('9'!F55="","",'9'!F55)</f>
        <v/>
      </c>
      <c r="G55" s="17" t="str">
        <f>IF('9'!G55="","",'9'!G55)</f>
        <v/>
      </c>
    </row>
    <row r="56" spans="1:7" ht="23.1" customHeight="1">
      <c r="A56" s="16" t="str">
        <f>IF('9'!A56="","",'9'!A56)</f>
        <v/>
      </c>
      <c r="B56" s="16" t="str">
        <f>IF('9'!B56="","",'9'!B56)</f>
        <v/>
      </c>
      <c r="C56" s="17" t="str">
        <f>IF('9'!C56="","",'9'!C56)</f>
        <v/>
      </c>
      <c r="D56" s="219" t="str">
        <f>IF('9'!D56="","",'9'!D56)</f>
        <v/>
      </c>
      <c r="E56" s="17" t="str">
        <f>IF('9'!E56="","",'9'!E56)</f>
        <v/>
      </c>
      <c r="F56" s="219" t="str">
        <f>IF('9'!F56="","",'9'!F56)</f>
        <v/>
      </c>
      <c r="G56" s="17" t="str">
        <f>IF('9'!G56="","",'9'!G56)</f>
        <v/>
      </c>
    </row>
    <row r="57" spans="1:7" ht="23.1" customHeight="1">
      <c r="A57" s="16" t="str">
        <f>IF('9'!A57="","",'9'!A57)</f>
        <v/>
      </c>
      <c r="B57" s="16" t="str">
        <f>IF('9'!B57="","",'9'!B57)</f>
        <v/>
      </c>
      <c r="C57" s="17" t="str">
        <f>IF('9'!C57="","",'9'!C57)</f>
        <v/>
      </c>
      <c r="D57" s="219" t="str">
        <f>IF('9'!D57="","",'9'!D57)</f>
        <v/>
      </c>
      <c r="E57" s="17" t="str">
        <f>IF('9'!E57="","",'9'!E57)</f>
        <v/>
      </c>
      <c r="F57" s="219" t="str">
        <f>IF('9'!F57="","",'9'!F57)</f>
        <v/>
      </c>
      <c r="G57" s="17" t="str">
        <f>IF('9'!G57="","",'9'!G57)</f>
        <v/>
      </c>
    </row>
    <row r="58" spans="1:7" ht="23.1" customHeight="1">
      <c r="A58" s="16" t="str">
        <f>IF('9'!A58="","",'9'!A58)</f>
        <v/>
      </c>
      <c r="B58" s="16" t="str">
        <f>IF('9'!B58="","",'9'!B58)</f>
        <v/>
      </c>
      <c r="C58" s="17" t="str">
        <f>IF('9'!C58="","",'9'!C58)</f>
        <v/>
      </c>
      <c r="D58" s="219" t="str">
        <f>IF('9'!D58="","",'9'!D58)</f>
        <v/>
      </c>
      <c r="E58" s="17" t="str">
        <f>IF('9'!E58="","",'9'!E58)</f>
        <v/>
      </c>
      <c r="F58" s="219" t="str">
        <f>IF('9'!F58="","",'9'!F58)</f>
        <v/>
      </c>
      <c r="G58" s="17" t="str">
        <f>IF('9'!G58="","",'9'!G58)</f>
        <v/>
      </c>
    </row>
    <row r="59" spans="1:7" ht="23.1" customHeight="1">
      <c r="A59" s="16" t="str">
        <f>IF('9'!A59="","",'9'!A59)</f>
        <v/>
      </c>
      <c r="B59" s="16" t="str">
        <f>IF('9'!B59="","",'9'!B59)</f>
        <v/>
      </c>
      <c r="C59" s="17" t="str">
        <f>IF('9'!C59="","",'9'!C59)</f>
        <v/>
      </c>
      <c r="D59" s="219" t="str">
        <f>IF('9'!D59="","",'9'!D59)</f>
        <v/>
      </c>
      <c r="E59" s="17" t="str">
        <f>IF('9'!E59="","",'9'!E59)</f>
        <v/>
      </c>
      <c r="F59" s="219" t="str">
        <f>IF('9'!F59="","",'9'!F59)</f>
        <v/>
      </c>
      <c r="G59" s="17" t="str">
        <f>IF('9'!G59="","",'9'!G59)</f>
        <v/>
      </c>
    </row>
    <row r="60" spans="1:7" ht="23.1" customHeight="1">
      <c r="A60" s="16" t="str">
        <f>IF('9'!A60="","",'9'!A60)</f>
        <v/>
      </c>
      <c r="B60" s="16" t="str">
        <f>IF('9'!B60="","",'9'!B60)</f>
        <v/>
      </c>
      <c r="C60" s="17" t="str">
        <f>IF('9'!C60="","",'9'!C60)</f>
        <v/>
      </c>
      <c r="D60" s="219" t="str">
        <f>IF('9'!D60="","",'9'!D60)</f>
        <v/>
      </c>
      <c r="E60" s="17" t="str">
        <f>IF('9'!E60="","",'9'!E60)</f>
        <v/>
      </c>
      <c r="F60" s="219" t="str">
        <f>IF('9'!F60="","",'9'!F60)</f>
        <v/>
      </c>
      <c r="G60" s="17" t="str">
        <f>IF('9'!G60="","",'9'!G60)</f>
        <v/>
      </c>
    </row>
    <row r="61" spans="1:7" ht="23.1" customHeight="1">
      <c r="A61" s="16" t="str">
        <f>IF('9'!A61="","",'9'!A61)</f>
        <v/>
      </c>
      <c r="B61" s="16" t="str">
        <f>IF('9'!B61="","",'9'!B61)</f>
        <v/>
      </c>
      <c r="C61" s="17" t="str">
        <f>IF('9'!C61="","",'9'!C61)</f>
        <v/>
      </c>
      <c r="D61" s="219" t="str">
        <f>IF('9'!D61="","",'9'!D61)</f>
        <v/>
      </c>
      <c r="E61" s="17" t="str">
        <f>IF('9'!E61="","",'9'!E61)</f>
        <v/>
      </c>
      <c r="F61" s="219" t="str">
        <f>IF('9'!F61="","",'9'!F61)</f>
        <v/>
      </c>
      <c r="G61" s="17" t="str">
        <f>IF('9'!G61="","",'9'!G61)</f>
        <v/>
      </c>
    </row>
    <row r="62" spans="1:7" ht="23.1" customHeight="1">
      <c r="A62" s="16" t="str">
        <f>IF('9'!A62="","",'9'!A62)</f>
        <v/>
      </c>
      <c r="B62" s="16" t="str">
        <f>IF('9'!B62="","",'9'!B62)</f>
        <v/>
      </c>
      <c r="C62" s="17" t="str">
        <f>IF('9'!C62="","",'9'!C62)</f>
        <v/>
      </c>
      <c r="D62" s="219" t="str">
        <f>IF('9'!D62="","",'9'!D62)</f>
        <v/>
      </c>
      <c r="E62" s="17" t="str">
        <f>IF('9'!E62="","",'9'!E62)</f>
        <v/>
      </c>
      <c r="F62" s="219" t="str">
        <f>IF('9'!F62="","",'9'!F62)</f>
        <v/>
      </c>
      <c r="G62" s="17" t="str">
        <f>IF('9'!G62="","",'9'!G62)</f>
        <v/>
      </c>
    </row>
    <row r="63" spans="1:7" ht="23.1" customHeight="1">
      <c r="A63" s="16" t="str">
        <f>IF('9'!A63="","",'9'!A63)</f>
        <v/>
      </c>
      <c r="B63" s="16" t="str">
        <f>IF('9'!B63="","",'9'!B63)</f>
        <v/>
      </c>
      <c r="C63" s="17" t="str">
        <f>IF('9'!C63="","",'9'!C63)</f>
        <v/>
      </c>
      <c r="D63" s="219" t="str">
        <f>IF('9'!D63="","",'9'!D63)</f>
        <v/>
      </c>
      <c r="E63" s="17" t="str">
        <f>IF('9'!E63="","",'9'!E63)</f>
        <v/>
      </c>
      <c r="F63" s="219" t="str">
        <f>IF('9'!F63="","",'9'!F63)</f>
        <v/>
      </c>
      <c r="G63" s="17" t="str">
        <f>IF('9'!G63="","",'9'!G63)</f>
        <v/>
      </c>
    </row>
    <row r="64" spans="1:7" ht="23.1" customHeight="1">
      <c r="A64" s="16" t="str">
        <f>IF('9'!A64="","",'9'!A64)</f>
        <v/>
      </c>
      <c r="B64" s="16" t="str">
        <f>IF('9'!B64="","",'9'!B64)</f>
        <v/>
      </c>
      <c r="C64" s="17" t="str">
        <f>IF('9'!C64="","",'9'!C64)</f>
        <v/>
      </c>
      <c r="D64" s="219" t="str">
        <f>IF('9'!D64="","",'9'!D64)</f>
        <v/>
      </c>
      <c r="E64" s="17" t="str">
        <f>IF('9'!E64="","",'9'!E64)</f>
        <v/>
      </c>
      <c r="F64" s="219" t="str">
        <f>IF('9'!F64="","",'9'!F64)</f>
        <v/>
      </c>
      <c r="G64" s="17" t="str">
        <f>IF('9'!G64="","",'9'!G64)</f>
        <v/>
      </c>
    </row>
    <row r="65" spans="1:7" ht="23.1" customHeight="1">
      <c r="A65" s="16" t="str">
        <f>IF('9'!A65="","",'9'!A65)</f>
        <v/>
      </c>
      <c r="B65" s="16" t="str">
        <f>IF('9'!B65="","",'9'!B65)</f>
        <v/>
      </c>
      <c r="C65" s="17" t="str">
        <f>IF('9'!C65="","",'9'!C65)</f>
        <v/>
      </c>
      <c r="D65" s="219" t="str">
        <f>IF('9'!D65="","",'9'!D65)</f>
        <v/>
      </c>
      <c r="E65" s="17" t="str">
        <f>IF('9'!E65="","",'9'!E65)</f>
        <v/>
      </c>
      <c r="F65" s="219" t="str">
        <f>IF('9'!F65="","",'9'!F65)</f>
        <v/>
      </c>
      <c r="G65" s="17" t="str">
        <f>IF('9'!G65="","",'9'!G65)</f>
        <v/>
      </c>
    </row>
    <row r="66" spans="1:7" ht="23.1" customHeight="1">
      <c r="A66" s="16" t="str">
        <f>IF('9'!A66="","",'9'!A66)</f>
        <v/>
      </c>
      <c r="B66" s="16" t="str">
        <f>IF('9'!B66="","",'9'!B66)</f>
        <v/>
      </c>
      <c r="C66" s="17" t="str">
        <f>IF('9'!C66="","",'9'!C66)</f>
        <v/>
      </c>
      <c r="D66" s="219" t="str">
        <f>IF('9'!D66="","",'9'!D66)</f>
        <v/>
      </c>
      <c r="E66" s="17" t="str">
        <f>IF('9'!E66="","",'9'!E66)</f>
        <v/>
      </c>
      <c r="F66" s="219" t="str">
        <f>IF('9'!F66="","",'9'!F66)</f>
        <v/>
      </c>
      <c r="G66" s="17" t="str">
        <f>IF('9'!G66="","",'9'!G66)</f>
        <v/>
      </c>
    </row>
    <row r="67" spans="1:7" ht="23.1" customHeight="1">
      <c r="A67" s="16" t="str">
        <f>IF('9'!A67="","",'9'!A67)</f>
        <v/>
      </c>
      <c r="B67" s="16" t="str">
        <f>IF('9'!B67="","",'9'!B67)</f>
        <v/>
      </c>
      <c r="C67" s="17" t="str">
        <f>IF('9'!C67="","",'9'!C67)</f>
        <v/>
      </c>
      <c r="D67" s="219" t="str">
        <f>IF('9'!D67="","",'9'!D67)</f>
        <v/>
      </c>
      <c r="E67" s="17" t="str">
        <f>IF('9'!E67="","",'9'!E67)</f>
        <v/>
      </c>
      <c r="F67" s="219" t="str">
        <f>IF('9'!F67="","",'9'!F67)</f>
        <v/>
      </c>
      <c r="G67" s="17" t="str">
        <f>IF('9'!G67="","",'9'!G67)</f>
        <v/>
      </c>
    </row>
    <row r="68" spans="1:7" ht="23.1" customHeight="1">
      <c r="A68" s="16" t="str">
        <f>IF('9'!A68="","",'9'!A68)</f>
        <v/>
      </c>
      <c r="B68" s="16" t="str">
        <f>IF('9'!B68="","",'9'!B68)</f>
        <v/>
      </c>
      <c r="C68" s="17" t="str">
        <f>IF('9'!C68="","",'9'!C68)</f>
        <v/>
      </c>
      <c r="D68" s="219" t="str">
        <f>IF('9'!D68="","",'9'!D68)</f>
        <v/>
      </c>
      <c r="E68" s="17" t="str">
        <f>IF('9'!E68="","",'9'!E68)</f>
        <v/>
      </c>
      <c r="F68" s="219" t="str">
        <f>IF('9'!F68="","",'9'!F68)</f>
        <v/>
      </c>
      <c r="G68" s="17" t="str">
        <f>IF('9'!G68="","",'9'!G68)</f>
        <v/>
      </c>
    </row>
    <row r="69" spans="1:7" ht="23.1" customHeight="1">
      <c r="A69" s="16" t="str">
        <f>IF('9'!A69="","",'9'!A69)</f>
        <v/>
      </c>
      <c r="B69" s="16" t="str">
        <f>IF('9'!B69="","",'9'!B69)</f>
        <v/>
      </c>
      <c r="C69" s="17" t="str">
        <f>IF('9'!C69="","",'9'!C69)</f>
        <v/>
      </c>
      <c r="D69" s="219" t="str">
        <f>IF('9'!D69="","",'9'!D69)</f>
        <v/>
      </c>
      <c r="E69" s="17" t="str">
        <f>IF('9'!E69="","",'9'!E69)</f>
        <v/>
      </c>
      <c r="F69" s="219" t="str">
        <f>IF('9'!F69="","",'9'!F69)</f>
        <v/>
      </c>
      <c r="G69" s="17" t="str">
        <f>IF('9'!G69="","",'9'!G69)</f>
        <v/>
      </c>
    </row>
    <row r="70" spans="1:7" ht="23.1" customHeight="1">
      <c r="A70" s="16" t="str">
        <f>IF('9'!A70="","",'9'!A70)</f>
        <v/>
      </c>
      <c r="B70" s="16" t="str">
        <f>IF('9'!B70="","",'9'!B70)</f>
        <v/>
      </c>
      <c r="C70" s="17" t="str">
        <f>IF('9'!C70="","",'9'!C70)</f>
        <v/>
      </c>
      <c r="D70" s="219" t="str">
        <f>IF('9'!D70="","",'9'!D70)</f>
        <v/>
      </c>
      <c r="E70" s="17" t="str">
        <f>IF('9'!E70="","",'9'!E70)</f>
        <v/>
      </c>
      <c r="F70" s="219" t="str">
        <f>IF('9'!F70="","",'9'!F70)</f>
        <v/>
      </c>
      <c r="G70" s="17" t="str">
        <f>IF('9'!G70="","",'9'!G70)</f>
        <v/>
      </c>
    </row>
    <row r="71" spans="1:7" ht="23.1" customHeight="1">
      <c r="A71" s="16" t="str">
        <f>IF('9'!A71="","",'9'!A71)</f>
        <v/>
      </c>
      <c r="B71" s="16" t="str">
        <f>IF('9'!B71="","",'9'!B71)</f>
        <v/>
      </c>
      <c r="C71" s="17" t="str">
        <f>IF('9'!C71="","",'9'!C71)</f>
        <v/>
      </c>
      <c r="D71" s="219" t="str">
        <f>IF('9'!D71="","",'9'!D71)</f>
        <v/>
      </c>
      <c r="E71" s="17" t="str">
        <f>IF('9'!E71="","",'9'!E71)</f>
        <v/>
      </c>
      <c r="F71" s="219" t="str">
        <f>IF('9'!F71="","",'9'!F71)</f>
        <v/>
      </c>
      <c r="G71" s="17" t="str">
        <f>IF('9'!G71="","",'9'!G71)</f>
        <v/>
      </c>
    </row>
    <row r="72" spans="1:7" ht="23.1" customHeight="1">
      <c r="A72" s="16" t="str">
        <f>IF('9'!A72="","",'9'!A72)</f>
        <v/>
      </c>
      <c r="B72" s="16" t="str">
        <f>IF('9'!B72="","",'9'!B72)</f>
        <v/>
      </c>
      <c r="C72" s="17" t="str">
        <f>IF('9'!C72="","",'9'!C72)</f>
        <v/>
      </c>
      <c r="D72" s="219" t="str">
        <f>IF('9'!D72="","",'9'!D72)</f>
        <v/>
      </c>
      <c r="E72" s="17" t="str">
        <f>IF('9'!E72="","",'9'!E72)</f>
        <v/>
      </c>
      <c r="F72" s="219" t="str">
        <f>IF('9'!F72="","",'9'!F72)</f>
        <v/>
      </c>
      <c r="G72" s="17" t="str">
        <f>IF('9'!G72="","",'9'!G72)</f>
        <v/>
      </c>
    </row>
    <row r="73" spans="1:7" ht="23.1" customHeight="1">
      <c r="A73" s="16" t="str">
        <f>IF('9'!A73="","",'9'!A73)</f>
        <v/>
      </c>
      <c r="B73" s="16" t="str">
        <f>IF('9'!B73="","",'9'!B73)</f>
        <v/>
      </c>
      <c r="C73" s="17" t="str">
        <f>IF('9'!C73="","",'9'!C73)</f>
        <v/>
      </c>
      <c r="D73" s="219" t="str">
        <f>IF('9'!D73="","",'9'!D73)</f>
        <v/>
      </c>
      <c r="E73" s="17" t="str">
        <f>IF('9'!E73="","",'9'!E73)</f>
        <v/>
      </c>
      <c r="F73" s="219" t="str">
        <f>IF('9'!F73="","",'9'!F73)</f>
        <v/>
      </c>
      <c r="G73" s="17" t="str">
        <f>IF('9'!G73="","",'9'!G73)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7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r:id="rId1"/>
  <headerFooter alignWithMargins="0">
    <oddHeader>&amp;R&amp;P/&amp;N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4880A-EB07-4ABC-9007-948C888B0F00}">
  <sheetPr codeName="Sheet16">
    <tabColor rgb="FF0070C0"/>
  </sheetPr>
  <dimension ref="A4:J16"/>
  <sheetViews>
    <sheetView topLeftCell="A9" workbookViewId="0">
      <selection activeCell="N8" sqref="N8"/>
    </sheetView>
  </sheetViews>
  <sheetFormatPr defaultColWidth="8.88671875" defaultRowHeight="30" customHeight="1"/>
  <cols>
    <col min="1" max="1" width="8.88671875" style="107"/>
    <col min="2" max="3" width="8.88671875" style="105"/>
    <col min="4" max="4" width="15.6640625" style="106" customWidth="1"/>
    <col min="5" max="5" width="9.88671875" style="105" bestFit="1" customWidth="1"/>
    <col min="6" max="16384" width="8.88671875" style="105"/>
  </cols>
  <sheetData>
    <row r="4" spans="1:10" ht="30" customHeight="1">
      <c r="A4" s="244" t="str">
        <f>'10_中A'!C7</f>
        <v xml:space="preserve">2026 Fuji Horse Show Autumn Grand Prix </v>
      </c>
      <c r="B4" s="244"/>
      <c r="C4" s="244"/>
      <c r="D4" s="244"/>
      <c r="E4" s="244"/>
      <c r="F4" s="244"/>
      <c r="G4" s="244"/>
      <c r="H4" s="244"/>
      <c r="I4" s="244"/>
      <c r="J4" s="244"/>
    </row>
    <row r="6" spans="1:10" ht="30" customHeight="1">
      <c r="A6" s="107" t="s">
        <v>41</v>
      </c>
      <c r="B6" s="110">
        <f>'10_中A'!B8</f>
        <v>10</v>
      </c>
      <c r="C6" s="105" t="s">
        <v>42</v>
      </c>
      <c r="D6" s="108" t="str">
        <f>'10_中A'!D8:F8</f>
        <v>フジ中障害飛越競技Ａ</v>
      </c>
    </row>
    <row r="8" spans="1:10" ht="30" customHeight="1">
      <c r="C8" s="105" t="s">
        <v>96</v>
      </c>
      <c r="E8" s="109">
        <v>0.625</v>
      </c>
    </row>
    <row r="9" spans="1:10" ht="30" customHeight="1">
      <c r="C9" s="105" t="s">
        <v>95</v>
      </c>
      <c r="E9" s="109">
        <v>0.63541666666666663</v>
      </c>
      <c r="F9" s="105" t="s">
        <v>94</v>
      </c>
    </row>
    <row r="11" spans="1:10" ht="30" customHeight="1">
      <c r="C11" s="245" t="s">
        <v>93</v>
      </c>
      <c r="D11" s="245"/>
      <c r="E11" s="245"/>
      <c r="F11" s="245"/>
      <c r="G11" s="245"/>
    </row>
    <row r="12" spans="1:10" ht="30" customHeight="1">
      <c r="C12" s="105" t="s">
        <v>92</v>
      </c>
      <c r="D12" s="129">
        <v>30000</v>
      </c>
      <c r="F12" s="106"/>
      <c r="G12" s="106"/>
    </row>
    <row r="13" spans="1:10" ht="30" customHeight="1">
      <c r="C13" s="105" t="s">
        <v>91</v>
      </c>
      <c r="D13" s="129">
        <v>20000</v>
      </c>
      <c r="F13" s="106"/>
      <c r="G13" s="106"/>
    </row>
    <row r="14" spans="1:10" ht="30" customHeight="1">
      <c r="C14" s="105" t="s">
        <v>90</v>
      </c>
      <c r="D14" s="129">
        <v>10000</v>
      </c>
      <c r="G14" s="106"/>
    </row>
    <row r="15" spans="1:10" ht="30" customHeight="1">
      <c r="C15" s="105" t="s">
        <v>89</v>
      </c>
      <c r="D15" s="129" t="s">
        <v>231</v>
      </c>
      <c r="G15" s="106"/>
    </row>
    <row r="16" spans="1:10" ht="30" customHeight="1">
      <c r="C16" s="105" t="s">
        <v>88</v>
      </c>
      <c r="D16" s="130" t="s">
        <v>231</v>
      </c>
      <c r="E16" s="108"/>
      <c r="F16" s="108"/>
      <c r="G16" s="108"/>
    </row>
  </sheetData>
  <mergeCells count="2">
    <mergeCell ref="A4:J4"/>
    <mergeCell ref="C11:G11"/>
  </mergeCells>
  <phoneticPr fontId="7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0070C0"/>
  </sheetPr>
  <dimension ref="A1:G73"/>
  <sheetViews>
    <sheetView view="pageBreakPreview" topLeftCell="A6" zoomScale="95" zoomScaleNormal="100" zoomScaleSheetLayoutView="95" workbookViewId="0">
      <selection activeCell="F13" sqref="F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'10'!C2</f>
        <v>0</v>
      </c>
      <c r="D6" s="3"/>
      <c r="F6" s="4" t="s">
        <v>2</v>
      </c>
      <c r="G6" s="6">
        <v>46276</v>
      </c>
    </row>
    <row r="7" spans="1:7" ht="24" customHeight="1">
      <c r="A7" s="7"/>
      <c r="B7" s="4" t="s">
        <v>4</v>
      </c>
      <c r="C7" s="8" t="str">
        <f>'10'!C3</f>
        <v xml:space="preserve">2026 Fuji Horse Show Autumn Grand Prix </v>
      </c>
      <c r="D7" s="9"/>
      <c r="E7" s="9"/>
      <c r="F7" s="9"/>
      <c r="G7" s="117" t="s">
        <v>727</v>
      </c>
    </row>
    <row r="8" spans="1:7" ht="21" customHeight="1">
      <c r="A8" s="10" t="s">
        <v>41</v>
      </c>
      <c r="B8" s="68">
        <f>'10'!C4</f>
        <v>10</v>
      </c>
      <c r="C8" s="4" t="s">
        <v>42</v>
      </c>
      <c r="D8" s="237" t="str">
        <f>'10'!F4</f>
        <v>フジ中障害飛越競技Ａ</v>
      </c>
      <c r="E8" s="237"/>
      <c r="F8" s="237"/>
    </row>
    <row r="9" spans="1:7" ht="18.75" customHeight="1">
      <c r="C9" s="11" t="s">
        <v>11</v>
      </c>
      <c r="D9" s="217">
        <f>'10'!D5</f>
        <v>4</v>
      </c>
      <c r="E9" s="4" t="s">
        <v>9</v>
      </c>
      <c r="F9" s="220" t="str">
        <f>'10'!K4</f>
        <v>中障害Ａ</v>
      </c>
    </row>
    <row r="10" spans="1:7" ht="21" customHeight="1">
      <c r="A10" s="12" t="s">
        <v>43</v>
      </c>
      <c r="B10" s="12"/>
      <c r="C10" s="12"/>
      <c r="D10" s="218" t="str">
        <f>'10'!D6</f>
        <v>-</v>
      </c>
      <c r="E10" s="4" t="s">
        <v>12</v>
      </c>
      <c r="F10" s="221" t="str">
        <f>'10'!F5</f>
        <v>★★★</v>
      </c>
      <c r="G10" s="13" t="s">
        <v>44</v>
      </c>
    </row>
    <row r="11" spans="1:7" ht="5.0999999999999996" customHeight="1"/>
    <row r="12" spans="1:7" ht="15" customHeight="1">
      <c r="A12" s="238" t="s">
        <v>45</v>
      </c>
      <c r="B12" s="240" t="s">
        <v>46</v>
      </c>
      <c r="C12" s="242" t="s">
        <v>47</v>
      </c>
      <c r="D12" s="243"/>
      <c r="E12" s="235" t="s">
        <v>48</v>
      </c>
      <c r="F12" s="235"/>
      <c r="G12" s="235" t="s">
        <v>49</v>
      </c>
    </row>
    <row r="13" spans="1:7" ht="24" customHeight="1">
      <c r="A13" s="239"/>
      <c r="B13" s="241"/>
      <c r="C13" s="14" t="s">
        <v>52</v>
      </c>
      <c r="D13" s="15" t="s">
        <v>53</v>
      </c>
      <c r="E13" s="15" t="s">
        <v>54</v>
      </c>
      <c r="F13" s="15" t="s">
        <v>55</v>
      </c>
      <c r="G13" s="236"/>
    </row>
    <row r="14" spans="1:7" s="19" customFormat="1" ht="23.1" customHeight="1">
      <c r="A14" s="16" t="str">
        <f>IF('10'!A14="","",'10'!A14)</f>
        <v>WD</v>
      </c>
      <c r="B14" s="16">
        <f>IF('10'!B14="","",'10'!B14)</f>
        <v>1</v>
      </c>
      <c r="C14" s="17" t="str">
        <f>IF('10'!C14="","",'10'!C14)</f>
        <v>佃　日出彦</v>
      </c>
      <c r="D14" s="219">
        <f>IF('10'!D14="","",'10'!D14)</f>
        <v>5943</v>
      </c>
      <c r="E14" s="17" t="str">
        <f>IF('10'!E14="","",'10'!E14)</f>
        <v>富嶽</v>
      </c>
      <c r="F14" s="219">
        <f>IF('10'!F14="","",'10'!F14)</f>
        <v>59622</v>
      </c>
      <c r="G14" s="17" t="str">
        <f>IF('10'!G14="","",'10'!G14)</f>
        <v>乗馬クラブ　リバーサイドステーブル浜北</v>
      </c>
    </row>
    <row r="15" spans="1:7" s="19" customFormat="1" ht="23.1" customHeight="1">
      <c r="A15" s="16" t="str">
        <f>IF('10'!A15="","",'10'!A15)</f>
        <v/>
      </c>
      <c r="B15" s="16">
        <f>IF('10'!B15="","",'10'!B15)</f>
        <v>2</v>
      </c>
      <c r="C15" s="17" t="str">
        <f>IF('10'!C15="","",'10'!C15)</f>
        <v/>
      </c>
      <c r="D15" s="219" t="str">
        <f>IF('10'!D15="","",'10'!D15)</f>
        <v/>
      </c>
      <c r="E15" s="17" t="str">
        <f>IF('10'!E15="","",'10'!E15)</f>
        <v/>
      </c>
      <c r="F15" s="219" t="str">
        <f>IF('10'!F15="","",'10'!F15)</f>
        <v/>
      </c>
      <c r="G15" s="17" t="str">
        <f>IF('10'!G15="","",'10'!G15)</f>
        <v/>
      </c>
    </row>
    <row r="16" spans="1:7" s="19" customFormat="1" ht="23.1" customHeight="1">
      <c r="A16" s="16" t="str">
        <f>IF('10'!A16="","",'10'!A16)</f>
        <v/>
      </c>
      <c r="B16" s="16">
        <f>IF('10'!B16="","",'10'!B16)</f>
        <v>3</v>
      </c>
      <c r="C16" s="17" t="str">
        <f>IF('10'!C16="","",'10'!C16)</f>
        <v/>
      </c>
      <c r="D16" s="219" t="str">
        <f>IF('10'!D16="","",'10'!D16)</f>
        <v/>
      </c>
      <c r="E16" s="17" t="str">
        <f>IF('10'!E16="","",'10'!E16)</f>
        <v/>
      </c>
      <c r="F16" s="219" t="str">
        <f>IF('10'!F16="","",'10'!F16)</f>
        <v/>
      </c>
      <c r="G16" s="17" t="str">
        <f>IF('10'!G16="","",'10'!G16)</f>
        <v/>
      </c>
    </row>
    <row r="17" spans="1:7" s="19" customFormat="1" ht="23.1" customHeight="1">
      <c r="A17" s="16" t="str">
        <f>IF('10'!A17="","",'10'!A17)</f>
        <v/>
      </c>
      <c r="B17" s="16">
        <f>IF('10'!B17="","",'10'!B17)</f>
        <v>4</v>
      </c>
      <c r="C17" s="17" t="str">
        <f>IF('10'!C17="","",'10'!C17)</f>
        <v/>
      </c>
      <c r="D17" s="219" t="str">
        <f>IF('10'!D17="","",'10'!D17)</f>
        <v/>
      </c>
      <c r="E17" s="17" t="str">
        <f>IF('10'!E17="","",'10'!E17)</f>
        <v/>
      </c>
      <c r="F17" s="219" t="str">
        <f>IF('10'!F17="","",'10'!F17)</f>
        <v/>
      </c>
      <c r="G17" s="17" t="str">
        <f>IF('10'!G17="","",'10'!G17)</f>
        <v/>
      </c>
    </row>
    <row r="18" spans="1:7" s="19" customFormat="1" ht="23.1" customHeight="1">
      <c r="A18" s="16" t="str">
        <f>IF('10'!A18="","",'10'!A18)</f>
        <v/>
      </c>
      <c r="B18" s="16">
        <f>IF('10'!B18="","",'10'!B18)</f>
        <v>5</v>
      </c>
      <c r="C18" s="17" t="str">
        <f>IF('10'!C18="","",'10'!C18)</f>
        <v/>
      </c>
      <c r="D18" s="219" t="str">
        <f>IF('10'!D18="","",'10'!D18)</f>
        <v/>
      </c>
      <c r="E18" s="17" t="str">
        <f>IF('10'!E18="","",'10'!E18)</f>
        <v/>
      </c>
      <c r="F18" s="219" t="str">
        <f>IF('10'!F18="","",'10'!F18)</f>
        <v/>
      </c>
      <c r="G18" s="17" t="str">
        <f>IF('10'!G18="","",'10'!G18)</f>
        <v/>
      </c>
    </row>
    <row r="19" spans="1:7" s="19" customFormat="1" ht="23.1" customHeight="1">
      <c r="A19" s="16" t="str">
        <f>IF('10'!A19="","",'10'!A19)</f>
        <v/>
      </c>
      <c r="B19" s="16">
        <f>IF('10'!B19="","",'10'!B19)</f>
        <v>6</v>
      </c>
      <c r="C19" s="17" t="str">
        <f>IF('10'!C19="","",'10'!C19)</f>
        <v/>
      </c>
      <c r="D19" s="219" t="str">
        <f>IF('10'!D19="","",'10'!D19)</f>
        <v/>
      </c>
      <c r="E19" s="17" t="str">
        <f>IF('10'!E19="","",'10'!E19)</f>
        <v/>
      </c>
      <c r="F19" s="219" t="str">
        <f>IF('10'!F19="","",'10'!F19)</f>
        <v/>
      </c>
      <c r="G19" s="17" t="str">
        <f>IF('10'!G19="","",'10'!G19)</f>
        <v/>
      </c>
    </row>
    <row r="20" spans="1:7" s="19" customFormat="1" ht="23.1" customHeight="1">
      <c r="A20" s="16" t="str">
        <f>IF('10'!A20="","",'10'!A20)</f>
        <v/>
      </c>
      <c r="B20" s="16">
        <f>IF('10'!B20="","",'10'!B20)</f>
        <v>7</v>
      </c>
      <c r="C20" s="17" t="str">
        <f>IF('10'!C20="","",'10'!C20)</f>
        <v/>
      </c>
      <c r="D20" s="219" t="str">
        <f>IF('10'!D20="","",'10'!D20)</f>
        <v/>
      </c>
      <c r="E20" s="17" t="str">
        <f>IF('10'!E20="","",'10'!E20)</f>
        <v/>
      </c>
      <c r="F20" s="219" t="str">
        <f>IF('10'!F20="","",'10'!F20)</f>
        <v/>
      </c>
      <c r="G20" s="17" t="str">
        <f>IF('10'!G20="","",'10'!G20)</f>
        <v/>
      </c>
    </row>
    <row r="21" spans="1:7" s="19" customFormat="1" ht="23.1" customHeight="1">
      <c r="A21" s="16" t="str">
        <f>IF('10'!A21="","",'10'!A21)</f>
        <v/>
      </c>
      <c r="B21" s="16">
        <f>IF('10'!B21="","",'10'!B21)</f>
        <v>8</v>
      </c>
      <c r="C21" s="17" t="str">
        <f>IF('10'!C21="","",'10'!C21)</f>
        <v/>
      </c>
      <c r="D21" s="219" t="str">
        <f>IF('10'!D21="","",'10'!D21)</f>
        <v/>
      </c>
      <c r="E21" s="17" t="str">
        <f>IF('10'!E21="","",'10'!E21)</f>
        <v/>
      </c>
      <c r="F21" s="219" t="str">
        <f>IF('10'!F21="","",'10'!F21)</f>
        <v/>
      </c>
      <c r="G21" s="17" t="str">
        <f>IF('10'!G21="","",'10'!G21)</f>
        <v/>
      </c>
    </row>
    <row r="22" spans="1:7" s="19" customFormat="1" ht="23.1" customHeight="1">
      <c r="A22" s="16" t="str">
        <f>IF('10'!A22="","",'10'!A22)</f>
        <v/>
      </c>
      <c r="B22" s="16">
        <f>IF('10'!B22="","",'10'!B22)</f>
        <v>9</v>
      </c>
      <c r="C22" s="17" t="str">
        <f>IF('10'!C22="","",'10'!C22)</f>
        <v/>
      </c>
      <c r="D22" s="219" t="str">
        <f>IF('10'!D22="","",'10'!D22)</f>
        <v/>
      </c>
      <c r="E22" s="17" t="str">
        <f>IF('10'!E22="","",'10'!E22)</f>
        <v/>
      </c>
      <c r="F22" s="219" t="str">
        <f>IF('10'!F22="","",'10'!F22)</f>
        <v/>
      </c>
      <c r="G22" s="17" t="str">
        <f>IF('10'!G22="","",'10'!G22)</f>
        <v/>
      </c>
    </row>
    <row r="23" spans="1:7" s="19" customFormat="1" ht="23.1" customHeight="1">
      <c r="A23" s="16" t="str">
        <f>IF('10'!A23="","",'10'!A23)</f>
        <v/>
      </c>
      <c r="B23" s="16">
        <f>IF('10'!B23="","",'10'!B23)</f>
        <v>10</v>
      </c>
      <c r="C23" s="17" t="str">
        <f>IF('10'!C23="","",'10'!C23)</f>
        <v/>
      </c>
      <c r="D23" s="219" t="str">
        <f>IF('10'!D23="","",'10'!D23)</f>
        <v/>
      </c>
      <c r="E23" s="17" t="str">
        <f>IF('10'!E23="","",'10'!E23)</f>
        <v/>
      </c>
      <c r="F23" s="219" t="str">
        <f>IF('10'!F23="","",'10'!F23)</f>
        <v/>
      </c>
      <c r="G23" s="17" t="str">
        <f>IF('10'!G23="","",'10'!G23)</f>
        <v/>
      </c>
    </row>
    <row r="24" spans="1:7" s="19" customFormat="1" ht="23.1" customHeight="1">
      <c r="A24" s="16" t="str">
        <f>IF('10'!A24="","",'10'!A24)</f>
        <v/>
      </c>
      <c r="B24" s="16">
        <f>IF('10'!B24="","",'10'!B24)</f>
        <v>11</v>
      </c>
      <c r="C24" s="17" t="str">
        <f>IF('10'!C24="","",'10'!C24)</f>
        <v/>
      </c>
      <c r="D24" s="219" t="str">
        <f>IF('10'!D24="","",'10'!D24)</f>
        <v/>
      </c>
      <c r="E24" s="17" t="str">
        <f>IF('10'!E24="","",'10'!E24)</f>
        <v/>
      </c>
      <c r="F24" s="219" t="str">
        <f>IF('10'!F24="","",'10'!F24)</f>
        <v/>
      </c>
      <c r="G24" s="17" t="str">
        <f>IF('10'!G24="","",'10'!G24)</f>
        <v/>
      </c>
    </row>
    <row r="25" spans="1:7" s="19" customFormat="1" ht="23.1" customHeight="1">
      <c r="A25" s="16" t="str">
        <f>IF('10'!A25="","",'10'!A25)</f>
        <v/>
      </c>
      <c r="B25" s="16">
        <f>IF('10'!B25="","",'10'!B25)</f>
        <v>12</v>
      </c>
      <c r="C25" s="17" t="str">
        <f>IF('10'!C25="","",'10'!C25)</f>
        <v/>
      </c>
      <c r="D25" s="219" t="str">
        <f>IF('10'!D25="","",'10'!D25)</f>
        <v/>
      </c>
      <c r="E25" s="17" t="str">
        <f>IF('10'!E25="","",'10'!E25)</f>
        <v/>
      </c>
      <c r="F25" s="219" t="str">
        <f>IF('10'!F25="","",'10'!F25)</f>
        <v/>
      </c>
      <c r="G25" s="17" t="str">
        <f>IF('10'!G25="","",'10'!G25)</f>
        <v/>
      </c>
    </row>
    <row r="26" spans="1:7" s="19" customFormat="1" ht="23.1" customHeight="1">
      <c r="A26" s="16" t="str">
        <f>IF('10'!A26="","",'10'!A26)</f>
        <v/>
      </c>
      <c r="B26" s="16">
        <f>IF('10'!B26="","",'10'!B26)</f>
        <v>13</v>
      </c>
      <c r="C26" s="17" t="str">
        <f>IF('10'!C26="","",'10'!C26)</f>
        <v/>
      </c>
      <c r="D26" s="219" t="str">
        <f>IF('10'!D26="","",'10'!D26)</f>
        <v/>
      </c>
      <c r="E26" s="17" t="str">
        <f>IF('10'!E26="","",'10'!E26)</f>
        <v/>
      </c>
      <c r="F26" s="219" t="str">
        <f>IF('10'!F26="","",'10'!F26)</f>
        <v/>
      </c>
      <c r="G26" s="17" t="str">
        <f>IF('10'!G26="","",'10'!G26)</f>
        <v/>
      </c>
    </row>
    <row r="27" spans="1:7" s="19" customFormat="1" ht="23.1" customHeight="1">
      <c r="A27" s="16" t="str">
        <f>IF('10'!A27="","",'10'!A27)</f>
        <v/>
      </c>
      <c r="B27" s="16">
        <f>IF('10'!B27="","",'10'!B27)</f>
        <v>14</v>
      </c>
      <c r="C27" s="17" t="str">
        <f>IF('10'!C27="","",'10'!C27)</f>
        <v/>
      </c>
      <c r="D27" s="219" t="str">
        <f>IF('10'!D27="","",'10'!D27)</f>
        <v/>
      </c>
      <c r="E27" s="17" t="str">
        <f>IF('10'!E27="","",'10'!E27)</f>
        <v/>
      </c>
      <c r="F27" s="219" t="str">
        <f>IF('10'!F27="","",'10'!F27)</f>
        <v/>
      </c>
      <c r="G27" s="17" t="str">
        <f>IF('10'!G27="","",'10'!G27)</f>
        <v/>
      </c>
    </row>
    <row r="28" spans="1:7" s="19" customFormat="1" ht="23.1" customHeight="1">
      <c r="A28" s="16" t="str">
        <f>IF('10'!A28="","",'10'!A28)</f>
        <v/>
      </c>
      <c r="B28" s="16">
        <f>IF('10'!B28="","",'10'!B28)</f>
        <v>15</v>
      </c>
      <c r="C28" s="17" t="str">
        <f>IF('10'!C28="","",'10'!C28)</f>
        <v/>
      </c>
      <c r="D28" s="219" t="str">
        <f>IF('10'!D28="","",'10'!D28)</f>
        <v/>
      </c>
      <c r="E28" s="17" t="str">
        <f>IF('10'!E28="","",'10'!E28)</f>
        <v/>
      </c>
      <c r="F28" s="219" t="str">
        <f>IF('10'!F28="","",'10'!F28)</f>
        <v/>
      </c>
      <c r="G28" s="17" t="str">
        <f>IF('10'!G28="","",'10'!G28)</f>
        <v/>
      </c>
    </row>
    <row r="29" spans="1:7" s="19" customFormat="1" ht="23.1" customHeight="1">
      <c r="A29" s="16" t="str">
        <f>IF('10'!A29="","",'10'!A29)</f>
        <v/>
      </c>
      <c r="B29" s="16">
        <f>IF('10'!B29="","",'10'!B29)</f>
        <v>16</v>
      </c>
      <c r="C29" s="17" t="str">
        <f>IF('10'!C29="","",'10'!C29)</f>
        <v/>
      </c>
      <c r="D29" s="219" t="str">
        <f>IF('10'!D29="","",'10'!D29)</f>
        <v/>
      </c>
      <c r="E29" s="17" t="str">
        <f>IF('10'!E29="","",'10'!E29)</f>
        <v/>
      </c>
      <c r="F29" s="219" t="str">
        <f>IF('10'!F29="","",'10'!F29)</f>
        <v/>
      </c>
      <c r="G29" s="17" t="str">
        <f>IF('10'!G29="","",'10'!G29)</f>
        <v/>
      </c>
    </row>
    <row r="30" spans="1:7" s="19" customFormat="1" ht="23.1" customHeight="1">
      <c r="A30" s="16" t="str">
        <f>IF('10'!A30="","",'10'!A30)</f>
        <v/>
      </c>
      <c r="B30" s="16">
        <f>IF('10'!B30="","",'10'!B30)</f>
        <v>17</v>
      </c>
      <c r="C30" s="17" t="str">
        <f>IF('10'!C30="","",'10'!C30)</f>
        <v/>
      </c>
      <c r="D30" s="219" t="str">
        <f>IF('10'!D30="","",'10'!D30)</f>
        <v/>
      </c>
      <c r="E30" s="17" t="str">
        <f>IF('10'!E30="","",'10'!E30)</f>
        <v/>
      </c>
      <c r="F30" s="219" t="str">
        <f>IF('10'!F30="","",'10'!F30)</f>
        <v/>
      </c>
      <c r="G30" s="17" t="str">
        <f>IF('10'!G30="","",'10'!G30)</f>
        <v/>
      </c>
    </row>
    <row r="31" spans="1:7" s="19" customFormat="1" ht="23.1" customHeight="1">
      <c r="A31" s="16" t="str">
        <f>IF('10'!A31="","",'10'!A31)</f>
        <v/>
      </c>
      <c r="B31" s="16">
        <f>IF('10'!B31="","",'10'!B31)</f>
        <v>18</v>
      </c>
      <c r="C31" s="17" t="str">
        <f>IF('10'!C31="","",'10'!C31)</f>
        <v/>
      </c>
      <c r="D31" s="219" t="str">
        <f>IF('10'!D31="","",'10'!D31)</f>
        <v/>
      </c>
      <c r="E31" s="17" t="str">
        <f>IF('10'!E31="","",'10'!E31)</f>
        <v/>
      </c>
      <c r="F31" s="219" t="str">
        <f>IF('10'!F31="","",'10'!F31)</f>
        <v/>
      </c>
      <c r="G31" s="17" t="str">
        <f>IF('10'!G31="","",'10'!G31)</f>
        <v/>
      </c>
    </row>
    <row r="32" spans="1:7" s="19" customFormat="1" ht="23.1" customHeight="1">
      <c r="A32" s="16" t="str">
        <f>IF('10'!A32="","",'10'!A32)</f>
        <v/>
      </c>
      <c r="B32" s="16">
        <f>IF('10'!B32="","",'10'!B32)</f>
        <v>19</v>
      </c>
      <c r="C32" s="17" t="str">
        <f>IF('10'!C32="","",'10'!C32)</f>
        <v/>
      </c>
      <c r="D32" s="219" t="str">
        <f>IF('10'!D32="","",'10'!D32)</f>
        <v/>
      </c>
      <c r="E32" s="17" t="str">
        <f>IF('10'!E32="","",'10'!E32)</f>
        <v/>
      </c>
      <c r="F32" s="219" t="str">
        <f>IF('10'!F32="","",'10'!F32)</f>
        <v/>
      </c>
      <c r="G32" s="17" t="str">
        <f>IF('10'!G32="","",'10'!G32)</f>
        <v/>
      </c>
    </row>
    <row r="33" spans="1:7" s="19" customFormat="1" ht="23.1" customHeight="1">
      <c r="A33" s="16" t="str">
        <f>IF('10'!A33="","",'10'!A33)</f>
        <v/>
      </c>
      <c r="B33" s="16">
        <f>IF('10'!B33="","",'10'!B33)</f>
        <v>20</v>
      </c>
      <c r="C33" s="17" t="str">
        <f>IF('10'!C33="","",'10'!C33)</f>
        <v/>
      </c>
      <c r="D33" s="219" t="str">
        <f>IF('10'!D33="","",'10'!D33)</f>
        <v/>
      </c>
      <c r="E33" s="17" t="str">
        <f>IF('10'!E33="","",'10'!E33)</f>
        <v/>
      </c>
      <c r="F33" s="219" t="str">
        <f>IF('10'!F33="","",'10'!F33)</f>
        <v/>
      </c>
      <c r="G33" s="17" t="str">
        <f>IF('10'!G33="","",'10'!G33)</f>
        <v/>
      </c>
    </row>
    <row r="34" spans="1:7" s="19" customFormat="1" ht="23.1" customHeight="1">
      <c r="A34" s="16" t="str">
        <f>IF('10'!A34="","",'10'!A34)</f>
        <v/>
      </c>
      <c r="B34" s="16">
        <f>IF('10'!B34="","",'10'!B34)</f>
        <v>21</v>
      </c>
      <c r="C34" s="17" t="str">
        <f>IF('10'!C34="","",'10'!C34)</f>
        <v/>
      </c>
      <c r="D34" s="219" t="str">
        <f>IF('10'!D34="","",'10'!D34)</f>
        <v/>
      </c>
      <c r="E34" s="17" t="str">
        <f>IF('10'!E34="","",'10'!E34)</f>
        <v/>
      </c>
      <c r="F34" s="219" t="str">
        <f>IF('10'!F34="","",'10'!F34)</f>
        <v/>
      </c>
      <c r="G34" s="17" t="str">
        <f>IF('10'!G34="","",'10'!G34)</f>
        <v/>
      </c>
    </row>
    <row r="35" spans="1:7" s="19" customFormat="1" ht="23.1" customHeight="1">
      <c r="A35" s="16" t="str">
        <f>IF('10'!A35="","",'10'!A35)</f>
        <v/>
      </c>
      <c r="B35" s="16">
        <f>IF('10'!B35="","",'10'!B35)</f>
        <v>22</v>
      </c>
      <c r="C35" s="17" t="str">
        <f>IF('10'!C35="","",'10'!C35)</f>
        <v/>
      </c>
      <c r="D35" s="219" t="str">
        <f>IF('10'!D35="","",'10'!D35)</f>
        <v/>
      </c>
      <c r="E35" s="17" t="str">
        <f>IF('10'!E35="","",'10'!E35)</f>
        <v/>
      </c>
      <c r="F35" s="219" t="str">
        <f>IF('10'!F35="","",'10'!F35)</f>
        <v/>
      </c>
      <c r="G35" s="17" t="str">
        <f>IF('10'!G35="","",'10'!G35)</f>
        <v/>
      </c>
    </row>
    <row r="36" spans="1:7" s="19" customFormat="1" ht="23.1" customHeight="1">
      <c r="A36" s="16" t="str">
        <f>IF('10'!A36="","",'10'!A36)</f>
        <v/>
      </c>
      <c r="B36" s="16">
        <f>IF('10'!B36="","",'10'!B36)</f>
        <v>23</v>
      </c>
      <c r="C36" s="17" t="str">
        <f>IF('10'!C36="","",'10'!C36)</f>
        <v/>
      </c>
      <c r="D36" s="219" t="str">
        <f>IF('10'!D36="","",'10'!D36)</f>
        <v/>
      </c>
      <c r="E36" s="17" t="str">
        <f>IF('10'!E36="","",'10'!E36)</f>
        <v/>
      </c>
      <c r="F36" s="219" t="str">
        <f>IF('10'!F36="","",'10'!F36)</f>
        <v/>
      </c>
      <c r="G36" s="17" t="str">
        <f>IF('10'!G36="","",'10'!G36)</f>
        <v/>
      </c>
    </row>
    <row r="37" spans="1:7" s="19" customFormat="1" ht="23.1" customHeight="1">
      <c r="A37" s="16" t="str">
        <f>IF('10'!A37="","",'10'!A37)</f>
        <v/>
      </c>
      <c r="B37" s="16">
        <f>IF('10'!B37="","",'10'!B37)</f>
        <v>24</v>
      </c>
      <c r="C37" s="17" t="str">
        <f>IF('10'!C37="","",'10'!C37)</f>
        <v/>
      </c>
      <c r="D37" s="219" t="str">
        <f>IF('10'!D37="","",'10'!D37)</f>
        <v/>
      </c>
      <c r="E37" s="17" t="str">
        <f>IF('10'!E37="","",'10'!E37)</f>
        <v/>
      </c>
      <c r="F37" s="219" t="str">
        <f>IF('10'!F37="","",'10'!F37)</f>
        <v/>
      </c>
      <c r="G37" s="17" t="str">
        <f>IF('10'!G37="","",'10'!G37)</f>
        <v/>
      </c>
    </row>
    <row r="38" spans="1:7" s="19" customFormat="1" ht="23.1" customHeight="1">
      <c r="A38" s="16" t="str">
        <f>IF('10'!A38="","",'10'!A38)</f>
        <v/>
      </c>
      <c r="B38" s="16">
        <f>IF('10'!B38="","",'10'!B38)</f>
        <v>25</v>
      </c>
      <c r="C38" s="17" t="str">
        <f>IF('10'!C38="","",'10'!C38)</f>
        <v/>
      </c>
      <c r="D38" s="219" t="str">
        <f>IF('10'!D38="","",'10'!D38)</f>
        <v/>
      </c>
      <c r="E38" s="17" t="str">
        <f>IF('10'!E38="","",'10'!E38)</f>
        <v/>
      </c>
      <c r="F38" s="219" t="str">
        <f>IF('10'!F38="","",'10'!F38)</f>
        <v/>
      </c>
      <c r="G38" s="17" t="str">
        <f>IF('10'!G38="","",'10'!G38)</f>
        <v/>
      </c>
    </row>
    <row r="39" spans="1:7" s="19" customFormat="1" ht="23.1" customHeight="1">
      <c r="A39" s="16" t="str">
        <f>IF('10'!A39="","",'10'!A39)</f>
        <v/>
      </c>
      <c r="B39" s="16">
        <f>IF('10'!B39="","",'10'!B39)</f>
        <v>26</v>
      </c>
      <c r="C39" s="17" t="str">
        <f>IF('10'!C39="","",'10'!C39)</f>
        <v/>
      </c>
      <c r="D39" s="219" t="str">
        <f>IF('10'!D39="","",'10'!D39)</f>
        <v/>
      </c>
      <c r="E39" s="17" t="str">
        <f>IF('10'!E39="","",'10'!E39)</f>
        <v/>
      </c>
      <c r="F39" s="219" t="str">
        <f>IF('10'!F39="","",'10'!F39)</f>
        <v/>
      </c>
      <c r="G39" s="17" t="str">
        <f>IF('10'!G39="","",'10'!G39)</f>
        <v/>
      </c>
    </row>
    <row r="40" spans="1:7" s="19" customFormat="1" ht="23.1" customHeight="1">
      <c r="A40" s="16" t="str">
        <f>IF('10'!A40="","",'10'!A40)</f>
        <v/>
      </c>
      <c r="B40" s="16">
        <f>IF('10'!B40="","",'10'!B40)</f>
        <v>27</v>
      </c>
      <c r="C40" s="17" t="str">
        <f>IF('10'!C40="","",'10'!C40)</f>
        <v/>
      </c>
      <c r="D40" s="219" t="str">
        <f>IF('10'!D40="","",'10'!D40)</f>
        <v/>
      </c>
      <c r="E40" s="17" t="str">
        <f>IF('10'!E40="","",'10'!E40)</f>
        <v/>
      </c>
      <c r="F40" s="219" t="str">
        <f>IF('10'!F40="","",'10'!F40)</f>
        <v/>
      </c>
      <c r="G40" s="17" t="str">
        <f>IF('10'!G40="","",'10'!G40)</f>
        <v/>
      </c>
    </row>
    <row r="41" spans="1:7" s="19" customFormat="1" ht="23.1" customHeight="1">
      <c r="A41" s="16" t="str">
        <f>IF('10'!A41="","",'10'!A41)</f>
        <v/>
      </c>
      <c r="B41" s="16">
        <f>IF('10'!B41="","",'10'!B41)</f>
        <v>28</v>
      </c>
      <c r="C41" s="17" t="str">
        <f>IF('10'!C41="","",'10'!C41)</f>
        <v/>
      </c>
      <c r="D41" s="219" t="str">
        <f>IF('10'!D41="","",'10'!D41)</f>
        <v/>
      </c>
      <c r="E41" s="17" t="str">
        <f>IF('10'!E41="","",'10'!E41)</f>
        <v/>
      </c>
      <c r="F41" s="219" t="str">
        <f>IF('10'!F41="","",'10'!F41)</f>
        <v/>
      </c>
      <c r="G41" s="17" t="str">
        <f>IF('10'!G41="","",'10'!G41)</f>
        <v/>
      </c>
    </row>
    <row r="42" spans="1:7" s="19" customFormat="1" ht="23.1" customHeight="1">
      <c r="A42" s="16" t="str">
        <f>IF('10'!A42="","",'10'!A42)</f>
        <v/>
      </c>
      <c r="B42" s="16">
        <f>IF('10'!B42="","",'10'!B42)</f>
        <v>29</v>
      </c>
      <c r="C42" s="17" t="str">
        <f>IF('10'!C42="","",'10'!C42)</f>
        <v/>
      </c>
      <c r="D42" s="219" t="str">
        <f>IF('10'!D42="","",'10'!D42)</f>
        <v/>
      </c>
      <c r="E42" s="17" t="str">
        <f>IF('10'!E42="","",'10'!E42)</f>
        <v/>
      </c>
      <c r="F42" s="219" t="str">
        <f>IF('10'!F42="","",'10'!F42)</f>
        <v/>
      </c>
      <c r="G42" s="17" t="str">
        <f>IF('10'!G42="","",'10'!G42)</f>
        <v/>
      </c>
    </row>
    <row r="43" spans="1:7" s="19" customFormat="1" ht="23.1" customHeight="1">
      <c r="A43" s="16" t="str">
        <f>IF('10'!A43="","",'10'!A43)</f>
        <v/>
      </c>
      <c r="B43" s="16">
        <f>IF('10'!B43="","",'10'!B43)</f>
        <v>30</v>
      </c>
      <c r="C43" s="17" t="str">
        <f>IF('10'!C43="","",'10'!C43)</f>
        <v/>
      </c>
      <c r="D43" s="219" t="str">
        <f>IF('10'!D43="","",'10'!D43)</f>
        <v/>
      </c>
      <c r="E43" s="17" t="str">
        <f>IF('10'!E43="","",'10'!E43)</f>
        <v/>
      </c>
      <c r="F43" s="219" t="str">
        <f>IF('10'!F43="","",'10'!F43)</f>
        <v/>
      </c>
      <c r="G43" s="17" t="str">
        <f>IF('10'!G43="","",'10'!G43)</f>
        <v/>
      </c>
    </row>
    <row r="44" spans="1:7" ht="23.1" customHeight="1">
      <c r="A44" s="16" t="str">
        <f>IF('10'!A44="","",'10'!A44)</f>
        <v/>
      </c>
      <c r="B44" s="16" t="str">
        <f>IF('10'!B44="","",'10'!B44)</f>
        <v/>
      </c>
      <c r="C44" s="17" t="str">
        <f>IF('10'!C44="","",'10'!C44)</f>
        <v/>
      </c>
      <c r="D44" s="219" t="str">
        <f>IF('10'!D44="","",'10'!D44)</f>
        <v/>
      </c>
      <c r="E44" s="17" t="str">
        <f>IF('10'!E44="","",'10'!E44)</f>
        <v/>
      </c>
      <c r="F44" s="219" t="str">
        <f>IF('10'!F44="","",'10'!F44)</f>
        <v/>
      </c>
      <c r="G44" s="17" t="str">
        <f>IF('10'!G44="","",'10'!G44)</f>
        <v/>
      </c>
    </row>
    <row r="45" spans="1:7" ht="23.1" customHeight="1">
      <c r="A45" s="16" t="str">
        <f>IF('10'!A45="","",'10'!A45)</f>
        <v/>
      </c>
      <c r="B45" s="16" t="str">
        <f>IF('10'!B45="","",'10'!B45)</f>
        <v/>
      </c>
      <c r="C45" s="17" t="str">
        <f>IF('10'!C45="","",'10'!C45)</f>
        <v/>
      </c>
      <c r="D45" s="219" t="str">
        <f>IF('10'!D45="","",'10'!D45)</f>
        <v/>
      </c>
      <c r="E45" s="17" t="str">
        <f>IF('10'!E45="","",'10'!E45)</f>
        <v/>
      </c>
      <c r="F45" s="219" t="str">
        <f>IF('10'!F45="","",'10'!F45)</f>
        <v/>
      </c>
      <c r="G45" s="17" t="str">
        <f>IF('10'!G45="","",'10'!G45)</f>
        <v/>
      </c>
    </row>
    <row r="46" spans="1:7" ht="23.1" customHeight="1">
      <c r="A46" s="16" t="str">
        <f>IF('10'!A46="","",'10'!A46)</f>
        <v/>
      </c>
      <c r="B46" s="16" t="str">
        <f>IF('10'!B46="","",'10'!B46)</f>
        <v/>
      </c>
      <c r="C46" s="17" t="str">
        <f>IF('10'!C46="","",'10'!C46)</f>
        <v/>
      </c>
      <c r="D46" s="219" t="str">
        <f>IF('10'!D46="","",'10'!D46)</f>
        <v/>
      </c>
      <c r="E46" s="17" t="str">
        <f>IF('10'!E46="","",'10'!E46)</f>
        <v/>
      </c>
      <c r="F46" s="219" t="str">
        <f>IF('10'!F46="","",'10'!F46)</f>
        <v/>
      </c>
      <c r="G46" s="17" t="str">
        <f>IF('10'!G46="","",'10'!G46)</f>
        <v/>
      </c>
    </row>
    <row r="47" spans="1:7" ht="23.1" customHeight="1">
      <c r="A47" s="16" t="str">
        <f>IF('10'!A47="","",'10'!A47)</f>
        <v/>
      </c>
      <c r="B47" s="16" t="str">
        <f>IF('10'!B47="","",'10'!B47)</f>
        <v/>
      </c>
      <c r="C47" s="17" t="str">
        <f>IF('10'!C47="","",'10'!C47)</f>
        <v/>
      </c>
      <c r="D47" s="219" t="str">
        <f>IF('10'!D47="","",'10'!D47)</f>
        <v/>
      </c>
      <c r="E47" s="17" t="str">
        <f>IF('10'!E47="","",'10'!E47)</f>
        <v/>
      </c>
      <c r="F47" s="219" t="str">
        <f>IF('10'!F47="","",'10'!F47)</f>
        <v/>
      </c>
      <c r="G47" s="17" t="str">
        <f>IF('10'!G47="","",'10'!G47)</f>
        <v/>
      </c>
    </row>
    <row r="48" spans="1:7" ht="23.1" customHeight="1">
      <c r="A48" s="16" t="str">
        <f>IF('10'!A48="","",'10'!A48)</f>
        <v/>
      </c>
      <c r="B48" s="16" t="str">
        <f>IF('10'!B48="","",'10'!B48)</f>
        <v/>
      </c>
      <c r="C48" s="17" t="str">
        <f>IF('10'!C48="","",'10'!C48)</f>
        <v/>
      </c>
      <c r="D48" s="219" t="str">
        <f>IF('10'!D48="","",'10'!D48)</f>
        <v/>
      </c>
      <c r="E48" s="17" t="str">
        <f>IF('10'!E48="","",'10'!E48)</f>
        <v/>
      </c>
      <c r="F48" s="219" t="str">
        <f>IF('10'!F48="","",'10'!F48)</f>
        <v/>
      </c>
      <c r="G48" s="17" t="str">
        <f>IF('10'!G48="","",'10'!G48)</f>
        <v/>
      </c>
    </row>
    <row r="49" spans="1:7" ht="23.1" customHeight="1">
      <c r="A49" s="16" t="str">
        <f>IF('10'!A49="","",'10'!A49)</f>
        <v/>
      </c>
      <c r="B49" s="16" t="str">
        <f>IF('10'!B49="","",'10'!B49)</f>
        <v/>
      </c>
      <c r="C49" s="17" t="str">
        <f>IF('10'!C49="","",'10'!C49)</f>
        <v/>
      </c>
      <c r="D49" s="219" t="str">
        <f>IF('10'!D49="","",'10'!D49)</f>
        <v/>
      </c>
      <c r="E49" s="17" t="str">
        <f>IF('10'!E49="","",'10'!E49)</f>
        <v/>
      </c>
      <c r="F49" s="219" t="str">
        <f>IF('10'!F49="","",'10'!F49)</f>
        <v/>
      </c>
      <c r="G49" s="17" t="str">
        <f>IF('10'!G49="","",'10'!G49)</f>
        <v/>
      </c>
    </row>
    <row r="50" spans="1:7" ht="23.1" customHeight="1">
      <c r="A50" s="16" t="str">
        <f>IF('10'!A50="","",'10'!A50)</f>
        <v/>
      </c>
      <c r="B50" s="16" t="str">
        <f>IF('10'!B50="","",'10'!B50)</f>
        <v/>
      </c>
      <c r="C50" s="17" t="str">
        <f>IF('10'!C50="","",'10'!C50)</f>
        <v/>
      </c>
      <c r="D50" s="219" t="str">
        <f>IF('10'!D50="","",'10'!D50)</f>
        <v/>
      </c>
      <c r="E50" s="17" t="str">
        <f>IF('10'!E50="","",'10'!E50)</f>
        <v/>
      </c>
      <c r="F50" s="219" t="str">
        <f>IF('10'!F50="","",'10'!F50)</f>
        <v/>
      </c>
      <c r="G50" s="17" t="str">
        <f>IF('10'!G50="","",'10'!G50)</f>
        <v/>
      </c>
    </row>
    <row r="51" spans="1:7" ht="23.1" customHeight="1">
      <c r="A51" s="16" t="str">
        <f>IF('10'!A51="","",'10'!A51)</f>
        <v/>
      </c>
      <c r="B51" s="16" t="str">
        <f>IF('10'!B51="","",'10'!B51)</f>
        <v/>
      </c>
      <c r="C51" s="17" t="str">
        <f>IF('10'!C51="","",'10'!C51)</f>
        <v/>
      </c>
      <c r="D51" s="219" t="str">
        <f>IF('10'!D51="","",'10'!D51)</f>
        <v/>
      </c>
      <c r="E51" s="17" t="str">
        <f>IF('10'!E51="","",'10'!E51)</f>
        <v/>
      </c>
      <c r="F51" s="219" t="str">
        <f>IF('10'!F51="","",'10'!F51)</f>
        <v/>
      </c>
      <c r="G51" s="17" t="str">
        <f>IF('10'!G51="","",'10'!G51)</f>
        <v/>
      </c>
    </row>
    <row r="52" spans="1:7" ht="23.1" customHeight="1">
      <c r="A52" s="16" t="str">
        <f>IF('10'!A52="","",'10'!A52)</f>
        <v/>
      </c>
      <c r="B52" s="16" t="str">
        <f>IF('10'!B52="","",'10'!B52)</f>
        <v/>
      </c>
      <c r="C52" s="17" t="str">
        <f>IF('10'!C52="","",'10'!C52)</f>
        <v/>
      </c>
      <c r="D52" s="219" t="str">
        <f>IF('10'!D52="","",'10'!D52)</f>
        <v/>
      </c>
      <c r="E52" s="17" t="str">
        <f>IF('10'!E52="","",'10'!E52)</f>
        <v/>
      </c>
      <c r="F52" s="219" t="str">
        <f>IF('10'!F52="","",'10'!F52)</f>
        <v/>
      </c>
      <c r="G52" s="17" t="str">
        <f>IF('10'!G52="","",'10'!G52)</f>
        <v/>
      </c>
    </row>
    <row r="53" spans="1:7" ht="23.1" customHeight="1">
      <c r="A53" s="16" t="str">
        <f>IF('10'!A53="","",'10'!A53)</f>
        <v/>
      </c>
      <c r="B53" s="16" t="str">
        <f>IF('10'!B53="","",'10'!B53)</f>
        <v/>
      </c>
      <c r="C53" s="17" t="str">
        <f>IF('10'!C53="","",'10'!C53)</f>
        <v/>
      </c>
      <c r="D53" s="219" t="str">
        <f>IF('10'!D53="","",'10'!D53)</f>
        <v/>
      </c>
      <c r="E53" s="17" t="str">
        <f>IF('10'!E53="","",'10'!E53)</f>
        <v/>
      </c>
      <c r="F53" s="219" t="str">
        <f>IF('10'!F53="","",'10'!F53)</f>
        <v/>
      </c>
      <c r="G53" s="17" t="str">
        <f>IF('10'!G53="","",'10'!G53)</f>
        <v/>
      </c>
    </row>
    <row r="54" spans="1:7" ht="23.1" customHeight="1">
      <c r="A54" s="16" t="str">
        <f>IF('10'!A54="","",'10'!A54)</f>
        <v/>
      </c>
      <c r="B54" s="16" t="str">
        <f>IF('10'!B54="","",'10'!B54)</f>
        <v/>
      </c>
      <c r="C54" s="17" t="str">
        <f>IF('10'!C54="","",'10'!C54)</f>
        <v/>
      </c>
      <c r="D54" s="219" t="str">
        <f>IF('10'!D54="","",'10'!D54)</f>
        <v/>
      </c>
      <c r="E54" s="17" t="str">
        <f>IF('10'!E54="","",'10'!E54)</f>
        <v/>
      </c>
      <c r="F54" s="219" t="str">
        <f>IF('10'!F54="","",'10'!F54)</f>
        <v/>
      </c>
      <c r="G54" s="17" t="str">
        <f>IF('10'!G54="","",'10'!G54)</f>
        <v/>
      </c>
    </row>
    <row r="55" spans="1:7" ht="23.1" customHeight="1">
      <c r="A55" s="16" t="str">
        <f>IF('10'!A55="","",'10'!A55)</f>
        <v/>
      </c>
      <c r="B55" s="16" t="str">
        <f>IF('10'!B55="","",'10'!B55)</f>
        <v/>
      </c>
      <c r="C55" s="17" t="str">
        <f>IF('10'!C55="","",'10'!C55)</f>
        <v/>
      </c>
      <c r="D55" s="219" t="str">
        <f>IF('10'!D55="","",'10'!D55)</f>
        <v/>
      </c>
      <c r="E55" s="17" t="str">
        <f>IF('10'!E55="","",'10'!E55)</f>
        <v/>
      </c>
      <c r="F55" s="219" t="str">
        <f>IF('10'!F55="","",'10'!F55)</f>
        <v/>
      </c>
      <c r="G55" s="17" t="str">
        <f>IF('10'!G55="","",'10'!G55)</f>
        <v/>
      </c>
    </row>
    <row r="56" spans="1:7" ht="23.1" customHeight="1">
      <c r="A56" s="16" t="str">
        <f>IF('10'!A56="","",'10'!A56)</f>
        <v/>
      </c>
      <c r="B56" s="16" t="str">
        <f>IF('10'!B56="","",'10'!B56)</f>
        <v/>
      </c>
      <c r="C56" s="17" t="str">
        <f>IF('10'!C56="","",'10'!C56)</f>
        <v/>
      </c>
      <c r="D56" s="219" t="str">
        <f>IF('10'!D56="","",'10'!D56)</f>
        <v/>
      </c>
      <c r="E56" s="17" t="str">
        <f>IF('10'!E56="","",'10'!E56)</f>
        <v/>
      </c>
      <c r="F56" s="219" t="str">
        <f>IF('10'!F56="","",'10'!F56)</f>
        <v/>
      </c>
      <c r="G56" s="17" t="str">
        <f>IF('10'!G56="","",'10'!G56)</f>
        <v/>
      </c>
    </row>
    <row r="57" spans="1:7" ht="23.1" customHeight="1">
      <c r="A57" s="16" t="str">
        <f>IF('10'!A57="","",'10'!A57)</f>
        <v/>
      </c>
      <c r="B57" s="16" t="str">
        <f>IF('10'!B57="","",'10'!B57)</f>
        <v/>
      </c>
      <c r="C57" s="17" t="str">
        <f>IF('10'!C57="","",'10'!C57)</f>
        <v/>
      </c>
      <c r="D57" s="219" t="str">
        <f>IF('10'!D57="","",'10'!D57)</f>
        <v/>
      </c>
      <c r="E57" s="17" t="str">
        <f>IF('10'!E57="","",'10'!E57)</f>
        <v/>
      </c>
      <c r="F57" s="219" t="str">
        <f>IF('10'!F57="","",'10'!F57)</f>
        <v/>
      </c>
      <c r="G57" s="17" t="str">
        <f>IF('10'!G57="","",'10'!G57)</f>
        <v/>
      </c>
    </row>
    <row r="58" spans="1:7" ht="23.1" customHeight="1">
      <c r="A58" s="16" t="str">
        <f>IF('10'!A58="","",'10'!A58)</f>
        <v/>
      </c>
      <c r="B58" s="16" t="str">
        <f>IF('10'!B58="","",'10'!B58)</f>
        <v/>
      </c>
      <c r="C58" s="17" t="str">
        <f>IF('10'!C58="","",'10'!C58)</f>
        <v/>
      </c>
      <c r="D58" s="219" t="str">
        <f>IF('10'!D58="","",'10'!D58)</f>
        <v/>
      </c>
      <c r="E58" s="17" t="str">
        <f>IF('10'!E58="","",'10'!E58)</f>
        <v/>
      </c>
      <c r="F58" s="219" t="str">
        <f>IF('10'!F58="","",'10'!F58)</f>
        <v/>
      </c>
      <c r="G58" s="17" t="str">
        <f>IF('10'!G58="","",'10'!G58)</f>
        <v/>
      </c>
    </row>
    <row r="59" spans="1:7" ht="23.1" customHeight="1">
      <c r="A59" s="16" t="str">
        <f>IF('10'!A59="","",'10'!A59)</f>
        <v/>
      </c>
      <c r="B59" s="16" t="str">
        <f>IF('10'!B59="","",'10'!B59)</f>
        <v/>
      </c>
      <c r="C59" s="17" t="str">
        <f>IF('10'!C59="","",'10'!C59)</f>
        <v/>
      </c>
      <c r="D59" s="219" t="str">
        <f>IF('10'!D59="","",'10'!D59)</f>
        <v/>
      </c>
      <c r="E59" s="17" t="str">
        <f>IF('10'!E59="","",'10'!E59)</f>
        <v/>
      </c>
      <c r="F59" s="219" t="str">
        <f>IF('10'!F59="","",'10'!F59)</f>
        <v/>
      </c>
      <c r="G59" s="17" t="str">
        <f>IF('10'!G59="","",'10'!G59)</f>
        <v/>
      </c>
    </row>
    <row r="60" spans="1:7" ht="23.1" customHeight="1">
      <c r="A60" s="16" t="str">
        <f>IF('10'!A60="","",'10'!A60)</f>
        <v/>
      </c>
      <c r="B60" s="16" t="str">
        <f>IF('10'!B60="","",'10'!B60)</f>
        <v/>
      </c>
      <c r="C60" s="17" t="str">
        <f>IF('10'!C60="","",'10'!C60)</f>
        <v/>
      </c>
      <c r="D60" s="219" t="str">
        <f>IF('10'!D60="","",'10'!D60)</f>
        <v/>
      </c>
      <c r="E60" s="17" t="str">
        <f>IF('10'!E60="","",'10'!E60)</f>
        <v/>
      </c>
      <c r="F60" s="219" t="str">
        <f>IF('10'!F60="","",'10'!F60)</f>
        <v/>
      </c>
      <c r="G60" s="17" t="str">
        <f>IF('10'!G60="","",'10'!G60)</f>
        <v/>
      </c>
    </row>
    <row r="61" spans="1:7" ht="23.1" customHeight="1">
      <c r="A61" s="16" t="str">
        <f>IF('10'!A61="","",'10'!A61)</f>
        <v/>
      </c>
      <c r="B61" s="16" t="str">
        <f>IF('10'!B61="","",'10'!B61)</f>
        <v/>
      </c>
      <c r="C61" s="17" t="str">
        <f>IF('10'!C61="","",'10'!C61)</f>
        <v/>
      </c>
      <c r="D61" s="219" t="str">
        <f>IF('10'!D61="","",'10'!D61)</f>
        <v/>
      </c>
      <c r="E61" s="17" t="str">
        <f>IF('10'!E61="","",'10'!E61)</f>
        <v/>
      </c>
      <c r="F61" s="219" t="str">
        <f>IF('10'!F61="","",'10'!F61)</f>
        <v/>
      </c>
      <c r="G61" s="17" t="str">
        <f>IF('10'!G61="","",'10'!G61)</f>
        <v/>
      </c>
    </row>
    <row r="62" spans="1:7" ht="23.1" customHeight="1">
      <c r="A62" s="16" t="str">
        <f>IF('10'!A62="","",'10'!A62)</f>
        <v/>
      </c>
      <c r="B62" s="16" t="str">
        <f>IF('10'!B62="","",'10'!B62)</f>
        <v/>
      </c>
      <c r="C62" s="17" t="str">
        <f>IF('10'!C62="","",'10'!C62)</f>
        <v/>
      </c>
      <c r="D62" s="219" t="str">
        <f>IF('10'!D62="","",'10'!D62)</f>
        <v/>
      </c>
      <c r="E62" s="17" t="str">
        <f>IF('10'!E62="","",'10'!E62)</f>
        <v/>
      </c>
      <c r="F62" s="219" t="str">
        <f>IF('10'!F62="","",'10'!F62)</f>
        <v/>
      </c>
      <c r="G62" s="17" t="str">
        <f>IF('10'!G62="","",'10'!G62)</f>
        <v/>
      </c>
    </row>
    <row r="63" spans="1:7" ht="23.1" customHeight="1">
      <c r="A63" s="16" t="str">
        <f>IF('10'!A63="","",'10'!A63)</f>
        <v/>
      </c>
      <c r="B63" s="16" t="str">
        <f>IF('10'!B63="","",'10'!B63)</f>
        <v/>
      </c>
      <c r="C63" s="17" t="str">
        <f>IF('10'!C63="","",'10'!C63)</f>
        <v/>
      </c>
      <c r="D63" s="219" t="str">
        <f>IF('10'!D63="","",'10'!D63)</f>
        <v/>
      </c>
      <c r="E63" s="17" t="str">
        <f>IF('10'!E63="","",'10'!E63)</f>
        <v/>
      </c>
      <c r="F63" s="219" t="str">
        <f>IF('10'!F63="","",'10'!F63)</f>
        <v/>
      </c>
      <c r="G63" s="17" t="str">
        <f>IF('10'!G63="","",'10'!G63)</f>
        <v/>
      </c>
    </row>
    <row r="64" spans="1:7" ht="23.1" customHeight="1">
      <c r="A64" s="16" t="str">
        <f>IF('10'!A64="","",'10'!A64)</f>
        <v/>
      </c>
      <c r="B64" s="16" t="str">
        <f>IF('10'!B64="","",'10'!B64)</f>
        <v/>
      </c>
      <c r="C64" s="17" t="str">
        <f>IF('10'!C64="","",'10'!C64)</f>
        <v/>
      </c>
      <c r="D64" s="219" t="str">
        <f>IF('10'!D64="","",'10'!D64)</f>
        <v/>
      </c>
      <c r="E64" s="17" t="str">
        <f>IF('10'!E64="","",'10'!E64)</f>
        <v/>
      </c>
      <c r="F64" s="219" t="str">
        <f>IF('10'!F64="","",'10'!F64)</f>
        <v/>
      </c>
      <c r="G64" s="17" t="str">
        <f>IF('10'!G64="","",'10'!G64)</f>
        <v/>
      </c>
    </row>
    <row r="65" spans="1:7" ht="23.1" customHeight="1">
      <c r="A65" s="16" t="str">
        <f>IF('10'!A65="","",'10'!A65)</f>
        <v/>
      </c>
      <c r="B65" s="16" t="str">
        <f>IF('10'!B65="","",'10'!B65)</f>
        <v/>
      </c>
      <c r="C65" s="17" t="str">
        <f>IF('10'!C65="","",'10'!C65)</f>
        <v/>
      </c>
      <c r="D65" s="219" t="str">
        <f>IF('10'!D65="","",'10'!D65)</f>
        <v/>
      </c>
      <c r="E65" s="17" t="str">
        <f>IF('10'!E65="","",'10'!E65)</f>
        <v/>
      </c>
      <c r="F65" s="219" t="str">
        <f>IF('10'!F65="","",'10'!F65)</f>
        <v/>
      </c>
      <c r="G65" s="17" t="str">
        <f>IF('10'!G65="","",'10'!G65)</f>
        <v/>
      </c>
    </row>
    <row r="66" spans="1:7" ht="23.1" customHeight="1">
      <c r="A66" s="16" t="str">
        <f>IF('10'!A66="","",'10'!A66)</f>
        <v/>
      </c>
      <c r="B66" s="16" t="str">
        <f>IF('10'!B66="","",'10'!B66)</f>
        <v/>
      </c>
      <c r="C66" s="17" t="str">
        <f>IF('10'!C66="","",'10'!C66)</f>
        <v/>
      </c>
      <c r="D66" s="219" t="str">
        <f>IF('10'!D66="","",'10'!D66)</f>
        <v/>
      </c>
      <c r="E66" s="17" t="str">
        <f>IF('10'!E66="","",'10'!E66)</f>
        <v/>
      </c>
      <c r="F66" s="219" t="str">
        <f>IF('10'!F66="","",'10'!F66)</f>
        <v/>
      </c>
      <c r="G66" s="17" t="str">
        <f>IF('10'!G66="","",'10'!G66)</f>
        <v/>
      </c>
    </row>
    <row r="67" spans="1:7" ht="23.1" customHeight="1">
      <c r="A67" s="16" t="str">
        <f>IF('10'!A66="","",'10'!A66)</f>
        <v/>
      </c>
      <c r="B67" s="16" t="str">
        <f>IF('10'!B66="","",'10'!B66)</f>
        <v/>
      </c>
      <c r="C67" s="17" t="str">
        <f>IF('10'!C65="","",'10'!C65)</f>
        <v/>
      </c>
      <c r="D67" s="219" t="str">
        <f>IF('10'!D65="","",'10'!D65)</f>
        <v/>
      </c>
      <c r="E67" s="17" t="str">
        <f>IF('10'!E65="","",'10'!E65)</f>
        <v/>
      </c>
      <c r="F67" s="219" t="str">
        <f>IF('10'!F65="","",'10'!F65)</f>
        <v/>
      </c>
      <c r="G67" s="17" t="str">
        <f>IF('10'!G65="","",'10'!G65)</f>
        <v/>
      </c>
    </row>
    <row r="68" spans="1:7" ht="23.1" customHeight="1">
      <c r="A68" s="16" t="str">
        <f>IF('10'!A67="","",'10'!A67)</f>
        <v/>
      </c>
      <c r="B68" s="16" t="str">
        <f>IF('10'!B67="","",'10'!B67)</f>
        <v/>
      </c>
      <c r="C68" s="17" t="str">
        <f>IF('10'!C66="","",'10'!C66)</f>
        <v/>
      </c>
      <c r="D68" s="219" t="str">
        <f>IF('10'!D66="","",'10'!D66)</f>
        <v/>
      </c>
      <c r="E68" s="17" t="str">
        <f>IF('10'!E66="","",'10'!E66)</f>
        <v/>
      </c>
      <c r="F68" s="219" t="str">
        <f>IF('10'!F66="","",'10'!F66)</f>
        <v/>
      </c>
      <c r="G68" s="17" t="str">
        <f>IF('10'!G66="","",'10'!G66)</f>
        <v/>
      </c>
    </row>
    <row r="69" spans="1:7" ht="23.1" customHeight="1">
      <c r="A69" s="16" t="str">
        <f>IF('10'!A68="","",'10'!A68)</f>
        <v/>
      </c>
      <c r="B69" s="16" t="str">
        <f>IF('10'!B68="","",'10'!B68)</f>
        <v/>
      </c>
      <c r="C69" s="17" t="str">
        <f>IF('10'!C67="","",'10'!C67)</f>
        <v/>
      </c>
      <c r="D69" s="219" t="str">
        <f>IF('10'!D67="","",'10'!D67)</f>
        <v/>
      </c>
      <c r="E69" s="17" t="str">
        <f>IF('10'!E67="","",'10'!E67)</f>
        <v/>
      </c>
      <c r="F69" s="219" t="str">
        <f>IF('10'!F67="","",'10'!F67)</f>
        <v/>
      </c>
      <c r="G69" s="17" t="str">
        <f>IF('10'!G67="","",'10'!G67)</f>
        <v/>
      </c>
    </row>
    <row r="70" spans="1:7" ht="23.1" customHeight="1">
      <c r="A70" s="16" t="str">
        <f>IF('10'!A69="","",'10'!A69)</f>
        <v/>
      </c>
      <c r="B70" s="16" t="str">
        <f>IF('10'!B69="","",'10'!B69)</f>
        <v/>
      </c>
      <c r="C70" s="17" t="str">
        <f>IF('10'!C68="","",'10'!C68)</f>
        <v/>
      </c>
      <c r="D70" s="219" t="str">
        <f>IF('10'!D68="","",'10'!D68)</f>
        <v/>
      </c>
      <c r="E70" s="17" t="str">
        <f>IF('10'!E68="","",'10'!E68)</f>
        <v/>
      </c>
      <c r="F70" s="219" t="str">
        <f>IF('10'!F68="","",'10'!F68)</f>
        <v/>
      </c>
      <c r="G70" s="17" t="str">
        <f>IF('10'!G68="","",'10'!G68)</f>
        <v/>
      </c>
    </row>
    <row r="71" spans="1:7" ht="23.1" customHeight="1">
      <c r="A71" s="16" t="str">
        <f>IF('10'!A70="","",'10'!A70)</f>
        <v/>
      </c>
      <c r="B71" s="16" t="str">
        <f>IF('10'!B70="","",'10'!B70)</f>
        <v/>
      </c>
      <c r="C71" s="17" t="str">
        <f>IF('10'!C69="","",'10'!C69)</f>
        <v/>
      </c>
      <c r="D71" s="219" t="str">
        <f>IF('10'!D69="","",'10'!D69)</f>
        <v/>
      </c>
      <c r="E71" s="17" t="str">
        <f>IF('10'!E69="","",'10'!E69)</f>
        <v/>
      </c>
      <c r="F71" s="219" t="str">
        <f>IF('10'!F69="","",'10'!F69)</f>
        <v/>
      </c>
      <c r="G71" s="17" t="str">
        <f>IF('10'!G69="","",'10'!G69)</f>
        <v/>
      </c>
    </row>
    <row r="72" spans="1:7" ht="23.1" customHeight="1">
      <c r="A72" s="16" t="str">
        <f>IF('10'!A71="","",'10'!A71)</f>
        <v/>
      </c>
      <c r="B72" s="16" t="str">
        <f>IF('10'!B71="","",'10'!B71)</f>
        <v/>
      </c>
      <c r="C72" s="17" t="str">
        <f>IF('10'!C70="","",'10'!C70)</f>
        <v/>
      </c>
      <c r="D72" s="219" t="str">
        <f>IF('10'!D70="","",'10'!D70)</f>
        <v/>
      </c>
      <c r="E72" s="17" t="str">
        <f>IF('10'!E70="","",'10'!E70)</f>
        <v/>
      </c>
      <c r="F72" s="219" t="str">
        <f>IF('10'!F70="","",'10'!F70)</f>
        <v/>
      </c>
      <c r="G72" s="17" t="str">
        <f>IF('10'!G70="","",'10'!G70)</f>
        <v/>
      </c>
    </row>
    <row r="73" spans="1:7" ht="23.1" customHeight="1">
      <c r="A73" s="16" t="str">
        <f>IF('10'!A72="","",'10'!A72)</f>
        <v/>
      </c>
      <c r="B73" s="16" t="str">
        <f>IF('10'!B72="","",'10'!B72)</f>
        <v/>
      </c>
      <c r="C73" s="17" t="str">
        <f>IF('10'!C71="","",'10'!C71)</f>
        <v/>
      </c>
      <c r="D73" s="219" t="str">
        <f>IF('10'!D71="","",'10'!D71)</f>
        <v/>
      </c>
      <c r="E73" s="17" t="str">
        <f>IF('10'!E71="","",'10'!E71)</f>
        <v/>
      </c>
      <c r="F73" s="219" t="str">
        <f>IF('10'!F71="","",'10'!F71)</f>
        <v/>
      </c>
      <c r="G73" s="17" t="str">
        <f>IF('10'!G71="","",'10'!G71)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7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r:id="rId1"/>
  <headerFooter alignWithMargins="0">
    <oddHeader>&amp;R&amp;P/&amp;N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>
    <tabColor rgb="FFFFC000"/>
  </sheetPr>
  <dimension ref="A1:AC201"/>
  <sheetViews>
    <sheetView topLeftCell="A7" workbookViewId="0">
      <selection activeCell="A14" sqref="A14:G34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16384" width="9.6640625" style="20"/>
  </cols>
  <sheetData>
    <row r="1" spans="1:29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29" s="25" customFormat="1" ht="18" customHeight="1">
      <c r="B2" s="26" t="s">
        <v>1</v>
      </c>
      <c r="C2" s="27"/>
      <c r="E2" s="26" t="s">
        <v>2</v>
      </c>
      <c r="F2" s="30"/>
      <c r="G2" s="132">
        <v>46276</v>
      </c>
      <c r="L2" s="28"/>
      <c r="N2" s="26" t="s">
        <v>3</v>
      </c>
      <c r="O2" s="29"/>
      <c r="P2" s="30"/>
      <c r="Q2" s="30"/>
      <c r="R2" s="30"/>
      <c r="S2" s="30"/>
      <c r="T2" s="30"/>
    </row>
    <row r="3" spans="1:29" s="25" customFormat="1" ht="18" customHeight="1">
      <c r="A3" s="31"/>
      <c r="B3" s="26" t="s">
        <v>4</v>
      </c>
      <c r="C3" s="120" t="s">
        <v>516</v>
      </c>
      <c r="D3" s="121"/>
      <c r="E3" s="121"/>
      <c r="F3" s="121"/>
      <c r="G3" s="121"/>
      <c r="Q3" s="26" t="s">
        <v>5</v>
      </c>
      <c r="R3" s="29"/>
      <c r="S3" s="30"/>
      <c r="T3" s="30"/>
      <c r="U3" s="32"/>
    </row>
    <row r="4" spans="1:29" s="25" customFormat="1" ht="18" customHeight="1">
      <c r="B4" s="26" t="s">
        <v>6</v>
      </c>
      <c r="C4" s="33">
        <v>1</v>
      </c>
      <c r="D4" s="25" t="s">
        <v>7</v>
      </c>
      <c r="E4" s="26" t="s">
        <v>8</v>
      </c>
      <c r="F4" s="29" t="s">
        <v>69</v>
      </c>
      <c r="G4" s="30"/>
      <c r="H4" s="71" t="s">
        <v>79</v>
      </c>
      <c r="J4" s="26" t="s">
        <v>9</v>
      </c>
      <c r="K4" s="34" t="s">
        <v>58</v>
      </c>
      <c r="N4" s="26" t="s">
        <v>10</v>
      </c>
      <c r="O4" s="35"/>
    </row>
    <row r="5" spans="1:29" s="25" customFormat="1" ht="18" customHeight="1">
      <c r="C5" s="26" t="s">
        <v>11</v>
      </c>
      <c r="D5" s="27" t="s">
        <v>58</v>
      </c>
      <c r="E5" s="26" t="s">
        <v>12</v>
      </c>
      <c r="F5" s="36" t="s">
        <v>58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60</v>
      </c>
      <c r="P5" s="39"/>
      <c r="R5" s="26" t="s">
        <v>17</v>
      </c>
      <c r="S5" s="39"/>
    </row>
    <row r="6" spans="1:29" s="25" customFormat="1" ht="35.1" customHeight="1">
      <c r="C6" s="40" t="s">
        <v>18</v>
      </c>
      <c r="D6" s="175" t="s">
        <v>39</v>
      </c>
      <c r="E6" s="26" t="s">
        <v>19</v>
      </c>
      <c r="F6" s="181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</row>
    <row r="7" spans="1:29" s="25" customFormat="1" ht="15" customHeight="1">
      <c r="A7" s="26" t="s">
        <v>62</v>
      </c>
      <c r="B7" s="73" t="s">
        <v>0</v>
      </c>
      <c r="C7" s="76"/>
      <c r="D7" s="26" t="s">
        <v>63</v>
      </c>
      <c r="E7" s="74"/>
      <c r="F7" s="32"/>
      <c r="I7" s="26"/>
      <c r="J7" s="37"/>
      <c r="K7" s="32"/>
      <c r="L7" s="26"/>
      <c r="M7" s="32"/>
      <c r="N7" s="26"/>
      <c r="O7" s="42"/>
      <c r="Q7" s="26"/>
      <c r="R7" s="43"/>
    </row>
    <row r="8" spans="1:29" s="25" customFormat="1" ht="15" customHeight="1">
      <c r="A8" s="26" t="s">
        <v>64</v>
      </c>
      <c r="B8" s="73" t="s">
        <v>0</v>
      </c>
      <c r="C8" s="72"/>
      <c r="D8" s="26" t="s">
        <v>63</v>
      </c>
      <c r="E8" s="75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</row>
    <row r="9" spans="1:29" s="25" customFormat="1" ht="15" customHeight="1">
      <c r="A9" s="26" t="s">
        <v>65</v>
      </c>
      <c r="B9" s="73" t="s">
        <v>0</v>
      </c>
      <c r="C9" s="72"/>
      <c r="D9" s="26" t="s">
        <v>63</v>
      </c>
      <c r="E9" s="75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</row>
    <row r="10" spans="1:29" s="25" customFormat="1" ht="15" customHeight="1">
      <c r="A10" s="26" t="s">
        <v>66</v>
      </c>
      <c r="B10" s="73" t="s">
        <v>0</v>
      </c>
      <c r="C10" s="72"/>
      <c r="D10" s="26" t="s">
        <v>63</v>
      </c>
      <c r="E10" s="75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</row>
    <row r="11" spans="1:29" s="25" customFormat="1" ht="15" customHeight="1">
      <c r="A11" s="26" t="s">
        <v>67</v>
      </c>
      <c r="B11" s="73" t="s">
        <v>0</v>
      </c>
      <c r="C11" s="72"/>
      <c r="D11" s="26" t="s">
        <v>63</v>
      </c>
      <c r="E11" s="75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</row>
    <row r="12" spans="1:29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50</v>
      </c>
      <c r="W12" s="15" t="s">
        <v>51</v>
      </c>
    </row>
    <row r="13" spans="1:29" ht="35.1" customHeight="1">
      <c r="A13" s="52" t="s">
        <v>24</v>
      </c>
      <c r="B13" s="52" t="s">
        <v>25</v>
      </c>
      <c r="C13" s="53" t="s">
        <v>26</v>
      </c>
      <c r="D13" s="176" t="s">
        <v>0</v>
      </c>
      <c r="E13" s="53" t="s">
        <v>27</v>
      </c>
      <c r="F13" s="176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56</v>
      </c>
      <c r="W13" s="15" t="s">
        <v>57</v>
      </c>
    </row>
    <row r="14" spans="1:29" s="67" customFormat="1" ht="18" customHeight="1">
      <c r="A14" s="60" t="s">
        <v>536</v>
      </c>
      <c r="B14" s="61">
        <v>1</v>
      </c>
      <c r="C14" s="159" t="s">
        <v>633</v>
      </c>
      <c r="D14" s="177">
        <v>21867</v>
      </c>
      <c r="E14" s="148" t="s">
        <v>637</v>
      </c>
      <c r="F14" s="177" t="s">
        <v>125</v>
      </c>
      <c r="G14" s="111" t="s">
        <v>638</v>
      </c>
      <c r="H14" s="22"/>
      <c r="I14" s="22"/>
      <c r="J14" s="62" t="str">
        <f t="shared" ref="J14:J30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s">
        <v>68</v>
      </c>
      <c r="W14" s="69" t="s">
        <v>68</v>
      </c>
      <c r="Y14"/>
      <c r="Z14"/>
      <c r="AA14"/>
      <c r="AB14"/>
      <c r="AC14"/>
    </row>
    <row r="15" spans="1:29" s="67" customFormat="1" ht="18" customHeight="1">
      <c r="A15" s="60" t="s">
        <v>536</v>
      </c>
      <c r="B15" s="61">
        <v>2</v>
      </c>
      <c r="C15" s="78" t="s">
        <v>571</v>
      </c>
      <c r="D15" s="177">
        <v>11693</v>
      </c>
      <c r="E15" s="145" t="s">
        <v>572</v>
      </c>
      <c r="F15" s="177" t="s">
        <v>560</v>
      </c>
      <c r="G15" s="79" t="s">
        <v>573</v>
      </c>
      <c r="H15" s="83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v>#N/A</v>
      </c>
      <c r="W15" s="69" t="e">
        <v>#N/A</v>
      </c>
      <c r="Y15" t="s">
        <v>239</v>
      </c>
      <c r="Z15">
        <v>31710</v>
      </c>
      <c r="AA15" t="s">
        <v>238</v>
      </c>
      <c r="AB15"/>
      <c r="AC15"/>
    </row>
    <row r="16" spans="1:29" s="67" customFormat="1" ht="18" customHeight="1">
      <c r="A16" s="60" t="s">
        <v>536</v>
      </c>
      <c r="B16" s="61">
        <v>3</v>
      </c>
      <c r="C16" s="78" t="s">
        <v>587</v>
      </c>
      <c r="D16" s="178">
        <v>20359</v>
      </c>
      <c r="E16" s="146" t="s">
        <v>588</v>
      </c>
      <c r="F16" s="182" t="s">
        <v>125</v>
      </c>
      <c r="G16" s="78" t="s">
        <v>586</v>
      </c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s">
        <v>68</v>
      </c>
      <c r="W16" s="69" t="s">
        <v>68</v>
      </c>
      <c r="Y16"/>
      <c r="Z16"/>
      <c r="AA16"/>
      <c r="AB16"/>
      <c r="AC16"/>
    </row>
    <row r="17" spans="1:29" s="67" customFormat="1" ht="18" customHeight="1">
      <c r="A17" s="60" t="s">
        <v>536</v>
      </c>
      <c r="B17" s="61">
        <v>4</v>
      </c>
      <c r="C17" s="84" t="s">
        <v>624</v>
      </c>
      <c r="D17" s="177">
        <v>14546</v>
      </c>
      <c r="E17" s="147" t="s">
        <v>628</v>
      </c>
      <c r="F17" s="177" t="s">
        <v>125</v>
      </c>
      <c r="G17" s="111" t="s">
        <v>626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s">
        <v>68</v>
      </c>
      <c r="W17" s="69" t="s">
        <v>68</v>
      </c>
      <c r="Y17"/>
      <c r="Z17"/>
      <c r="AA17"/>
      <c r="AB17"/>
      <c r="AC17"/>
    </row>
    <row r="18" spans="1:29" s="67" customFormat="1" ht="18" customHeight="1">
      <c r="A18" s="60"/>
      <c r="B18" s="61">
        <v>5</v>
      </c>
      <c r="C18" s="78" t="s">
        <v>636</v>
      </c>
      <c r="D18" s="177" t="s">
        <v>125</v>
      </c>
      <c r="E18" s="149" t="s">
        <v>637</v>
      </c>
      <c r="F18" s="177" t="s">
        <v>125</v>
      </c>
      <c r="G18" s="79" t="s">
        <v>638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s">
        <v>68</v>
      </c>
      <c r="W18" s="69" t="s">
        <v>68</v>
      </c>
      <c r="Y18"/>
      <c r="Z18"/>
      <c r="AA18"/>
      <c r="AB18"/>
      <c r="AC18"/>
    </row>
    <row r="19" spans="1:29" s="67" customFormat="1" ht="18" customHeight="1">
      <c r="A19" s="60" t="s">
        <v>536</v>
      </c>
      <c r="B19" s="61">
        <v>6</v>
      </c>
      <c r="C19" s="84" t="s">
        <v>224</v>
      </c>
      <c r="D19" s="177">
        <v>13141</v>
      </c>
      <c r="E19" s="153" t="s">
        <v>675</v>
      </c>
      <c r="F19" s="177" t="s">
        <v>560</v>
      </c>
      <c r="G19" s="111" t="s">
        <v>673</v>
      </c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s">
        <v>68</v>
      </c>
      <c r="W19" s="69" t="s">
        <v>68</v>
      </c>
      <c r="Y19"/>
      <c r="Z19"/>
      <c r="AA19"/>
      <c r="AB19"/>
      <c r="AC19"/>
    </row>
    <row r="20" spans="1:29" s="67" customFormat="1" ht="18" customHeight="1">
      <c r="A20" s="60"/>
      <c r="B20" s="61">
        <v>7</v>
      </c>
      <c r="C20" s="78" t="s">
        <v>688</v>
      </c>
      <c r="D20" s="177" t="s">
        <v>125</v>
      </c>
      <c r="E20" s="99" t="s">
        <v>689</v>
      </c>
      <c r="F20" s="177">
        <v>57863</v>
      </c>
      <c r="G20" s="79" t="s">
        <v>680</v>
      </c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s">
        <v>68</v>
      </c>
      <c r="W20" s="69" t="s">
        <v>68</v>
      </c>
      <c r="Y20"/>
      <c r="Z20"/>
      <c r="AA20"/>
      <c r="AB20"/>
      <c r="AC20"/>
    </row>
    <row r="21" spans="1:29" s="67" customFormat="1" ht="18" customHeight="1">
      <c r="A21" s="60" t="s">
        <v>536</v>
      </c>
      <c r="B21" s="61">
        <v>8</v>
      </c>
      <c r="C21" s="157" t="s">
        <v>633</v>
      </c>
      <c r="D21" s="177">
        <v>21867</v>
      </c>
      <c r="E21" s="152" t="s">
        <v>639</v>
      </c>
      <c r="F21" s="177" t="s">
        <v>125</v>
      </c>
      <c r="G21" s="79" t="s">
        <v>638</v>
      </c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s">
        <v>68</v>
      </c>
      <c r="W21" s="69" t="s">
        <v>68</v>
      </c>
      <c r="Y21"/>
      <c r="Z21"/>
      <c r="AA21"/>
      <c r="AB21"/>
      <c r="AC21"/>
    </row>
    <row r="22" spans="1:29" s="67" customFormat="1" ht="18" customHeight="1">
      <c r="A22" s="60"/>
      <c r="B22" s="61">
        <v>9</v>
      </c>
      <c r="C22" s="78" t="s">
        <v>574</v>
      </c>
      <c r="D22" s="177" t="s">
        <v>125</v>
      </c>
      <c r="E22" s="145" t="s">
        <v>572</v>
      </c>
      <c r="F22" s="177" t="s">
        <v>560</v>
      </c>
      <c r="G22" s="79" t="s">
        <v>573</v>
      </c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s">
        <v>68</v>
      </c>
      <c r="W22" s="69" t="s">
        <v>68</v>
      </c>
      <c r="Y22"/>
      <c r="Z22"/>
      <c r="AA22"/>
      <c r="AB22"/>
      <c r="AC22"/>
    </row>
    <row r="23" spans="1:29" s="67" customFormat="1" ht="18" customHeight="1">
      <c r="A23" s="60"/>
      <c r="B23" s="61">
        <v>10</v>
      </c>
      <c r="C23" s="78" t="s">
        <v>589</v>
      </c>
      <c r="D23" s="177">
        <v>20359</v>
      </c>
      <c r="E23" s="146" t="s">
        <v>588</v>
      </c>
      <c r="F23" s="177" t="s">
        <v>125</v>
      </c>
      <c r="G23" s="78" t="s">
        <v>586</v>
      </c>
      <c r="H23" s="8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e">
        <v>#REF!</v>
      </c>
      <c r="W23" s="69" t="e">
        <v>#REF!</v>
      </c>
      <c r="Y23"/>
      <c r="Z23"/>
      <c r="AA23"/>
      <c r="AB23"/>
      <c r="AC23"/>
    </row>
    <row r="24" spans="1:29" s="67" customFormat="1" ht="18" customHeight="1">
      <c r="A24" s="60"/>
      <c r="B24" s="61">
        <v>11</v>
      </c>
      <c r="C24" s="80" t="s">
        <v>629</v>
      </c>
      <c r="D24" s="177" t="s">
        <v>125</v>
      </c>
      <c r="E24" s="174" t="s">
        <v>628</v>
      </c>
      <c r="F24" s="177" t="s">
        <v>125</v>
      </c>
      <c r="G24" s="111" t="s">
        <v>626</v>
      </c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s">
        <v>68</v>
      </c>
      <c r="W24" s="69" t="s">
        <v>68</v>
      </c>
      <c r="Y24"/>
      <c r="Z24"/>
      <c r="AA24"/>
      <c r="AB24"/>
      <c r="AC24"/>
    </row>
    <row r="25" spans="1:29" s="67" customFormat="1" ht="18" customHeight="1">
      <c r="A25" s="60" t="s">
        <v>536</v>
      </c>
      <c r="B25" s="61">
        <v>12</v>
      </c>
      <c r="C25" s="160" t="s">
        <v>633</v>
      </c>
      <c r="D25" s="179">
        <v>21867</v>
      </c>
      <c r="E25" s="161" t="s">
        <v>642</v>
      </c>
      <c r="F25" s="182" t="s">
        <v>125</v>
      </c>
      <c r="G25" s="78" t="s">
        <v>643</v>
      </c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s">
        <v>68</v>
      </c>
      <c r="W25" s="69" t="s">
        <v>68</v>
      </c>
      <c r="Y25"/>
      <c r="Z25"/>
      <c r="AA25"/>
      <c r="AB25"/>
      <c r="AC25"/>
    </row>
    <row r="26" spans="1:29" s="67" customFormat="1" ht="18" customHeight="1">
      <c r="A26" s="60"/>
      <c r="B26" s="61">
        <v>13</v>
      </c>
      <c r="C26" s="21" t="s">
        <v>676</v>
      </c>
      <c r="D26" s="177" t="s">
        <v>125</v>
      </c>
      <c r="E26" s="155" t="s">
        <v>675</v>
      </c>
      <c r="F26" s="177" t="s">
        <v>560</v>
      </c>
      <c r="G26" s="79" t="s">
        <v>673</v>
      </c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s">
        <v>68</v>
      </c>
      <c r="W26" s="69" t="s">
        <v>68</v>
      </c>
      <c r="Y26"/>
      <c r="Z26"/>
      <c r="AA26"/>
      <c r="AB26"/>
      <c r="AC26"/>
    </row>
    <row r="27" spans="1:29" s="67" customFormat="1" ht="18" customHeight="1">
      <c r="A27" s="60"/>
      <c r="B27" s="61">
        <v>14</v>
      </c>
      <c r="C27" s="80" t="s">
        <v>640</v>
      </c>
      <c r="D27" s="177" t="s">
        <v>125</v>
      </c>
      <c r="E27" s="156" t="s">
        <v>639</v>
      </c>
      <c r="F27" s="177" t="s">
        <v>125</v>
      </c>
      <c r="G27" s="85" t="s">
        <v>638</v>
      </c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s">
        <v>68</v>
      </c>
      <c r="W27" s="69" t="s">
        <v>68</v>
      </c>
      <c r="Y27"/>
      <c r="Z27"/>
      <c r="AA27"/>
      <c r="AB27"/>
      <c r="AC27"/>
    </row>
    <row r="28" spans="1:29" s="67" customFormat="1" ht="18" customHeight="1">
      <c r="A28" s="60"/>
      <c r="B28" s="61">
        <v>15</v>
      </c>
      <c r="C28" s="21" t="s">
        <v>687</v>
      </c>
      <c r="D28" s="177" t="s">
        <v>125</v>
      </c>
      <c r="E28" s="119" t="s">
        <v>684</v>
      </c>
      <c r="F28" s="177">
        <v>61736</v>
      </c>
      <c r="G28" s="23" t="s">
        <v>680</v>
      </c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s">
        <v>68</v>
      </c>
      <c r="W28" s="69" t="s">
        <v>68</v>
      </c>
      <c r="Y28"/>
      <c r="Z28"/>
      <c r="AA28"/>
      <c r="AB28"/>
      <c r="AC28"/>
    </row>
    <row r="29" spans="1:29" s="67" customFormat="1" ht="18" customHeight="1">
      <c r="A29" s="60"/>
      <c r="B29" s="61">
        <v>16</v>
      </c>
      <c r="C29" s="21" t="s">
        <v>548</v>
      </c>
      <c r="D29" s="177" t="s">
        <v>125</v>
      </c>
      <c r="E29" s="90" t="s">
        <v>549</v>
      </c>
      <c r="F29" s="177" t="s">
        <v>125</v>
      </c>
      <c r="G29" s="85" t="s">
        <v>550</v>
      </c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e">
        <v>#N/A</v>
      </c>
      <c r="W29" s="69" t="e">
        <v>#N/A</v>
      </c>
      <c r="Y29"/>
      <c r="Z29"/>
      <c r="AA29"/>
      <c r="AB29"/>
      <c r="AC29"/>
    </row>
    <row r="30" spans="1:29" s="67" customFormat="1" ht="18" customHeight="1">
      <c r="A30" s="60"/>
      <c r="B30" s="61">
        <v>17</v>
      </c>
      <c r="C30" s="21" t="s">
        <v>590</v>
      </c>
      <c r="D30" s="177">
        <v>33226</v>
      </c>
      <c r="E30" s="154" t="s">
        <v>588</v>
      </c>
      <c r="F30" s="177" t="s">
        <v>125</v>
      </c>
      <c r="G30" s="23" t="s">
        <v>586</v>
      </c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s">
        <v>68</v>
      </c>
      <c r="W30" s="69" t="s">
        <v>68</v>
      </c>
      <c r="Y30"/>
      <c r="Z30"/>
      <c r="AA30"/>
      <c r="AB30"/>
      <c r="AC30"/>
    </row>
    <row r="31" spans="1:29" s="67" customFormat="1" ht="18" customHeight="1">
      <c r="A31" s="60" t="s">
        <v>536</v>
      </c>
      <c r="B31" s="61">
        <v>18</v>
      </c>
      <c r="C31" s="158" t="s">
        <v>633</v>
      </c>
      <c r="D31" s="177">
        <v>21867</v>
      </c>
      <c r="E31" s="151" t="s">
        <v>645</v>
      </c>
      <c r="F31" s="177">
        <v>60192</v>
      </c>
      <c r="G31" s="85" t="s">
        <v>638</v>
      </c>
      <c r="H31" s="22"/>
      <c r="I31" s="22"/>
      <c r="J31" s="62"/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s">
        <v>68</v>
      </c>
      <c r="W31" s="69" t="s">
        <v>68</v>
      </c>
      <c r="Y31"/>
      <c r="Z31"/>
      <c r="AA31"/>
      <c r="AB31"/>
      <c r="AC31"/>
    </row>
    <row r="32" spans="1:29" s="67" customFormat="1" ht="18" customHeight="1">
      <c r="A32" s="60"/>
      <c r="B32" s="61">
        <v>19</v>
      </c>
      <c r="C32" s="80" t="s">
        <v>644</v>
      </c>
      <c r="D32" s="178" t="s">
        <v>125</v>
      </c>
      <c r="E32" s="150" t="s">
        <v>642</v>
      </c>
      <c r="F32" s="182" t="s">
        <v>125</v>
      </c>
      <c r="G32" s="78" t="s">
        <v>643</v>
      </c>
      <c r="H32" s="22"/>
      <c r="I32" s="22"/>
      <c r="J32" s="62" t="str">
        <f t="shared" ref="J32:J73" si="4">IF(H32="","",H32+I32)</f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e">
        <v>#REF!</v>
      </c>
      <c r="W32" s="69" t="e">
        <v>#REF!</v>
      </c>
      <c r="Y32"/>
      <c r="Z32"/>
      <c r="AA32"/>
      <c r="AB32"/>
      <c r="AC32"/>
    </row>
    <row r="33" spans="1:29" s="67" customFormat="1" ht="18" customHeight="1">
      <c r="A33" s="60"/>
      <c r="B33" s="61">
        <v>20</v>
      </c>
      <c r="C33" s="80" t="s">
        <v>641</v>
      </c>
      <c r="D33" s="177" t="s">
        <v>125</v>
      </c>
      <c r="E33" s="156" t="s">
        <v>639</v>
      </c>
      <c r="F33" s="177" t="s">
        <v>125</v>
      </c>
      <c r="G33" s="85" t="s">
        <v>638</v>
      </c>
      <c r="H33" s="22"/>
      <c r="I33" s="22"/>
      <c r="J33" s="62" t="str">
        <f t="shared" si="4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s">
        <v>68</v>
      </c>
      <c r="W33" s="69" t="s">
        <v>68</v>
      </c>
      <c r="Y33"/>
      <c r="Z33"/>
      <c r="AA33"/>
      <c r="AB33"/>
      <c r="AC33"/>
    </row>
    <row r="34" spans="1:29" s="67" customFormat="1" ht="18" customHeight="1">
      <c r="A34" s="60"/>
      <c r="B34" s="61">
        <v>21</v>
      </c>
      <c r="C34" s="80" t="s">
        <v>646</v>
      </c>
      <c r="D34" s="177" t="s">
        <v>125</v>
      </c>
      <c r="E34" s="151" t="s">
        <v>645</v>
      </c>
      <c r="F34" s="177">
        <v>60192</v>
      </c>
      <c r="G34" s="80" t="s">
        <v>638</v>
      </c>
      <c r="H34" s="22"/>
      <c r="I34" s="22"/>
      <c r="J34" s="62" t="str">
        <f t="shared" si="4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s">
        <v>68</v>
      </c>
      <c r="W34" s="69" t="s">
        <v>68</v>
      </c>
      <c r="Y34"/>
      <c r="Z34"/>
      <c r="AA34"/>
      <c r="AB34"/>
      <c r="AC34"/>
    </row>
    <row r="35" spans="1:29" s="67" customFormat="1" ht="18" customHeight="1">
      <c r="A35" s="60"/>
      <c r="B35" s="61">
        <v>22</v>
      </c>
      <c r="C35" s="80"/>
      <c r="D35" s="177"/>
      <c r="E35" s="90"/>
      <c r="F35" s="177"/>
      <c r="G35" s="85"/>
      <c r="H35" s="22"/>
      <c r="I35" s="22"/>
      <c r="J35" s="62" t="str">
        <f t="shared" si="4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s">
        <v>68</v>
      </c>
      <c r="W35" s="69" t="s">
        <v>68</v>
      </c>
      <c r="Y35"/>
      <c r="Z35"/>
      <c r="AA35"/>
      <c r="AB35"/>
      <c r="AC35"/>
    </row>
    <row r="36" spans="1:29" s="67" customFormat="1" ht="18" customHeight="1">
      <c r="A36" s="60"/>
      <c r="B36" s="61">
        <v>23</v>
      </c>
      <c r="C36" s="21"/>
      <c r="D36" s="177"/>
      <c r="E36" s="119"/>
      <c r="F36" s="177"/>
      <c r="G36" s="23"/>
      <c r="H36" s="22"/>
      <c r="I36" s="22"/>
      <c r="J36" s="62" t="str">
        <f t="shared" si="4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">
        <v>68</v>
      </c>
      <c r="W36" s="69" t="s">
        <v>68</v>
      </c>
      <c r="Y36"/>
      <c r="Z36"/>
      <c r="AA36"/>
      <c r="AB36"/>
      <c r="AC36"/>
    </row>
    <row r="37" spans="1:29" s="67" customFormat="1" ht="18" customHeight="1">
      <c r="A37" s="60"/>
      <c r="B37" s="61">
        <v>24</v>
      </c>
      <c r="C37" s="21"/>
      <c r="D37" s="177"/>
      <c r="E37" s="119"/>
      <c r="F37" s="177"/>
      <c r="G37" s="23"/>
      <c r="H37" s="22"/>
      <c r="I37" s="22"/>
      <c r="J37" s="62" t="str">
        <f t="shared" si="4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">
        <v>68</v>
      </c>
      <c r="W37" s="69" t="s">
        <v>68</v>
      </c>
      <c r="Y37"/>
      <c r="Z37"/>
      <c r="AA37"/>
      <c r="AB37"/>
      <c r="AC37"/>
    </row>
    <row r="38" spans="1:29" s="67" customFormat="1" ht="18" customHeight="1">
      <c r="A38" s="60"/>
      <c r="B38" s="61">
        <v>25</v>
      </c>
      <c r="C38" s="80"/>
      <c r="D38" s="177"/>
      <c r="E38" s="81"/>
      <c r="F38" s="177"/>
      <c r="G38" s="85"/>
      <c r="H38" s="22"/>
      <c r="I38" s="22"/>
      <c r="J38" s="62" t="str">
        <f t="shared" si="4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">
        <v>68</v>
      </c>
      <c r="W38" s="69" t="s">
        <v>68</v>
      </c>
      <c r="Y38"/>
      <c r="Z38"/>
      <c r="AA38"/>
      <c r="AB38"/>
      <c r="AC38"/>
    </row>
    <row r="39" spans="1:29" s="67" customFormat="1" ht="18" customHeight="1">
      <c r="A39" s="60"/>
      <c r="B39" s="61">
        <v>26</v>
      </c>
      <c r="C39" s="80"/>
      <c r="D39" s="177"/>
      <c r="E39" s="81"/>
      <c r="F39" s="177"/>
      <c r="G39" s="85"/>
      <c r="H39" s="22"/>
      <c r="I39" s="22"/>
      <c r="J39" s="62" t="str">
        <f t="shared" si="4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">
        <v>68</v>
      </c>
      <c r="W39" s="69" t="s">
        <v>68</v>
      </c>
      <c r="Y39"/>
      <c r="Z39"/>
      <c r="AA39"/>
      <c r="AB39"/>
      <c r="AC39"/>
    </row>
    <row r="40" spans="1:29" s="67" customFormat="1" ht="18" customHeight="1">
      <c r="A40" s="60"/>
      <c r="B40" s="61">
        <v>27</v>
      </c>
      <c r="C40" s="21"/>
      <c r="D40" s="180" t="s">
        <v>68</v>
      </c>
      <c r="E40" s="21"/>
      <c r="F40" s="177" t="s">
        <v>68</v>
      </c>
      <c r="G40" s="23"/>
      <c r="H40" s="22"/>
      <c r="I40" s="22"/>
      <c r="J40" s="62" t="str">
        <f t="shared" si="4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">
        <v>68</v>
      </c>
      <c r="W40" s="69" t="s">
        <v>68</v>
      </c>
      <c r="Y40"/>
      <c r="Z40"/>
      <c r="AA40"/>
      <c r="AB40"/>
      <c r="AC40"/>
    </row>
    <row r="41" spans="1:29" s="67" customFormat="1" ht="18" customHeight="1">
      <c r="A41" s="60"/>
      <c r="B41" s="61">
        <v>28</v>
      </c>
      <c r="C41" s="21"/>
      <c r="D41" s="180" t="s">
        <v>68</v>
      </c>
      <c r="E41" s="21"/>
      <c r="F41" s="177" t="s">
        <v>68</v>
      </c>
      <c r="G41" s="23"/>
      <c r="H41" s="22"/>
      <c r="I41" s="22"/>
      <c r="J41" s="62" t="str">
        <f t="shared" si="4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">
        <v>68</v>
      </c>
      <c r="W41" s="69" t="s">
        <v>68</v>
      </c>
      <c r="Y41"/>
      <c r="Z41"/>
      <c r="AA41"/>
      <c r="AB41"/>
      <c r="AC41"/>
    </row>
    <row r="42" spans="1:29" s="67" customFormat="1" ht="18" customHeight="1">
      <c r="A42" s="60"/>
      <c r="B42" s="61">
        <v>29</v>
      </c>
      <c r="C42" s="21"/>
      <c r="D42" s="180" t="s">
        <v>68</v>
      </c>
      <c r="E42" s="21"/>
      <c r="F42" s="177" t="s">
        <v>68</v>
      </c>
      <c r="G42" s="23"/>
      <c r="H42" s="22"/>
      <c r="I42" s="22"/>
      <c r="J42" s="62" t="str">
        <f t="shared" si="4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">
        <v>68</v>
      </c>
      <c r="W42" s="69" t="s">
        <v>68</v>
      </c>
      <c r="Y42"/>
      <c r="Z42"/>
      <c r="AA42"/>
      <c r="AB42"/>
      <c r="AC42"/>
    </row>
    <row r="43" spans="1:29" s="67" customFormat="1" ht="18" customHeight="1">
      <c r="A43" s="60"/>
      <c r="B43" s="61">
        <v>30</v>
      </c>
      <c r="C43" s="21"/>
      <c r="D43" s="180" t="s">
        <v>68</v>
      </c>
      <c r="E43" s="21"/>
      <c r="F43" s="177" t="s">
        <v>68</v>
      </c>
      <c r="G43" s="23"/>
      <c r="H43" s="22"/>
      <c r="I43" s="22"/>
      <c r="J43" s="62" t="str">
        <f t="shared" si="4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">
        <v>68</v>
      </c>
      <c r="W43" s="69" t="s">
        <v>68</v>
      </c>
      <c r="Y43"/>
      <c r="Z43"/>
      <c r="AA43"/>
      <c r="AB43"/>
      <c r="AC43"/>
    </row>
    <row r="44" spans="1:29" s="67" customFormat="1" ht="18" customHeight="1">
      <c r="A44" s="60"/>
      <c r="B44" s="61"/>
      <c r="C44" s="21"/>
      <c r="D44" s="180" t="s">
        <v>68</v>
      </c>
      <c r="E44" s="21"/>
      <c r="F44" s="177" t="s">
        <v>68</v>
      </c>
      <c r="G44" s="23"/>
      <c r="H44" s="22"/>
      <c r="I44" s="22"/>
      <c r="J44" s="62" t="str">
        <f t="shared" si="4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">
        <v>68</v>
      </c>
      <c r="W44" s="69" t="s">
        <v>68</v>
      </c>
      <c r="Y44"/>
      <c r="Z44"/>
      <c r="AA44"/>
      <c r="AB44"/>
      <c r="AC44"/>
    </row>
    <row r="45" spans="1:29" s="67" customFormat="1" ht="18" customHeight="1">
      <c r="A45" s="60"/>
      <c r="B45" s="61"/>
      <c r="C45" s="21"/>
      <c r="D45" s="180" t="s">
        <v>68</v>
      </c>
      <c r="E45" s="21"/>
      <c r="F45" s="177" t="s">
        <v>68</v>
      </c>
      <c r="G45" s="23"/>
      <c r="H45" s="22"/>
      <c r="I45" s="22"/>
      <c r="J45" s="62" t="str">
        <f t="shared" si="4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">
        <v>68</v>
      </c>
      <c r="W45" s="69" t="s">
        <v>68</v>
      </c>
      <c r="Y45"/>
      <c r="Z45"/>
      <c r="AA45"/>
      <c r="AB45"/>
      <c r="AC45"/>
    </row>
    <row r="46" spans="1:29" s="67" customFormat="1" ht="18" customHeight="1">
      <c r="A46" s="60"/>
      <c r="B46" s="61"/>
      <c r="C46" s="21"/>
      <c r="D46" s="180" t="s">
        <v>68</v>
      </c>
      <c r="E46" s="21"/>
      <c r="F46" s="177" t="s">
        <v>68</v>
      </c>
      <c r="G46" s="23"/>
      <c r="H46" s="22"/>
      <c r="I46" s="22"/>
      <c r="J46" s="62" t="str">
        <f t="shared" si="4"/>
        <v/>
      </c>
      <c r="K46" s="63"/>
      <c r="L46" s="63"/>
      <c r="M46" s="64" t="str">
        <f t="shared" ref="M46:M77" si="5">IF(L46="","",K46+L46)</f>
        <v/>
      </c>
      <c r="N46" s="22"/>
      <c r="O46" s="22"/>
      <c r="P46" s="62" t="str">
        <f t="shared" ref="P46:P77" si="6">IF(N46="","",N46+O46)</f>
        <v/>
      </c>
      <c r="Q46" s="63"/>
      <c r="R46" s="63"/>
      <c r="S46" s="64" t="str">
        <f t="shared" ref="S46:S77" si="7">IF(R46="","",Q46+R46)</f>
        <v/>
      </c>
      <c r="T46" s="65"/>
      <c r="U46" s="66"/>
      <c r="V46" s="18" t="s">
        <v>68</v>
      </c>
      <c r="W46" s="69" t="s">
        <v>68</v>
      </c>
      <c r="Y46"/>
      <c r="Z46"/>
      <c r="AA46"/>
      <c r="AB46"/>
      <c r="AC46"/>
    </row>
    <row r="47" spans="1:29" s="67" customFormat="1" ht="18" customHeight="1">
      <c r="A47" s="60"/>
      <c r="B47" s="61"/>
      <c r="C47" s="21"/>
      <c r="D47" s="180" t="s">
        <v>68</v>
      </c>
      <c r="E47" s="21"/>
      <c r="F47" s="177" t="s">
        <v>68</v>
      </c>
      <c r="G47" s="23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">
        <v>68</v>
      </c>
      <c r="W47" s="69" t="s">
        <v>68</v>
      </c>
      <c r="Y47"/>
      <c r="Z47"/>
      <c r="AA47"/>
      <c r="AB47"/>
      <c r="AC47"/>
    </row>
    <row r="48" spans="1:29" s="67" customFormat="1" ht="18" customHeight="1">
      <c r="A48" s="60"/>
      <c r="B48" s="61"/>
      <c r="C48" s="21"/>
      <c r="D48" s="180" t="s">
        <v>68</v>
      </c>
      <c r="E48" s="21"/>
      <c r="F48" s="177" t="s">
        <v>68</v>
      </c>
      <c r="G48" s="23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">
        <v>68</v>
      </c>
      <c r="W48" s="69" t="s">
        <v>68</v>
      </c>
      <c r="Y48"/>
      <c r="Z48"/>
      <c r="AA48"/>
      <c r="AB48"/>
      <c r="AC48"/>
    </row>
    <row r="49" spans="1:29" s="67" customFormat="1" ht="18" customHeight="1">
      <c r="A49" s="60"/>
      <c r="B49" s="61"/>
      <c r="C49" s="21"/>
      <c r="D49" s="180" t="s">
        <v>68</v>
      </c>
      <c r="E49" s="21"/>
      <c r="F49" s="177" t="s">
        <v>68</v>
      </c>
      <c r="G49" s="23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">
        <v>68</v>
      </c>
      <c r="W49" s="69" t="s">
        <v>68</v>
      </c>
      <c r="Y49"/>
      <c r="Z49"/>
      <c r="AA49"/>
      <c r="AB49"/>
      <c r="AC49"/>
    </row>
    <row r="50" spans="1:29" s="67" customFormat="1" ht="18" customHeight="1">
      <c r="A50" s="60"/>
      <c r="B50" s="61"/>
      <c r="C50" s="21"/>
      <c r="D50" s="180" t="s">
        <v>68</v>
      </c>
      <c r="E50" s="21"/>
      <c r="F50" s="177" t="s">
        <v>68</v>
      </c>
      <c r="G50" s="23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">
        <v>68</v>
      </c>
      <c r="W50" s="69" t="s">
        <v>68</v>
      </c>
      <c r="Y50"/>
      <c r="Z50"/>
      <c r="AA50"/>
      <c r="AB50"/>
      <c r="AC50"/>
    </row>
    <row r="51" spans="1:29" s="67" customFormat="1" ht="18" customHeight="1">
      <c r="A51" s="60"/>
      <c r="B51" s="61"/>
      <c r="C51" s="21"/>
      <c r="D51" s="180" t="s">
        <v>68</v>
      </c>
      <c r="E51" s="21"/>
      <c r="F51" s="177" t="s">
        <v>68</v>
      </c>
      <c r="G51" s="23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">
        <v>68</v>
      </c>
      <c r="W51" s="69" t="s">
        <v>68</v>
      </c>
      <c r="Y51"/>
      <c r="Z51"/>
      <c r="AA51"/>
      <c r="AB51"/>
      <c r="AC51"/>
    </row>
    <row r="52" spans="1:29" s="67" customFormat="1" ht="18" customHeight="1">
      <c r="A52" s="60"/>
      <c r="B52" s="61"/>
      <c r="C52" s="21"/>
      <c r="D52" s="180" t="s">
        <v>68</v>
      </c>
      <c r="E52" s="21"/>
      <c r="F52" s="177" t="s">
        <v>68</v>
      </c>
      <c r="G52" s="23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">
        <v>68</v>
      </c>
      <c r="W52" s="69" t="s">
        <v>68</v>
      </c>
      <c r="Y52"/>
      <c r="Z52"/>
      <c r="AA52"/>
      <c r="AB52"/>
      <c r="AC52"/>
    </row>
    <row r="53" spans="1:29" s="67" customFormat="1" ht="18" customHeight="1">
      <c r="A53" s="60"/>
      <c r="B53" s="61"/>
      <c r="C53" s="21"/>
      <c r="D53" s="180" t="s">
        <v>68</v>
      </c>
      <c r="E53" s="21"/>
      <c r="F53" s="177" t="s">
        <v>68</v>
      </c>
      <c r="G53" s="23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">
        <v>68</v>
      </c>
      <c r="W53" s="69" t="s">
        <v>68</v>
      </c>
      <c r="Y53"/>
      <c r="Z53"/>
      <c r="AA53"/>
      <c r="AB53"/>
      <c r="AC53"/>
    </row>
    <row r="54" spans="1:29" s="67" customFormat="1" ht="18" customHeight="1">
      <c r="A54" s="60"/>
      <c r="B54" s="61"/>
      <c r="C54" s="21"/>
      <c r="D54" s="180" t="s">
        <v>68</v>
      </c>
      <c r="E54" s="21"/>
      <c r="F54" s="177" t="s">
        <v>68</v>
      </c>
      <c r="G54" s="23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">
        <v>68</v>
      </c>
      <c r="W54" s="69" t="s">
        <v>68</v>
      </c>
      <c r="Y54"/>
      <c r="Z54"/>
      <c r="AA54"/>
      <c r="AB54"/>
      <c r="AC54"/>
    </row>
    <row r="55" spans="1:29" s="67" customFormat="1" ht="18" customHeight="1">
      <c r="A55" s="60"/>
      <c r="B55" s="61"/>
      <c r="C55" s="21"/>
      <c r="D55" s="180" t="s">
        <v>68</v>
      </c>
      <c r="E55" s="21"/>
      <c r="F55" s="177" t="s">
        <v>68</v>
      </c>
      <c r="G55" s="23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">
        <v>68</v>
      </c>
      <c r="W55" s="69" t="s">
        <v>68</v>
      </c>
      <c r="Y55"/>
      <c r="Z55"/>
      <c r="AA55"/>
      <c r="AB55"/>
      <c r="AC55"/>
    </row>
    <row r="56" spans="1:29" s="67" customFormat="1" ht="18" customHeight="1">
      <c r="A56" s="60"/>
      <c r="B56" s="61"/>
      <c r="C56" s="21"/>
      <c r="D56" s="180" t="s">
        <v>68</v>
      </c>
      <c r="E56" s="21"/>
      <c r="F56" s="177" t="s">
        <v>68</v>
      </c>
      <c r="G56" s="23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">
        <v>68</v>
      </c>
      <c r="W56" s="69" t="s">
        <v>68</v>
      </c>
      <c r="Y56"/>
      <c r="Z56"/>
      <c r="AA56"/>
      <c r="AB56"/>
      <c r="AC56"/>
    </row>
    <row r="57" spans="1:29" s="67" customFormat="1" ht="18" customHeight="1">
      <c r="A57" s="60"/>
      <c r="B57" s="61"/>
      <c r="C57" s="21"/>
      <c r="D57" s="180" t="s">
        <v>68</v>
      </c>
      <c r="E57" s="21"/>
      <c r="F57" s="177" t="s">
        <v>68</v>
      </c>
      <c r="G57" s="23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">
        <v>68</v>
      </c>
      <c r="W57" s="69" t="s">
        <v>68</v>
      </c>
      <c r="Y57"/>
      <c r="Z57"/>
      <c r="AA57"/>
      <c r="AB57"/>
      <c r="AC57"/>
    </row>
    <row r="58" spans="1:29" s="67" customFormat="1" ht="18" customHeight="1">
      <c r="A58" s="60"/>
      <c r="B58" s="61"/>
      <c r="C58" s="21"/>
      <c r="D58" s="180" t="s">
        <v>68</v>
      </c>
      <c r="E58" s="21"/>
      <c r="F58" s="177" t="s">
        <v>68</v>
      </c>
      <c r="G58" s="23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">
        <v>68</v>
      </c>
      <c r="W58" s="69" t="s">
        <v>68</v>
      </c>
      <c r="Y58"/>
      <c r="Z58"/>
      <c r="AA58"/>
      <c r="AB58"/>
      <c r="AC58"/>
    </row>
    <row r="59" spans="1:29" s="67" customFormat="1" ht="18" customHeight="1">
      <c r="A59" s="60"/>
      <c r="B59" s="61"/>
      <c r="C59" s="21"/>
      <c r="D59" s="180" t="s">
        <v>68</v>
      </c>
      <c r="E59" s="21"/>
      <c r="F59" s="177" t="s">
        <v>68</v>
      </c>
      <c r="G59" s="23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">
        <v>68</v>
      </c>
      <c r="W59" s="69" t="s">
        <v>68</v>
      </c>
      <c r="Y59"/>
      <c r="Z59"/>
      <c r="AA59"/>
      <c r="AB59"/>
      <c r="AC59"/>
    </row>
    <row r="60" spans="1:29" s="67" customFormat="1" ht="18" customHeight="1">
      <c r="A60" s="60"/>
      <c r="B60" s="61"/>
      <c r="C60" s="21"/>
      <c r="D60" s="180" t="s">
        <v>68</v>
      </c>
      <c r="E60" s="21"/>
      <c r="F60" s="177" t="s">
        <v>68</v>
      </c>
      <c r="G60" s="23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">
        <v>68</v>
      </c>
      <c r="W60" s="69" t="s">
        <v>68</v>
      </c>
      <c r="Y60"/>
      <c r="Z60"/>
      <c r="AA60"/>
      <c r="AB60"/>
      <c r="AC60"/>
    </row>
    <row r="61" spans="1:29" s="67" customFormat="1" ht="18" customHeight="1">
      <c r="A61" s="60"/>
      <c r="B61" s="61"/>
      <c r="C61" s="21"/>
      <c r="D61" s="180" t="s">
        <v>68</v>
      </c>
      <c r="E61" s="21"/>
      <c r="F61" s="177" t="s">
        <v>68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">
        <v>68</v>
      </c>
      <c r="W61" s="69" t="s">
        <v>68</v>
      </c>
      <c r="Y61"/>
      <c r="Z61"/>
      <c r="AA61"/>
      <c r="AB61"/>
      <c r="AC61"/>
    </row>
    <row r="62" spans="1:29" s="67" customFormat="1" ht="18" customHeight="1">
      <c r="A62" s="60"/>
      <c r="B62" s="61"/>
      <c r="C62" s="21"/>
      <c r="D62" s="180" t="s">
        <v>68</v>
      </c>
      <c r="E62" s="21"/>
      <c r="F62" s="177" t="s">
        <v>68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">
        <v>68</v>
      </c>
      <c r="W62" s="69" t="s">
        <v>68</v>
      </c>
      <c r="Y62"/>
      <c r="Z62"/>
      <c r="AA62"/>
      <c r="AB62"/>
      <c r="AC62"/>
    </row>
    <row r="63" spans="1:29" s="67" customFormat="1" ht="18" customHeight="1">
      <c r="A63" s="60"/>
      <c r="B63" s="61"/>
      <c r="C63" s="21"/>
      <c r="D63" s="180" t="s">
        <v>68</v>
      </c>
      <c r="E63" s="21"/>
      <c r="F63" s="177" t="s">
        <v>68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">
        <v>68</v>
      </c>
      <c r="W63" s="69" t="s">
        <v>68</v>
      </c>
      <c r="Y63"/>
      <c r="Z63"/>
      <c r="AA63"/>
      <c r="AB63"/>
      <c r="AC63"/>
    </row>
    <row r="64" spans="1:29" s="67" customFormat="1" ht="18" customHeight="1">
      <c r="A64" s="60"/>
      <c r="B64" s="61"/>
      <c r="C64" s="21"/>
      <c r="D64" s="180" t="s">
        <v>68</v>
      </c>
      <c r="E64" s="21"/>
      <c r="F64" s="177" t="s">
        <v>68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">
        <v>68</v>
      </c>
      <c r="W64" s="69" t="s">
        <v>68</v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180" t="s">
        <v>68</v>
      </c>
      <c r="E65" s="21"/>
      <c r="F65" s="177" t="s">
        <v>68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">
        <v>68</v>
      </c>
      <c r="W65" s="69" t="s">
        <v>68</v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180" t="s">
        <v>68</v>
      </c>
      <c r="E66" s="21"/>
      <c r="F66" s="177" t="s">
        <v>68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">
        <v>68</v>
      </c>
      <c r="W66" s="69" t="s">
        <v>68</v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180" t="s">
        <v>68</v>
      </c>
      <c r="E67" s="21"/>
      <c r="F67" s="177" t="s">
        <v>68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">
        <v>68</v>
      </c>
      <c r="W67" s="69" t="s">
        <v>68</v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180" t="s">
        <v>68</v>
      </c>
      <c r="E68" s="21"/>
      <c r="F68" s="177" t="s">
        <v>68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">
        <v>68</v>
      </c>
      <c r="W68" s="69" t="s">
        <v>68</v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180" t="s">
        <v>68</v>
      </c>
      <c r="E69" s="21"/>
      <c r="F69" s="177" t="s">
        <v>68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">
        <v>68</v>
      </c>
      <c r="W69" s="69" t="s">
        <v>68</v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180" t="s">
        <v>68</v>
      </c>
      <c r="E70" s="21"/>
      <c r="F70" s="177" t="s">
        <v>68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">
        <v>68</v>
      </c>
      <c r="W70" s="69" t="s">
        <v>68</v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180" t="s">
        <v>68</v>
      </c>
      <c r="E71" s="21"/>
      <c r="F71" s="177" t="s">
        <v>68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">
        <v>68</v>
      </c>
      <c r="W71" s="69" t="s">
        <v>68</v>
      </c>
      <c r="Y71"/>
      <c r="Z71"/>
      <c r="AA71"/>
      <c r="AB71"/>
      <c r="AC71"/>
    </row>
    <row r="72" spans="1:29" s="67" customFormat="1" ht="18" customHeight="1">
      <c r="A72" s="60"/>
      <c r="B72" s="61"/>
      <c r="C72" s="21"/>
      <c r="D72" s="180" t="s">
        <v>68</v>
      </c>
      <c r="E72" s="21"/>
      <c r="F72" s="177" t="s">
        <v>68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">
        <v>68</v>
      </c>
      <c r="W72" s="69" t="s">
        <v>68</v>
      </c>
      <c r="Y72"/>
      <c r="Z72"/>
      <c r="AA72"/>
      <c r="AB72"/>
      <c r="AC72"/>
    </row>
    <row r="73" spans="1:29" s="67" customFormat="1" ht="18" customHeight="1">
      <c r="A73" s="60"/>
      <c r="B73" s="61"/>
      <c r="C73" s="21"/>
      <c r="D73" s="180" t="s">
        <v>68</v>
      </c>
      <c r="E73" s="21"/>
      <c r="F73" s="177" t="s">
        <v>68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">
        <v>68</v>
      </c>
      <c r="W73" s="69" t="s">
        <v>68</v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AC13" xr:uid="{00000000-0001-0000-0B00-000000000000}">
    <sortState xmlns:xlrd2="http://schemas.microsoft.com/office/spreadsheetml/2017/richdata2" ref="A14:AC73">
      <sortCondition ref="B13"/>
    </sortState>
  </autoFilter>
  <sortState xmlns:xlrd2="http://schemas.microsoft.com/office/spreadsheetml/2017/richdata2" ref="A26:AC29">
    <sortCondition ref="B26:B29"/>
  </sortState>
  <phoneticPr fontId="7" type="Hiragana"/>
  <conditionalFormatting sqref="V14:V73">
    <cfRule type="cellIs" dxfId="39" priority="6" stopIfTrue="1" operator="notBetween">
      <formula>"A"</formula>
      <formula>"Ｂ"</formula>
    </cfRule>
  </conditionalFormatting>
  <conditionalFormatting sqref="W14:W73">
    <cfRule type="cellIs" dxfId="38" priority="5" stopIfTrue="1" operator="between">
      <formula>"-"</formula>
      <formula>"申請中"</formula>
    </cfRule>
  </conditionalFormatting>
  <conditionalFormatting sqref="Y14:Z73">
    <cfRule type="expression" dxfId="37" priority="2">
      <formula>Y14&lt;&gt;C14</formula>
    </cfRule>
  </conditionalFormatting>
  <conditionalFormatting sqref="AB14:AC73">
    <cfRule type="expression" dxfId="36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portrait" horizontalDpi="4294967293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213360</xdr:colOff>
                    <xdr:row>5</xdr:row>
                    <xdr:rowOff>327660</xdr:rowOff>
                  </from>
                  <to>
                    <xdr:col>27</xdr:col>
                    <xdr:colOff>365760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rgb="FFFFC000"/>
  </sheetPr>
  <dimension ref="A1:AD201"/>
  <sheetViews>
    <sheetView topLeftCell="A7" workbookViewId="0">
      <selection activeCell="G30" sqref="G30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16384" width="9.6640625" style="20"/>
  </cols>
  <sheetData>
    <row r="1" spans="1:29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29" s="25" customFormat="1" ht="18" customHeight="1">
      <c r="B2" s="26" t="s">
        <v>1</v>
      </c>
      <c r="C2" s="27"/>
      <c r="E2" s="26" t="s">
        <v>2</v>
      </c>
      <c r="F2" s="30"/>
      <c r="G2" s="132">
        <v>46276</v>
      </c>
      <c r="L2" s="28"/>
      <c r="N2" s="26" t="s">
        <v>3</v>
      </c>
      <c r="O2" s="29"/>
      <c r="P2" s="30"/>
      <c r="Q2" s="30"/>
      <c r="R2" s="30"/>
      <c r="S2" s="30"/>
      <c r="T2" s="30"/>
    </row>
    <row r="3" spans="1:29" s="25" customFormat="1" ht="18" customHeight="1">
      <c r="A3" s="31"/>
      <c r="B3" s="26" t="s">
        <v>4</v>
      </c>
      <c r="C3" s="120" t="s">
        <v>516</v>
      </c>
      <c r="D3" s="121"/>
      <c r="E3" s="121"/>
      <c r="F3" s="121"/>
      <c r="G3" s="121"/>
      <c r="Q3" s="26" t="s">
        <v>5</v>
      </c>
      <c r="R3" s="29"/>
      <c r="S3" s="30"/>
      <c r="T3" s="30"/>
      <c r="U3" s="32"/>
    </row>
    <row r="4" spans="1:29" s="25" customFormat="1" ht="18" customHeight="1">
      <c r="B4" s="26" t="s">
        <v>6</v>
      </c>
      <c r="C4" s="33">
        <v>2</v>
      </c>
      <c r="D4" s="25" t="s">
        <v>7</v>
      </c>
      <c r="E4" s="26" t="s">
        <v>8</v>
      </c>
      <c r="F4" s="191" t="s">
        <v>70</v>
      </c>
      <c r="G4" s="30"/>
      <c r="H4" s="71" t="s">
        <v>87</v>
      </c>
      <c r="J4" s="26" t="s">
        <v>9</v>
      </c>
      <c r="K4" s="34" t="s">
        <v>58</v>
      </c>
      <c r="N4" s="26" t="s">
        <v>10</v>
      </c>
      <c r="O4" s="35"/>
    </row>
    <row r="5" spans="1:29" s="25" customFormat="1" ht="18" customHeight="1">
      <c r="C5" s="26" t="s">
        <v>11</v>
      </c>
      <c r="D5" s="27" t="s">
        <v>58</v>
      </c>
      <c r="E5" s="26" t="s">
        <v>12</v>
      </c>
      <c r="F5" s="36" t="s">
        <v>58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</row>
    <row r="6" spans="1:29" s="25" customFormat="1" ht="35.1" customHeight="1">
      <c r="C6" s="40" t="s">
        <v>18</v>
      </c>
      <c r="D6" s="175" t="s">
        <v>39</v>
      </c>
      <c r="E6" s="26" t="s">
        <v>19</v>
      </c>
      <c r="F6" s="181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</row>
    <row r="7" spans="1:29" s="25" customFormat="1" ht="15" customHeight="1">
      <c r="A7" s="26" t="s">
        <v>62</v>
      </c>
      <c r="B7" s="73" t="s">
        <v>0</v>
      </c>
      <c r="C7" s="76"/>
      <c r="D7" s="26" t="s">
        <v>63</v>
      </c>
      <c r="E7" s="74"/>
      <c r="F7" s="32"/>
      <c r="I7" s="26"/>
      <c r="J7" s="37"/>
      <c r="K7" s="32"/>
      <c r="L7" s="26"/>
      <c r="M7" s="32"/>
      <c r="N7" s="26"/>
      <c r="O7" s="42"/>
      <c r="Q7" s="26"/>
      <c r="R7" s="43"/>
    </row>
    <row r="8" spans="1:29" s="25" customFormat="1" ht="15" customHeight="1">
      <c r="A8" s="26" t="s">
        <v>64</v>
      </c>
      <c r="B8" s="73" t="s">
        <v>0</v>
      </c>
      <c r="C8" s="72"/>
      <c r="D8" s="26" t="s">
        <v>63</v>
      </c>
      <c r="E8" s="75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</row>
    <row r="9" spans="1:29" s="25" customFormat="1" ht="15" customHeight="1">
      <c r="A9" s="26" t="s">
        <v>65</v>
      </c>
      <c r="B9" s="73" t="s">
        <v>0</v>
      </c>
      <c r="C9" s="72"/>
      <c r="D9" s="26" t="s">
        <v>63</v>
      </c>
      <c r="E9" s="75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</row>
    <row r="10" spans="1:29" s="25" customFormat="1" ht="15" customHeight="1">
      <c r="A10" s="26" t="s">
        <v>66</v>
      </c>
      <c r="B10" s="73" t="s">
        <v>0</v>
      </c>
      <c r="C10" s="72"/>
      <c r="D10" s="26" t="s">
        <v>63</v>
      </c>
      <c r="E10" s="75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</row>
    <row r="11" spans="1:29" s="25" customFormat="1" ht="15" customHeight="1">
      <c r="A11" s="26" t="s">
        <v>67</v>
      </c>
      <c r="B11" s="73" t="s">
        <v>0</v>
      </c>
      <c r="C11" s="72"/>
      <c r="D11" s="26" t="s">
        <v>63</v>
      </c>
      <c r="E11" s="75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</row>
    <row r="12" spans="1:29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50</v>
      </c>
      <c r="W12" s="15" t="s">
        <v>51</v>
      </c>
    </row>
    <row r="13" spans="1:29" ht="34.5" customHeight="1">
      <c r="A13" s="52" t="s">
        <v>24</v>
      </c>
      <c r="B13" s="52" t="s">
        <v>25</v>
      </c>
      <c r="C13" s="53" t="s">
        <v>26</v>
      </c>
      <c r="D13" s="176" t="s">
        <v>0</v>
      </c>
      <c r="E13" s="53" t="s">
        <v>27</v>
      </c>
      <c r="F13" s="176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56</v>
      </c>
      <c r="W13" s="15" t="s">
        <v>57</v>
      </c>
    </row>
    <row r="14" spans="1:29" s="67" customFormat="1" ht="18" customHeight="1">
      <c r="A14" s="60" t="s">
        <v>536</v>
      </c>
      <c r="B14" s="61">
        <v>1</v>
      </c>
      <c r="C14" s="87" t="s">
        <v>184</v>
      </c>
      <c r="D14" s="187">
        <v>23529</v>
      </c>
      <c r="E14" s="167" t="s">
        <v>537</v>
      </c>
      <c r="F14" s="183" t="s">
        <v>125</v>
      </c>
      <c r="G14" s="87" t="s">
        <v>538</v>
      </c>
      <c r="H14" s="22"/>
      <c r="I14" s="22"/>
      <c r="J14" s="62" t="str">
        <f t="shared" ref="J14:J45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s">
        <v>232</v>
      </c>
      <c r="W14" s="69" t="s">
        <v>125</v>
      </c>
      <c r="Y14" t="s">
        <v>184</v>
      </c>
      <c r="Z14">
        <v>23529</v>
      </c>
      <c r="AA14" t="s">
        <v>242</v>
      </c>
      <c r="AB14"/>
      <c r="AC14"/>
    </row>
    <row r="15" spans="1:29" s="67" customFormat="1" ht="18" customHeight="1">
      <c r="A15" s="60" t="s">
        <v>536</v>
      </c>
      <c r="B15" s="61">
        <v>2</v>
      </c>
      <c r="C15" s="87" t="s">
        <v>668</v>
      </c>
      <c r="D15" s="187">
        <v>11976</v>
      </c>
      <c r="E15" s="90" t="s">
        <v>129</v>
      </c>
      <c r="F15" s="183">
        <v>58347</v>
      </c>
      <c r="G15" s="100" t="s">
        <v>671</v>
      </c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v>#N/A</v>
      </c>
      <c r="W15" s="69" t="e">
        <v>#N/A</v>
      </c>
      <c r="Y15" t="s">
        <v>241</v>
      </c>
      <c r="Z15">
        <v>11976</v>
      </c>
      <c r="AA15" t="s">
        <v>240</v>
      </c>
      <c r="AB15"/>
      <c r="AC15"/>
    </row>
    <row r="16" spans="1:29" s="67" customFormat="1" ht="18" customHeight="1">
      <c r="A16" s="60" t="s">
        <v>536</v>
      </c>
      <c r="B16" s="61">
        <v>3</v>
      </c>
      <c r="C16" s="94" t="s">
        <v>528</v>
      </c>
      <c r="D16" s="205">
        <v>4416</v>
      </c>
      <c r="E16" s="92" t="s">
        <v>158</v>
      </c>
      <c r="F16" s="193">
        <v>59173</v>
      </c>
      <c r="G16" s="112" t="s">
        <v>529</v>
      </c>
      <c r="H16" s="22" t="s">
        <v>68</v>
      </c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e">
        <v>#N/A</v>
      </c>
      <c r="W16" s="69" t="e">
        <v>#N/A</v>
      </c>
      <c r="Y16" t="s">
        <v>241</v>
      </c>
      <c r="Z16">
        <v>11976</v>
      </c>
      <c r="AA16" t="s">
        <v>240</v>
      </c>
      <c r="AB16"/>
      <c r="AC16"/>
    </row>
    <row r="17" spans="1:30" s="67" customFormat="1" ht="18" customHeight="1">
      <c r="A17" s="60" t="s">
        <v>536</v>
      </c>
      <c r="B17" s="61">
        <v>4</v>
      </c>
      <c r="C17" s="119" t="s">
        <v>633</v>
      </c>
      <c r="D17" s="183">
        <v>21867</v>
      </c>
      <c r="E17" s="144" t="s">
        <v>634</v>
      </c>
      <c r="F17" s="183">
        <v>58308</v>
      </c>
      <c r="G17" s="122" t="s">
        <v>635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v>#N/A</v>
      </c>
      <c r="W17" s="69" t="e">
        <v>#N/A</v>
      </c>
      <c r="Y17"/>
      <c r="Z17"/>
      <c r="AA17"/>
      <c r="AB17"/>
      <c r="AC17"/>
    </row>
    <row r="18" spans="1:30" s="67" customFormat="1" ht="18" customHeight="1">
      <c r="A18" s="60"/>
      <c r="B18" s="61">
        <v>5</v>
      </c>
      <c r="C18" s="119" t="s">
        <v>577</v>
      </c>
      <c r="D18" s="183">
        <v>32890</v>
      </c>
      <c r="E18" s="119" t="s">
        <v>576</v>
      </c>
      <c r="F18" s="183">
        <v>58668</v>
      </c>
      <c r="G18" s="122" t="s">
        <v>573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s">
        <v>68</v>
      </c>
      <c r="W18" s="69" t="s">
        <v>68</v>
      </c>
      <c r="Y18"/>
      <c r="Z18"/>
      <c r="AA18"/>
      <c r="AB18"/>
      <c r="AC18"/>
    </row>
    <row r="19" spans="1:30" s="67" customFormat="1" ht="18" customHeight="1">
      <c r="A19" s="60" t="s">
        <v>536</v>
      </c>
      <c r="B19" s="61">
        <v>6</v>
      </c>
      <c r="C19" s="94" t="s">
        <v>624</v>
      </c>
      <c r="D19" s="205">
        <v>14546</v>
      </c>
      <c r="E19" s="90" t="s">
        <v>627</v>
      </c>
      <c r="F19" s="183" t="s">
        <v>125</v>
      </c>
      <c r="G19" s="87" t="s">
        <v>626</v>
      </c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s">
        <v>68</v>
      </c>
      <c r="W19" s="69" t="s">
        <v>68</v>
      </c>
      <c r="Y19"/>
      <c r="Z19"/>
      <c r="AA19"/>
      <c r="AB19"/>
      <c r="AC19"/>
    </row>
    <row r="20" spans="1:30" s="67" customFormat="1" ht="18" customHeight="1">
      <c r="A20" s="60"/>
      <c r="B20" s="61">
        <v>7</v>
      </c>
      <c r="C20" s="87" t="s">
        <v>584</v>
      </c>
      <c r="D20" s="187">
        <v>33226</v>
      </c>
      <c r="E20" s="90" t="s">
        <v>585</v>
      </c>
      <c r="F20" s="186">
        <v>61773</v>
      </c>
      <c r="G20" s="89" t="s">
        <v>586</v>
      </c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v>#N/A</v>
      </c>
      <c r="W20" s="69" t="s">
        <v>125</v>
      </c>
      <c r="Y20"/>
      <c r="Z20"/>
      <c r="AA20"/>
      <c r="AB20"/>
      <c r="AC20"/>
    </row>
    <row r="21" spans="1:30" s="67" customFormat="1" ht="18" customHeight="1">
      <c r="A21" s="60"/>
      <c r="B21" s="61">
        <v>8</v>
      </c>
      <c r="C21" s="87" t="s">
        <v>636</v>
      </c>
      <c r="D21" s="187" t="s">
        <v>125</v>
      </c>
      <c r="E21" s="173" t="s">
        <v>634</v>
      </c>
      <c r="F21" s="186">
        <v>58308</v>
      </c>
      <c r="G21" s="89" t="s">
        <v>635</v>
      </c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e">
        <v>#N/A</v>
      </c>
      <c r="W21" s="69" t="e">
        <v>#N/A</v>
      </c>
      <c r="Y21"/>
      <c r="Z21"/>
      <c r="AA21"/>
      <c r="AB21" t="s">
        <v>247</v>
      </c>
      <c r="AC21">
        <v>57563</v>
      </c>
      <c r="AD21" s="67" t="s">
        <v>246</v>
      </c>
    </row>
    <row r="22" spans="1:30" s="67" customFormat="1" ht="18" customHeight="1">
      <c r="A22" s="60"/>
      <c r="B22" s="61">
        <v>9</v>
      </c>
      <c r="C22" s="100" t="s">
        <v>582</v>
      </c>
      <c r="D22" s="203" t="s">
        <v>583</v>
      </c>
      <c r="E22" s="99" t="s">
        <v>581</v>
      </c>
      <c r="F22" s="197">
        <v>57574</v>
      </c>
      <c r="G22" s="100" t="s">
        <v>575</v>
      </c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e">
        <v>#N/A</v>
      </c>
      <c r="W22" s="69" t="e">
        <v>#N/A</v>
      </c>
      <c r="Y22" t="s">
        <v>244</v>
      </c>
      <c r="Z22">
        <v>28711</v>
      </c>
      <c r="AA22" t="s">
        <v>243</v>
      </c>
      <c r="AB22" t="s">
        <v>173</v>
      </c>
      <c r="AC22">
        <v>60949</v>
      </c>
      <c r="AD22" s="67" t="s">
        <v>245</v>
      </c>
    </row>
    <row r="23" spans="1:30" s="67" customFormat="1" ht="18" customHeight="1">
      <c r="A23" s="60"/>
      <c r="B23" s="61">
        <v>10</v>
      </c>
      <c r="C23" s="100" t="s">
        <v>531</v>
      </c>
      <c r="D23" s="203">
        <v>5665</v>
      </c>
      <c r="E23" s="90" t="s">
        <v>705</v>
      </c>
      <c r="F23" s="186">
        <v>56664</v>
      </c>
      <c r="G23" s="89" t="s">
        <v>535</v>
      </c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s">
        <v>68</v>
      </c>
      <c r="W23" s="69" t="s">
        <v>68</v>
      </c>
      <c r="Y23"/>
      <c r="Z23"/>
      <c r="AA23"/>
      <c r="AB23"/>
      <c r="AC23"/>
    </row>
    <row r="24" spans="1:30" s="67" customFormat="1" ht="18" customHeight="1">
      <c r="A24" s="60" t="s">
        <v>704</v>
      </c>
      <c r="B24" s="61">
        <v>11</v>
      </c>
      <c r="C24" s="118" t="s">
        <v>539</v>
      </c>
      <c r="D24" s="222">
        <v>32214</v>
      </c>
      <c r="E24" s="154" t="s">
        <v>537</v>
      </c>
      <c r="F24" s="183" t="s">
        <v>125</v>
      </c>
      <c r="G24" s="122" t="s">
        <v>538</v>
      </c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s">
        <v>68</v>
      </c>
      <c r="W24" s="69" t="s">
        <v>68</v>
      </c>
      <c r="Y24"/>
      <c r="Z24"/>
      <c r="AA24"/>
      <c r="AB24"/>
      <c r="AC24"/>
    </row>
    <row r="25" spans="1:30" s="67" customFormat="1" ht="18" customHeight="1">
      <c r="A25" s="60" t="s">
        <v>704</v>
      </c>
      <c r="B25" s="61">
        <v>12</v>
      </c>
      <c r="C25" s="87" t="s">
        <v>605</v>
      </c>
      <c r="D25" s="187">
        <v>32313</v>
      </c>
      <c r="E25" s="90" t="s">
        <v>608</v>
      </c>
      <c r="F25" s="186" t="s">
        <v>125</v>
      </c>
      <c r="G25" s="89" t="s">
        <v>604</v>
      </c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e">
        <v>#N/A</v>
      </c>
      <c r="W25" s="69" t="e">
        <v>#N/A</v>
      </c>
      <c r="Y25" t="s">
        <v>239</v>
      </c>
      <c r="Z25">
        <v>31710</v>
      </c>
      <c r="AA25" t="s">
        <v>238</v>
      </c>
      <c r="AB25"/>
      <c r="AC25"/>
    </row>
    <row r="26" spans="1:30" s="67" customFormat="1" ht="18" customHeight="1">
      <c r="A26" s="60" t="s">
        <v>704</v>
      </c>
      <c r="B26" s="61">
        <v>13</v>
      </c>
      <c r="C26" s="119" t="s">
        <v>681</v>
      </c>
      <c r="D26" s="183">
        <v>34299</v>
      </c>
      <c r="E26" s="119" t="s">
        <v>685</v>
      </c>
      <c r="F26" s="183">
        <v>62092</v>
      </c>
      <c r="G26" s="122" t="s">
        <v>680</v>
      </c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s">
        <v>68</v>
      </c>
      <c r="W26" s="69" t="s">
        <v>68</v>
      </c>
      <c r="Y26"/>
      <c r="Z26"/>
      <c r="AA26"/>
      <c r="AB26"/>
      <c r="AC26"/>
    </row>
    <row r="27" spans="1:30" s="67" customFormat="1" ht="18" customHeight="1">
      <c r="A27" s="60"/>
      <c r="B27" s="61">
        <v>14</v>
      </c>
      <c r="C27" s="87"/>
      <c r="D27" s="187"/>
      <c r="E27" s="90"/>
      <c r="F27" s="186"/>
      <c r="G27" s="89"/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s">
        <v>68</v>
      </c>
      <c r="W27" s="69" t="s">
        <v>68</v>
      </c>
      <c r="Y27"/>
      <c r="Z27"/>
      <c r="AA27"/>
      <c r="AB27"/>
      <c r="AC27"/>
    </row>
    <row r="28" spans="1:30" s="67" customFormat="1" ht="18" customHeight="1">
      <c r="A28" s="60"/>
      <c r="B28" s="61">
        <v>15</v>
      </c>
      <c r="C28" s="87"/>
      <c r="D28" s="187"/>
      <c r="E28" s="90"/>
      <c r="F28" s="186"/>
      <c r="G28" s="87"/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s">
        <v>68</v>
      </c>
      <c r="W28" s="69" t="s">
        <v>68</v>
      </c>
      <c r="Y28"/>
      <c r="Z28"/>
      <c r="AA28"/>
      <c r="AB28"/>
      <c r="AC28"/>
    </row>
    <row r="29" spans="1:30" s="67" customFormat="1" ht="18" customHeight="1">
      <c r="A29" s="60"/>
      <c r="B29" s="61">
        <v>16</v>
      </c>
      <c r="C29" s="119"/>
      <c r="D29" s="183"/>
      <c r="E29" s="119"/>
      <c r="F29" s="183"/>
      <c r="G29" s="122"/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s">
        <v>68</v>
      </c>
      <c r="W29" s="69" t="s">
        <v>68</v>
      </c>
      <c r="Y29"/>
      <c r="Z29"/>
      <c r="AA29"/>
      <c r="AB29"/>
      <c r="AC29"/>
    </row>
    <row r="30" spans="1:30" s="67" customFormat="1" ht="18" customHeight="1">
      <c r="A30" s="60"/>
      <c r="B30" s="61">
        <v>17</v>
      </c>
      <c r="C30" s="119"/>
      <c r="D30" s="183"/>
      <c r="E30" s="119"/>
      <c r="F30" s="183"/>
      <c r="G30" s="122"/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s">
        <v>68</v>
      </c>
      <c r="W30" s="69" t="s">
        <v>68</v>
      </c>
      <c r="Y30"/>
      <c r="Z30"/>
      <c r="AA30"/>
      <c r="AB30"/>
      <c r="AC30"/>
    </row>
    <row r="31" spans="1:30" s="67" customFormat="1" ht="18" customHeight="1">
      <c r="A31" s="60"/>
      <c r="B31" s="61">
        <v>18</v>
      </c>
      <c r="C31" s="119"/>
      <c r="D31" s="183"/>
      <c r="E31" s="90"/>
      <c r="F31" s="183"/>
      <c r="G31" s="89"/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s">
        <v>68</v>
      </c>
      <c r="W31" s="69" t="s">
        <v>68</v>
      </c>
      <c r="Y31"/>
      <c r="Z31"/>
      <c r="AA31"/>
      <c r="AB31"/>
      <c r="AC31"/>
    </row>
    <row r="32" spans="1:30" s="67" customFormat="1" ht="18" customHeight="1">
      <c r="A32" s="60"/>
      <c r="B32" s="61">
        <v>19</v>
      </c>
      <c r="C32" s="119"/>
      <c r="D32" s="183"/>
      <c r="E32" s="119"/>
      <c r="F32" s="183"/>
      <c r="G32" s="122"/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s">
        <v>68</v>
      </c>
      <c r="W32" s="69" t="s">
        <v>68</v>
      </c>
      <c r="Y32"/>
      <c r="Z32"/>
      <c r="AA32"/>
      <c r="AB32"/>
      <c r="AC32"/>
    </row>
    <row r="33" spans="1:29" s="67" customFormat="1" ht="18" customHeight="1">
      <c r="A33" s="60"/>
      <c r="B33" s="61">
        <v>20</v>
      </c>
      <c r="C33" s="119"/>
      <c r="D33" s="183"/>
      <c r="E33" s="119"/>
      <c r="F33" s="183"/>
      <c r="G33" s="122"/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s">
        <v>68</v>
      </c>
      <c r="W33" s="69" t="s">
        <v>68</v>
      </c>
      <c r="Y33"/>
      <c r="Z33"/>
      <c r="AA33"/>
      <c r="AB33"/>
      <c r="AC33"/>
    </row>
    <row r="34" spans="1:29" s="67" customFormat="1" ht="18" customHeight="1">
      <c r="A34" s="60"/>
      <c r="B34" s="61">
        <v>21</v>
      </c>
      <c r="C34" s="119"/>
      <c r="D34" s="183"/>
      <c r="E34" s="119"/>
      <c r="F34" s="183"/>
      <c r="G34" s="122"/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s">
        <v>68</v>
      </c>
      <c r="W34" s="69" t="s">
        <v>68</v>
      </c>
      <c r="Y34"/>
      <c r="Z34"/>
      <c r="AA34"/>
      <c r="AB34"/>
      <c r="AC34"/>
    </row>
    <row r="35" spans="1:29" s="67" customFormat="1" ht="18" customHeight="1">
      <c r="A35" s="60"/>
      <c r="B35" s="61">
        <v>22</v>
      </c>
      <c r="C35" s="119"/>
      <c r="D35" s="190"/>
      <c r="E35" s="119"/>
      <c r="F35" s="194"/>
      <c r="G35" s="122"/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s">
        <v>68</v>
      </c>
      <c r="W35" s="69" t="s">
        <v>68</v>
      </c>
      <c r="Y35"/>
      <c r="Z35"/>
      <c r="AA35"/>
      <c r="AB35"/>
      <c r="AC35"/>
    </row>
    <row r="36" spans="1:29" s="67" customFormat="1" ht="18" customHeight="1">
      <c r="A36" s="60"/>
      <c r="B36" s="61">
        <v>23</v>
      </c>
      <c r="C36" s="119"/>
      <c r="D36" s="190"/>
      <c r="E36" s="119"/>
      <c r="F36" s="194"/>
      <c r="G36" s="122"/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">
        <v>68</v>
      </c>
      <c r="W36" s="69" t="s">
        <v>68</v>
      </c>
      <c r="Y36"/>
      <c r="Z36"/>
      <c r="AA36"/>
      <c r="AB36"/>
      <c r="AC36"/>
    </row>
    <row r="37" spans="1:29" s="67" customFormat="1" ht="18" customHeight="1">
      <c r="A37" s="60"/>
      <c r="B37" s="61">
        <v>24</v>
      </c>
      <c r="C37" s="119"/>
      <c r="D37" s="190"/>
      <c r="E37" s="119"/>
      <c r="F37" s="194"/>
      <c r="G37" s="122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">
        <v>68</v>
      </c>
      <c r="W37" s="69" t="s">
        <v>68</v>
      </c>
      <c r="Y37"/>
      <c r="Z37"/>
      <c r="AA37"/>
      <c r="AB37"/>
      <c r="AC37"/>
    </row>
    <row r="38" spans="1:29" s="67" customFormat="1" ht="18" customHeight="1">
      <c r="A38" s="60"/>
      <c r="B38" s="61">
        <v>25</v>
      </c>
      <c r="C38" s="119"/>
      <c r="D38" s="190"/>
      <c r="E38" s="119"/>
      <c r="F38" s="194"/>
      <c r="G38" s="122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">
        <v>68</v>
      </c>
      <c r="W38" s="69" t="s">
        <v>68</v>
      </c>
      <c r="Y38"/>
      <c r="Z38"/>
      <c r="AA38"/>
      <c r="AB38"/>
      <c r="AC38"/>
    </row>
    <row r="39" spans="1:29" s="67" customFormat="1" ht="18" customHeight="1">
      <c r="A39" s="60"/>
      <c r="B39" s="61">
        <v>26</v>
      </c>
      <c r="C39" s="119"/>
      <c r="D39" s="190"/>
      <c r="E39" s="119"/>
      <c r="F39" s="194"/>
      <c r="G39" s="122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">
        <v>68</v>
      </c>
      <c r="W39" s="69" t="s">
        <v>68</v>
      </c>
      <c r="Y39"/>
      <c r="Z39"/>
      <c r="AA39"/>
      <c r="AB39"/>
      <c r="AC39"/>
    </row>
    <row r="40" spans="1:29" s="67" customFormat="1" ht="18" customHeight="1">
      <c r="A40" s="60"/>
      <c r="B40" s="61">
        <v>27</v>
      </c>
      <c r="C40" s="119"/>
      <c r="D40" s="190"/>
      <c r="E40" s="119"/>
      <c r="F40" s="194"/>
      <c r="G40" s="122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">
        <v>68</v>
      </c>
      <c r="W40" s="69" t="s">
        <v>68</v>
      </c>
      <c r="Y40"/>
      <c r="Z40"/>
      <c r="AA40"/>
      <c r="AB40"/>
      <c r="AC40"/>
    </row>
    <row r="41" spans="1:29" s="67" customFormat="1" ht="18" customHeight="1">
      <c r="A41" s="60"/>
      <c r="B41" s="61">
        <v>28</v>
      </c>
      <c r="C41" s="119"/>
      <c r="D41" s="190"/>
      <c r="E41" s="119"/>
      <c r="F41" s="194"/>
      <c r="G41" s="122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">
        <v>68</v>
      </c>
      <c r="W41" s="69" t="s">
        <v>68</v>
      </c>
      <c r="Y41"/>
      <c r="Z41"/>
      <c r="AA41"/>
      <c r="AB41"/>
      <c r="AC41"/>
    </row>
    <row r="42" spans="1:29" s="67" customFormat="1" ht="18" customHeight="1">
      <c r="A42" s="60"/>
      <c r="B42" s="61">
        <v>29</v>
      </c>
      <c r="C42" s="119"/>
      <c r="D42" s="190"/>
      <c r="E42" s="119"/>
      <c r="F42" s="194"/>
      <c r="G42" s="122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">
        <v>68</v>
      </c>
      <c r="W42" s="69" t="s">
        <v>68</v>
      </c>
      <c r="Y42"/>
      <c r="Z42"/>
      <c r="AA42"/>
      <c r="AB42"/>
      <c r="AC42"/>
    </row>
    <row r="43" spans="1:29" s="67" customFormat="1" ht="18" customHeight="1">
      <c r="A43" s="60"/>
      <c r="B43" s="61">
        <v>30</v>
      </c>
      <c r="C43" s="119"/>
      <c r="D43" s="190"/>
      <c r="E43" s="119"/>
      <c r="F43" s="194"/>
      <c r="G43" s="122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">
        <v>68</v>
      </c>
      <c r="W43" s="69" t="s">
        <v>68</v>
      </c>
      <c r="Y43"/>
      <c r="Z43"/>
      <c r="AA43"/>
      <c r="AB43"/>
      <c r="AC43"/>
    </row>
    <row r="44" spans="1:29" s="67" customFormat="1" ht="18" customHeight="1">
      <c r="A44" s="60"/>
      <c r="B44" s="61"/>
      <c r="C44" s="119"/>
      <c r="D44" s="190"/>
      <c r="E44" s="119"/>
      <c r="F44" s="194"/>
      <c r="G44" s="122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">
        <v>68</v>
      </c>
      <c r="W44" s="69" t="s">
        <v>68</v>
      </c>
      <c r="Y44"/>
      <c r="Z44"/>
      <c r="AA44"/>
      <c r="AB44"/>
      <c r="AC44"/>
    </row>
    <row r="45" spans="1:29" s="67" customFormat="1" ht="18" customHeight="1">
      <c r="A45" s="60"/>
      <c r="B45" s="61"/>
      <c r="C45" s="119"/>
      <c r="D45" s="190"/>
      <c r="E45" s="119"/>
      <c r="F45" s="194"/>
      <c r="G45" s="122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">
        <v>68</v>
      </c>
      <c r="W45" s="69" t="s">
        <v>68</v>
      </c>
      <c r="Y45"/>
      <c r="Z45"/>
      <c r="AA45"/>
      <c r="AB45"/>
      <c r="AC45"/>
    </row>
    <row r="46" spans="1:29" s="67" customFormat="1" ht="18" customHeight="1">
      <c r="A46" s="60"/>
      <c r="B46" s="61"/>
      <c r="C46" s="119"/>
      <c r="D46" s="190"/>
      <c r="E46" s="119"/>
      <c r="F46" s="194"/>
      <c r="G46" s="122"/>
      <c r="H46" s="22"/>
      <c r="I46" s="22"/>
      <c r="J46" s="62" t="str">
        <f t="shared" ref="J46:J77" si="4">IF(H46="","",H46+I46)</f>
        <v/>
      </c>
      <c r="K46" s="63"/>
      <c r="L46" s="63"/>
      <c r="M46" s="64" t="str">
        <f t="shared" ref="M46:M77" si="5">IF(L46="","",K46+L46)</f>
        <v/>
      </c>
      <c r="N46" s="22"/>
      <c r="O46" s="22"/>
      <c r="P46" s="62" t="str">
        <f t="shared" ref="P46:P77" si="6">IF(N46="","",N46+O46)</f>
        <v/>
      </c>
      <c r="Q46" s="63"/>
      <c r="R46" s="63"/>
      <c r="S46" s="64" t="str">
        <f t="shared" ref="S46:S77" si="7">IF(R46="","",Q46+R46)</f>
        <v/>
      </c>
      <c r="T46" s="65"/>
      <c r="U46" s="66"/>
      <c r="V46" s="18" t="s">
        <v>68</v>
      </c>
      <c r="W46" s="69" t="s">
        <v>68</v>
      </c>
      <c r="Y46"/>
      <c r="Z46"/>
      <c r="AA46"/>
      <c r="AB46"/>
      <c r="AC46"/>
    </row>
    <row r="47" spans="1:29" s="67" customFormat="1" ht="18" customHeight="1">
      <c r="A47" s="60"/>
      <c r="B47" s="61"/>
      <c r="C47" s="119"/>
      <c r="D47" s="190"/>
      <c r="E47" s="119"/>
      <c r="F47" s="194"/>
      <c r="G47" s="122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">
        <v>68</v>
      </c>
      <c r="W47" s="69" t="s">
        <v>68</v>
      </c>
      <c r="Y47"/>
      <c r="Z47"/>
      <c r="AA47"/>
      <c r="AB47"/>
      <c r="AC47"/>
    </row>
    <row r="48" spans="1:29" s="67" customFormat="1" ht="18" customHeight="1">
      <c r="A48" s="60"/>
      <c r="B48" s="61"/>
      <c r="C48" s="119"/>
      <c r="D48" s="190"/>
      <c r="E48" s="119"/>
      <c r="F48" s="194"/>
      <c r="G48" s="122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">
        <v>68</v>
      </c>
      <c r="W48" s="69" t="s">
        <v>68</v>
      </c>
      <c r="Y48"/>
      <c r="Z48"/>
      <c r="AA48"/>
      <c r="AB48"/>
      <c r="AC48"/>
    </row>
    <row r="49" spans="1:29" s="67" customFormat="1" ht="18" customHeight="1">
      <c r="A49" s="60"/>
      <c r="B49" s="61"/>
      <c r="C49" s="119"/>
      <c r="D49" s="190"/>
      <c r="E49" s="119"/>
      <c r="F49" s="194"/>
      <c r="G49" s="122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">
        <v>68</v>
      </c>
      <c r="W49" s="69" t="s">
        <v>68</v>
      </c>
      <c r="Y49"/>
      <c r="Z49"/>
      <c r="AA49"/>
      <c r="AB49"/>
      <c r="AC49"/>
    </row>
    <row r="50" spans="1:29" s="67" customFormat="1" ht="18" customHeight="1">
      <c r="A50" s="60"/>
      <c r="B50" s="61"/>
      <c r="C50" s="119"/>
      <c r="D50" s="190"/>
      <c r="E50" s="119"/>
      <c r="F50" s="194"/>
      <c r="G50" s="122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">
        <v>68</v>
      </c>
      <c r="W50" s="69" t="s">
        <v>68</v>
      </c>
      <c r="Y50"/>
      <c r="Z50"/>
      <c r="AA50"/>
      <c r="AB50"/>
      <c r="AC50"/>
    </row>
    <row r="51" spans="1:29" s="67" customFormat="1" ht="18" customHeight="1">
      <c r="A51" s="60"/>
      <c r="B51" s="61"/>
      <c r="C51" s="119"/>
      <c r="D51" s="190"/>
      <c r="E51" s="119"/>
      <c r="F51" s="194"/>
      <c r="G51" s="122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">
        <v>68</v>
      </c>
      <c r="W51" s="69" t="s">
        <v>68</v>
      </c>
      <c r="Y51"/>
      <c r="Z51"/>
      <c r="AA51"/>
      <c r="AB51"/>
      <c r="AC51"/>
    </row>
    <row r="52" spans="1:29" s="67" customFormat="1" ht="18" customHeight="1">
      <c r="A52" s="60"/>
      <c r="B52" s="61"/>
      <c r="C52" s="119"/>
      <c r="D52" s="190"/>
      <c r="E52" s="119"/>
      <c r="F52" s="194"/>
      <c r="G52" s="122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">
        <v>68</v>
      </c>
      <c r="W52" s="69" t="s">
        <v>68</v>
      </c>
      <c r="Y52"/>
      <c r="Z52"/>
      <c r="AA52"/>
      <c r="AB52"/>
      <c r="AC52"/>
    </row>
    <row r="53" spans="1:29" s="67" customFormat="1" ht="18" customHeight="1">
      <c r="A53" s="60"/>
      <c r="B53" s="61"/>
      <c r="C53" s="119"/>
      <c r="D53" s="190"/>
      <c r="E53" s="119"/>
      <c r="F53" s="194"/>
      <c r="G53" s="122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">
        <v>68</v>
      </c>
      <c r="W53" s="69" t="s">
        <v>68</v>
      </c>
      <c r="Y53"/>
      <c r="Z53"/>
      <c r="AA53"/>
      <c r="AB53"/>
      <c r="AC53"/>
    </row>
    <row r="54" spans="1:29" s="67" customFormat="1" ht="18" customHeight="1">
      <c r="A54" s="60"/>
      <c r="B54" s="61"/>
      <c r="C54" s="119"/>
      <c r="D54" s="190"/>
      <c r="E54" s="119"/>
      <c r="F54" s="194"/>
      <c r="G54" s="122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">
        <v>68</v>
      </c>
      <c r="W54" s="69" t="s">
        <v>68</v>
      </c>
      <c r="Y54"/>
      <c r="Z54"/>
      <c r="AA54"/>
      <c r="AB54"/>
      <c r="AC54"/>
    </row>
    <row r="55" spans="1:29" s="67" customFormat="1" ht="18" customHeight="1">
      <c r="A55" s="60"/>
      <c r="B55" s="61"/>
      <c r="C55" s="119"/>
      <c r="D55" s="190"/>
      <c r="E55" s="119"/>
      <c r="F55" s="194"/>
      <c r="G55" s="122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">
        <v>68</v>
      </c>
      <c r="W55" s="69" t="s">
        <v>68</v>
      </c>
      <c r="Y55"/>
      <c r="Z55"/>
      <c r="AA55"/>
      <c r="AB55"/>
      <c r="AC55"/>
    </row>
    <row r="56" spans="1:29" s="67" customFormat="1" ht="18" customHeight="1">
      <c r="A56" s="60"/>
      <c r="B56" s="61"/>
      <c r="C56" s="119"/>
      <c r="D56" s="190"/>
      <c r="E56" s="119"/>
      <c r="F56" s="194"/>
      <c r="G56" s="122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">
        <v>68</v>
      </c>
      <c r="W56" s="69" t="s">
        <v>68</v>
      </c>
      <c r="Y56"/>
      <c r="Z56"/>
      <c r="AA56"/>
      <c r="AB56"/>
      <c r="AC56"/>
    </row>
    <row r="57" spans="1:29" s="67" customFormat="1" ht="18" customHeight="1">
      <c r="A57" s="60"/>
      <c r="B57" s="61"/>
      <c r="C57" s="119"/>
      <c r="D57" s="190"/>
      <c r="E57" s="119"/>
      <c r="F57" s="194"/>
      <c r="G57" s="122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">
        <v>68</v>
      </c>
      <c r="W57" s="69" t="s">
        <v>68</v>
      </c>
      <c r="Y57"/>
      <c r="Z57"/>
      <c r="AA57"/>
      <c r="AB57"/>
      <c r="AC57"/>
    </row>
    <row r="58" spans="1:29" s="67" customFormat="1" ht="18" customHeight="1">
      <c r="A58" s="60"/>
      <c r="B58" s="61"/>
      <c r="C58" s="21"/>
      <c r="D58" s="180" t="s">
        <v>68</v>
      </c>
      <c r="E58" s="21"/>
      <c r="F58" s="195" t="s">
        <v>68</v>
      </c>
      <c r="G58" s="23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">
        <v>68</v>
      </c>
      <c r="W58" s="69" t="s">
        <v>68</v>
      </c>
      <c r="Y58"/>
      <c r="Z58"/>
      <c r="AA58"/>
      <c r="AB58"/>
      <c r="AC58"/>
    </row>
    <row r="59" spans="1:29" s="67" customFormat="1" ht="18" customHeight="1">
      <c r="A59" s="60"/>
      <c r="B59" s="61"/>
      <c r="C59" s="21"/>
      <c r="D59" s="180" t="s">
        <v>68</v>
      </c>
      <c r="E59" s="21"/>
      <c r="F59" s="195" t="s">
        <v>68</v>
      </c>
      <c r="G59" s="23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">
        <v>68</v>
      </c>
      <c r="W59" s="69" t="s">
        <v>68</v>
      </c>
      <c r="Y59"/>
      <c r="Z59"/>
      <c r="AA59"/>
      <c r="AB59"/>
      <c r="AC59"/>
    </row>
    <row r="60" spans="1:29" s="67" customFormat="1" ht="18" customHeight="1">
      <c r="A60" s="60"/>
      <c r="B60" s="61"/>
      <c r="C60" s="21"/>
      <c r="D60" s="180" t="s">
        <v>68</v>
      </c>
      <c r="E60" s="21"/>
      <c r="F60" s="195" t="s">
        <v>68</v>
      </c>
      <c r="G60" s="23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">
        <v>68</v>
      </c>
      <c r="W60" s="69" t="s">
        <v>68</v>
      </c>
      <c r="Y60"/>
      <c r="Z60"/>
      <c r="AA60"/>
      <c r="AB60"/>
      <c r="AC60"/>
    </row>
    <row r="61" spans="1:29" s="67" customFormat="1" ht="18" customHeight="1">
      <c r="A61" s="60"/>
      <c r="B61" s="61"/>
      <c r="C61" s="21"/>
      <c r="D61" s="180" t="s">
        <v>68</v>
      </c>
      <c r="E61" s="21"/>
      <c r="F61" s="195" t="s">
        <v>68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">
        <v>68</v>
      </c>
      <c r="W61" s="69" t="s">
        <v>68</v>
      </c>
      <c r="Y61"/>
      <c r="Z61"/>
      <c r="AA61"/>
      <c r="AB61"/>
      <c r="AC61"/>
    </row>
    <row r="62" spans="1:29" s="67" customFormat="1" ht="18" customHeight="1">
      <c r="A62" s="60"/>
      <c r="B62" s="61"/>
      <c r="C62" s="21"/>
      <c r="D62" s="180" t="s">
        <v>68</v>
      </c>
      <c r="E62" s="21"/>
      <c r="F62" s="195" t="s">
        <v>68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">
        <v>68</v>
      </c>
      <c r="W62" s="69" t="s">
        <v>68</v>
      </c>
      <c r="Y62"/>
      <c r="Z62"/>
      <c r="AA62"/>
      <c r="AB62"/>
      <c r="AC62"/>
    </row>
    <row r="63" spans="1:29" s="67" customFormat="1" ht="18" customHeight="1">
      <c r="A63" s="60"/>
      <c r="B63" s="61"/>
      <c r="C63" s="21"/>
      <c r="D63" s="180" t="s">
        <v>68</v>
      </c>
      <c r="E63" s="21"/>
      <c r="F63" s="195" t="s">
        <v>68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">
        <v>68</v>
      </c>
      <c r="W63" s="69" t="s">
        <v>68</v>
      </c>
      <c r="Y63"/>
      <c r="Z63"/>
      <c r="AA63"/>
      <c r="AB63"/>
      <c r="AC63"/>
    </row>
    <row r="64" spans="1:29" s="67" customFormat="1" ht="18" customHeight="1">
      <c r="A64" s="60"/>
      <c r="B64" s="61"/>
      <c r="C64" s="21"/>
      <c r="D64" s="180" t="s">
        <v>68</v>
      </c>
      <c r="E64" s="21"/>
      <c r="F64" s="195" t="s">
        <v>68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">
        <v>68</v>
      </c>
      <c r="W64" s="69" t="s">
        <v>68</v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180" t="s">
        <v>68</v>
      </c>
      <c r="E65" s="21"/>
      <c r="F65" s="195" t="s">
        <v>68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">
        <v>68</v>
      </c>
      <c r="W65" s="69" t="s">
        <v>68</v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180" t="s">
        <v>68</v>
      </c>
      <c r="E66" s="21"/>
      <c r="F66" s="195" t="s">
        <v>68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">
        <v>68</v>
      </c>
      <c r="W66" s="69" t="s">
        <v>68</v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180" t="s">
        <v>68</v>
      </c>
      <c r="E67" s="21"/>
      <c r="F67" s="195" t="s">
        <v>68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">
        <v>68</v>
      </c>
      <c r="W67" s="69" t="s">
        <v>68</v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180" t="s">
        <v>68</v>
      </c>
      <c r="E68" s="21"/>
      <c r="F68" s="195" t="s">
        <v>68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">
        <v>68</v>
      </c>
      <c r="W68" s="69" t="s">
        <v>68</v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180" t="s">
        <v>68</v>
      </c>
      <c r="E69" s="21"/>
      <c r="F69" s="195" t="s">
        <v>68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">
        <v>68</v>
      </c>
      <c r="W69" s="69" t="s">
        <v>68</v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180" t="s">
        <v>68</v>
      </c>
      <c r="E70" s="21"/>
      <c r="F70" s="195" t="s">
        <v>68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">
        <v>68</v>
      </c>
      <c r="W70" s="69" t="s">
        <v>68</v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180" t="s">
        <v>68</v>
      </c>
      <c r="E71" s="21"/>
      <c r="F71" s="195" t="s">
        <v>68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">
        <v>68</v>
      </c>
      <c r="W71" s="69" t="s">
        <v>68</v>
      </c>
      <c r="Y71"/>
      <c r="Z71"/>
      <c r="AA71"/>
      <c r="AB71"/>
      <c r="AC71"/>
    </row>
    <row r="72" spans="1:29" s="67" customFormat="1" ht="18" customHeight="1">
      <c r="A72" s="60"/>
      <c r="B72" s="61"/>
      <c r="C72" s="21"/>
      <c r="D72" s="180" t="s">
        <v>68</v>
      </c>
      <c r="E72" s="21"/>
      <c r="F72" s="195" t="s">
        <v>68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">
        <v>68</v>
      </c>
      <c r="W72" s="69" t="s">
        <v>68</v>
      </c>
      <c r="Y72"/>
      <c r="Z72"/>
      <c r="AA72"/>
      <c r="AB72"/>
      <c r="AC72"/>
    </row>
    <row r="73" spans="1:29" s="67" customFormat="1" ht="18" customHeight="1">
      <c r="A73" s="60"/>
      <c r="B73" s="61"/>
      <c r="C73" s="21"/>
      <c r="D73" s="180" t="s">
        <v>68</v>
      </c>
      <c r="E73" s="21"/>
      <c r="F73" s="195" t="s">
        <v>68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">
        <v>68</v>
      </c>
      <c r="W73" s="69" t="s">
        <v>68</v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AD13" xr:uid="{00000000-0001-0000-0C00-000000000000}">
    <sortState xmlns:xlrd2="http://schemas.microsoft.com/office/spreadsheetml/2017/richdata2" ref="A14:AD73">
      <sortCondition ref="B13"/>
    </sortState>
  </autoFilter>
  <sortState xmlns:xlrd2="http://schemas.microsoft.com/office/spreadsheetml/2017/richdata2" ref="A19:AD20">
    <sortCondition ref="B19:B20"/>
  </sortState>
  <phoneticPr fontId="7" type="Hiragana"/>
  <conditionalFormatting sqref="V14:V73">
    <cfRule type="cellIs" dxfId="35" priority="4" stopIfTrue="1" operator="notBetween">
      <formula>"A"</formula>
      <formula>"Ｂ"</formula>
    </cfRule>
  </conditionalFormatting>
  <conditionalFormatting sqref="W14:W73">
    <cfRule type="cellIs" dxfId="34" priority="3" stopIfTrue="1" operator="between">
      <formula>"-"</formula>
      <formula>"申請中"</formula>
    </cfRule>
  </conditionalFormatting>
  <conditionalFormatting sqref="Y14:Z73">
    <cfRule type="expression" dxfId="33" priority="2">
      <formula>Y14&lt;&gt;C14</formula>
    </cfRule>
  </conditionalFormatting>
  <conditionalFormatting sqref="AB14:AC73">
    <cfRule type="expression" dxfId="32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213360</xdr:colOff>
                    <xdr:row>5</xdr:row>
                    <xdr:rowOff>327660</xdr:rowOff>
                  </from>
                  <to>
                    <xdr:col>27</xdr:col>
                    <xdr:colOff>365760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>
    <tabColor rgb="FFFFC000"/>
  </sheetPr>
  <dimension ref="A1:AD201"/>
  <sheetViews>
    <sheetView topLeftCell="A7" zoomScale="95" zoomScaleNormal="95" workbookViewId="0">
      <selection activeCell="F22" sqref="F22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30" s="25" customFormat="1" ht="18" customHeight="1">
      <c r="B2" s="26" t="s">
        <v>1</v>
      </c>
      <c r="C2" s="27"/>
      <c r="E2" s="26" t="s">
        <v>2</v>
      </c>
      <c r="F2" s="30"/>
      <c r="G2" s="132">
        <v>46276</v>
      </c>
      <c r="L2" s="28"/>
      <c r="N2" s="26" t="s">
        <v>3</v>
      </c>
      <c r="O2" s="29"/>
      <c r="P2" s="30"/>
      <c r="Q2" s="30"/>
      <c r="R2" s="30"/>
      <c r="S2" s="30"/>
      <c r="T2" s="30"/>
    </row>
    <row r="3" spans="1:30" s="25" customFormat="1" ht="18" customHeight="1">
      <c r="A3" s="31"/>
      <c r="B3" s="26" t="s">
        <v>4</v>
      </c>
      <c r="C3" s="120" t="s">
        <v>516</v>
      </c>
      <c r="D3" s="121"/>
      <c r="E3" s="121"/>
      <c r="F3" s="121"/>
      <c r="G3" s="121"/>
      <c r="Q3" s="26" t="s">
        <v>5</v>
      </c>
      <c r="R3" s="29"/>
      <c r="S3" s="30"/>
      <c r="T3" s="30"/>
      <c r="U3" s="32"/>
    </row>
    <row r="4" spans="1:30" s="25" customFormat="1" ht="18" customHeight="1">
      <c r="B4" s="26" t="s">
        <v>6</v>
      </c>
      <c r="C4" s="33">
        <v>3</v>
      </c>
      <c r="D4" s="25" t="s">
        <v>7</v>
      </c>
      <c r="E4" s="26" t="s">
        <v>8</v>
      </c>
      <c r="F4" s="191" t="s">
        <v>86</v>
      </c>
      <c r="G4" s="30"/>
      <c r="H4" s="71" t="s">
        <v>71</v>
      </c>
      <c r="J4" s="26" t="s">
        <v>9</v>
      </c>
      <c r="K4" s="34" t="s">
        <v>58</v>
      </c>
      <c r="N4" s="26" t="s">
        <v>10</v>
      </c>
      <c r="O4" s="35"/>
    </row>
    <row r="5" spans="1:30" s="25" customFormat="1" ht="18" customHeight="1">
      <c r="C5" s="26" t="s">
        <v>11</v>
      </c>
      <c r="D5" s="27" t="s">
        <v>58</v>
      </c>
      <c r="E5" s="26" t="s">
        <v>12</v>
      </c>
      <c r="F5" s="36" t="s">
        <v>58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</row>
    <row r="6" spans="1:30" s="25" customFormat="1" ht="35.1" customHeight="1">
      <c r="C6" s="40" t="s">
        <v>18</v>
      </c>
      <c r="D6" s="175" t="s">
        <v>39</v>
      </c>
      <c r="E6" s="26" t="s">
        <v>19</v>
      </c>
      <c r="F6" s="181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</row>
    <row r="7" spans="1:30" s="25" customFormat="1" ht="15" customHeight="1">
      <c r="A7" s="26" t="s">
        <v>62</v>
      </c>
      <c r="B7" s="73" t="s">
        <v>0</v>
      </c>
      <c r="C7" s="76"/>
      <c r="D7" s="26" t="s">
        <v>63</v>
      </c>
      <c r="E7" s="74"/>
      <c r="F7" s="32"/>
      <c r="I7" s="26"/>
      <c r="J7" s="37"/>
      <c r="K7" s="32"/>
      <c r="L7" s="26"/>
      <c r="M7" s="32"/>
      <c r="N7" s="26"/>
      <c r="O7" s="42"/>
      <c r="Q7" s="26"/>
      <c r="R7" s="43"/>
    </row>
    <row r="8" spans="1:30" s="25" customFormat="1" ht="15" customHeight="1">
      <c r="A8" s="26" t="s">
        <v>64</v>
      </c>
      <c r="B8" s="73" t="s">
        <v>0</v>
      </c>
      <c r="C8" s="72"/>
      <c r="D8" s="26" t="s">
        <v>63</v>
      </c>
      <c r="E8" s="75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</row>
    <row r="9" spans="1:30" s="25" customFormat="1" ht="15" customHeight="1">
      <c r="A9" s="26" t="s">
        <v>65</v>
      </c>
      <c r="B9" s="73" t="s">
        <v>0</v>
      </c>
      <c r="C9" s="72"/>
      <c r="D9" s="26" t="s">
        <v>63</v>
      </c>
      <c r="E9" s="75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</row>
    <row r="10" spans="1:30" s="25" customFormat="1" ht="15" customHeight="1">
      <c r="A10" s="26" t="s">
        <v>66</v>
      </c>
      <c r="B10" s="73" t="s">
        <v>0</v>
      </c>
      <c r="C10" s="72"/>
      <c r="D10" s="26" t="s">
        <v>63</v>
      </c>
      <c r="E10" s="75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</row>
    <row r="11" spans="1:30" s="25" customFormat="1" ht="15" customHeight="1">
      <c r="A11" s="26" t="s">
        <v>67</v>
      </c>
      <c r="B11" s="73" t="s">
        <v>0</v>
      </c>
      <c r="C11" s="72"/>
      <c r="D11" s="26" t="s">
        <v>63</v>
      </c>
      <c r="E11" s="75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50</v>
      </c>
      <c r="W12" s="15" t="s">
        <v>51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176" t="s">
        <v>0</v>
      </c>
      <c r="E13" s="53" t="s">
        <v>27</v>
      </c>
      <c r="F13" s="176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56</v>
      </c>
      <c r="W13" s="15" t="s">
        <v>57</v>
      </c>
    </row>
    <row r="14" spans="1:30" s="67" customFormat="1" ht="18" customHeight="1">
      <c r="A14" s="60" t="s">
        <v>532</v>
      </c>
      <c r="B14" s="61">
        <v>1</v>
      </c>
      <c r="C14" s="164" t="s">
        <v>528</v>
      </c>
      <c r="D14" s="184">
        <v>4416</v>
      </c>
      <c r="E14" s="91" t="s">
        <v>706</v>
      </c>
      <c r="F14" s="193">
        <v>58525</v>
      </c>
      <c r="G14" s="112" t="s">
        <v>529</v>
      </c>
      <c r="H14" s="22"/>
      <c r="I14" s="22"/>
      <c r="J14" s="62" t="str">
        <f t="shared" ref="J14:J45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e">
        <v>#N/A</v>
      </c>
      <c r="W14" s="69" t="e">
        <v>#N/A</v>
      </c>
      <c r="Y14" t="s">
        <v>251</v>
      </c>
      <c r="Z14">
        <v>4416</v>
      </c>
      <c r="AA14" t="s">
        <v>250</v>
      </c>
      <c r="AB14"/>
      <c r="AC14"/>
    </row>
    <row r="15" spans="1:30" s="67" customFormat="1" ht="18" customHeight="1">
      <c r="A15" s="60"/>
      <c r="B15" s="61">
        <v>2</v>
      </c>
      <c r="C15" s="166" t="s">
        <v>556</v>
      </c>
      <c r="D15" s="187">
        <v>18717</v>
      </c>
      <c r="E15" s="90" t="s">
        <v>561</v>
      </c>
      <c r="F15" s="186" t="s">
        <v>560</v>
      </c>
      <c r="G15" s="87" t="s">
        <v>552</v>
      </c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v>#N/A</v>
      </c>
      <c r="W15" s="69" t="e">
        <v>#N/A</v>
      </c>
      <c r="Y15"/>
      <c r="Z15"/>
      <c r="AA15"/>
      <c r="AB15" t="s">
        <v>183</v>
      </c>
      <c r="AC15">
        <v>60744</v>
      </c>
      <c r="AD15" s="67" t="s">
        <v>270</v>
      </c>
    </row>
    <row r="16" spans="1:30" s="67" customFormat="1" ht="18" customHeight="1">
      <c r="A16" s="60" t="s">
        <v>532</v>
      </c>
      <c r="B16" s="61">
        <v>3</v>
      </c>
      <c r="C16" s="87" t="s">
        <v>184</v>
      </c>
      <c r="D16" s="187">
        <v>23529</v>
      </c>
      <c r="E16" s="167" t="s">
        <v>540</v>
      </c>
      <c r="F16" s="186" t="s">
        <v>125</v>
      </c>
      <c r="G16" s="100" t="s">
        <v>541</v>
      </c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s">
        <v>232</v>
      </c>
      <c r="W16" s="69" t="e">
        <v>#N/A</v>
      </c>
      <c r="Y16" t="s">
        <v>249</v>
      </c>
      <c r="Z16">
        <v>11802</v>
      </c>
      <c r="AA16" t="s">
        <v>248</v>
      </c>
      <c r="AB16" t="s">
        <v>141</v>
      </c>
      <c r="AC16">
        <v>61123</v>
      </c>
      <c r="AD16" s="67" t="s">
        <v>267</v>
      </c>
    </row>
    <row r="17" spans="1:30" s="67" customFormat="1" ht="18" customHeight="1">
      <c r="A17" s="60"/>
      <c r="B17" s="61">
        <v>4</v>
      </c>
      <c r="C17" s="119" t="s">
        <v>681</v>
      </c>
      <c r="D17" s="183">
        <v>34299</v>
      </c>
      <c r="E17" s="118" t="s">
        <v>682</v>
      </c>
      <c r="F17" s="183">
        <v>59843</v>
      </c>
      <c r="G17" s="122" t="s">
        <v>680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v>#N/A</v>
      </c>
      <c r="W17" s="69" t="e">
        <v>#N/A</v>
      </c>
      <c r="Y17" t="s">
        <v>241</v>
      </c>
      <c r="Z17">
        <v>11976</v>
      </c>
      <c r="AA17" t="s">
        <v>240</v>
      </c>
      <c r="AB17" t="s">
        <v>129</v>
      </c>
      <c r="AC17">
        <v>58347</v>
      </c>
      <c r="AD17" s="67" t="s">
        <v>271</v>
      </c>
    </row>
    <row r="18" spans="1:30" s="67" customFormat="1" ht="18" customHeight="1">
      <c r="A18" s="60"/>
      <c r="B18" s="61">
        <v>5</v>
      </c>
      <c r="C18" s="87" t="s">
        <v>621</v>
      </c>
      <c r="D18" s="187" t="s">
        <v>125</v>
      </c>
      <c r="E18" s="90" t="s">
        <v>622</v>
      </c>
      <c r="F18" s="186" t="s">
        <v>125</v>
      </c>
      <c r="G18" s="87" t="s">
        <v>623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e">
        <v>#N/A</v>
      </c>
      <c r="W18" s="69" t="e">
        <v>#N/A</v>
      </c>
      <c r="Y18" t="s">
        <v>258</v>
      </c>
      <c r="Z18">
        <v>13449</v>
      </c>
      <c r="AA18" t="s">
        <v>257</v>
      </c>
      <c r="AB18" t="s">
        <v>186</v>
      </c>
      <c r="AC18">
        <v>60944</v>
      </c>
      <c r="AD18" s="67" t="s">
        <v>269</v>
      </c>
    </row>
    <row r="19" spans="1:30" s="67" customFormat="1" ht="18" customHeight="1">
      <c r="A19" s="60" t="s">
        <v>532</v>
      </c>
      <c r="B19" s="61">
        <v>6</v>
      </c>
      <c r="C19" s="87" t="s">
        <v>531</v>
      </c>
      <c r="D19" s="187">
        <v>5665</v>
      </c>
      <c r="E19" s="90" t="s">
        <v>533</v>
      </c>
      <c r="F19" s="186">
        <v>58339</v>
      </c>
      <c r="G19" s="87" t="s">
        <v>529</v>
      </c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v>#N/A</v>
      </c>
      <c r="W19" s="69" t="e">
        <v>#N/A</v>
      </c>
      <c r="Y19" t="s">
        <v>241</v>
      </c>
      <c r="Z19">
        <v>11976</v>
      </c>
      <c r="AA19" t="s">
        <v>240</v>
      </c>
      <c r="AB19" t="s">
        <v>127</v>
      </c>
      <c r="AC19">
        <v>57349</v>
      </c>
      <c r="AD19" s="67" t="s">
        <v>268</v>
      </c>
    </row>
    <row r="20" spans="1:30" s="67" customFormat="1" ht="18" customHeight="1">
      <c r="A20" s="60"/>
      <c r="B20" s="61">
        <v>7</v>
      </c>
      <c r="C20" s="87" t="s">
        <v>546</v>
      </c>
      <c r="D20" s="186" t="s">
        <v>125</v>
      </c>
      <c r="E20" s="90" t="s">
        <v>547</v>
      </c>
      <c r="F20" s="197">
        <v>59867</v>
      </c>
      <c r="G20" s="87" t="s">
        <v>544</v>
      </c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v>#N/A</v>
      </c>
      <c r="W20" s="69" t="e">
        <v>#N/A</v>
      </c>
      <c r="Y20"/>
      <c r="Z20"/>
      <c r="AA20"/>
      <c r="AB20"/>
      <c r="AC20"/>
    </row>
    <row r="21" spans="1:30" s="67" customFormat="1" ht="18" customHeight="1">
      <c r="A21" s="60"/>
      <c r="B21" s="61">
        <v>8</v>
      </c>
      <c r="C21" s="112" t="s">
        <v>579</v>
      </c>
      <c r="D21" s="184" t="s">
        <v>125</v>
      </c>
      <c r="E21" s="90" t="s">
        <v>580</v>
      </c>
      <c r="F21" s="186">
        <v>57887</v>
      </c>
      <c r="G21" s="87" t="s">
        <v>575</v>
      </c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s">
        <v>232</v>
      </c>
      <c r="W21" s="69" t="e">
        <v>#N/A</v>
      </c>
      <c r="Y21" t="s">
        <v>184</v>
      </c>
      <c r="Z21">
        <v>23529</v>
      </c>
      <c r="AA21" t="s">
        <v>242</v>
      </c>
      <c r="AB21" t="s">
        <v>186</v>
      </c>
      <c r="AC21">
        <v>60944</v>
      </c>
      <c r="AD21" s="67" t="s">
        <v>269</v>
      </c>
    </row>
    <row r="22" spans="1:30" s="67" customFormat="1" ht="18" customHeight="1">
      <c r="A22" s="60" t="s">
        <v>532</v>
      </c>
      <c r="B22" s="61">
        <v>9</v>
      </c>
      <c r="C22" s="119" t="s">
        <v>624</v>
      </c>
      <c r="D22" s="183">
        <v>14546</v>
      </c>
      <c r="E22" s="119" t="s" ph="1">
        <v>627</v>
      </c>
      <c r="F22" s="183" t="s">
        <v>125</v>
      </c>
      <c r="G22" s="122" t="s">
        <v>626</v>
      </c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s">
        <v>232</v>
      </c>
      <c r="W22" s="69" t="e">
        <v>#N/A</v>
      </c>
      <c r="Y22" t="s">
        <v>255</v>
      </c>
      <c r="Z22">
        <v>13880</v>
      </c>
      <c r="AA22" t="s">
        <v>254</v>
      </c>
      <c r="AB22"/>
      <c r="AC22"/>
    </row>
    <row r="23" spans="1:30" s="67" customFormat="1" ht="18" customHeight="1">
      <c r="A23" s="60"/>
      <c r="B23" s="61">
        <v>10</v>
      </c>
      <c r="C23" s="95" t="s">
        <v>542</v>
      </c>
      <c r="D23" s="188">
        <v>32215</v>
      </c>
      <c r="E23" s="162" t="s">
        <v>540</v>
      </c>
      <c r="F23" s="193" t="s">
        <v>125</v>
      </c>
      <c r="G23" s="92" t="s">
        <v>541</v>
      </c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e">
        <v>#N/A</v>
      </c>
      <c r="W23" s="69" t="e">
        <v>#N/A</v>
      </c>
      <c r="Y23" t="s">
        <v>244</v>
      </c>
      <c r="Z23">
        <v>28711</v>
      </c>
      <c r="AA23" t="s">
        <v>243</v>
      </c>
      <c r="AB23"/>
      <c r="AC23"/>
    </row>
    <row r="24" spans="1:30" s="67" customFormat="1" ht="18" customHeight="1">
      <c r="A24" s="60"/>
      <c r="B24" s="61">
        <v>11</v>
      </c>
      <c r="C24" s="165" t="s">
        <v>556</v>
      </c>
      <c r="D24" s="188">
        <v>18717</v>
      </c>
      <c r="E24" s="91" t="s">
        <v>559</v>
      </c>
      <c r="F24" s="193" t="s">
        <v>560</v>
      </c>
      <c r="G24" s="92" t="s">
        <v>552</v>
      </c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e">
        <v>#N/A</v>
      </c>
      <c r="W24" s="69" t="e">
        <v>#N/A</v>
      </c>
      <c r="Y24" t="s">
        <v>184</v>
      </c>
      <c r="Z24">
        <v>23529</v>
      </c>
      <c r="AA24" t="s">
        <v>242</v>
      </c>
      <c r="AB24" t="s">
        <v>185</v>
      </c>
      <c r="AC24">
        <v>60111</v>
      </c>
      <c r="AD24" s="67" t="s">
        <v>272</v>
      </c>
    </row>
    <row r="25" spans="1:30" s="67" customFormat="1" ht="18" customHeight="1">
      <c r="A25" s="60"/>
      <c r="B25" s="61">
        <v>12</v>
      </c>
      <c r="C25" s="93" t="s">
        <v>668</v>
      </c>
      <c r="D25" s="202">
        <v>11976</v>
      </c>
      <c r="E25" s="91" t="s">
        <v>672</v>
      </c>
      <c r="F25" s="193" t="s">
        <v>125</v>
      </c>
      <c r="G25" s="112" t="s">
        <v>671</v>
      </c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e">
        <v>#N/A</v>
      </c>
      <c r="W25" s="69" t="e">
        <v>#N/A</v>
      </c>
      <c r="Y25" t="s">
        <v>260</v>
      </c>
      <c r="Z25">
        <v>33375</v>
      </c>
      <c r="AA25" t="s">
        <v>259</v>
      </c>
      <c r="AB25" t="s">
        <v>182</v>
      </c>
      <c r="AC25">
        <v>56840</v>
      </c>
      <c r="AD25" s="67" t="s">
        <v>274</v>
      </c>
    </row>
    <row r="26" spans="1:30" s="67" customFormat="1" ht="18" customHeight="1">
      <c r="A26" s="60" t="s">
        <v>532</v>
      </c>
      <c r="B26" s="61">
        <v>13</v>
      </c>
      <c r="C26" s="119" t="s">
        <v>621</v>
      </c>
      <c r="D26" s="190" t="s">
        <v>125</v>
      </c>
      <c r="E26" s="119" t="s">
        <v>630</v>
      </c>
      <c r="F26" s="194" t="s">
        <v>125</v>
      </c>
      <c r="G26" s="122" t="s">
        <v>631</v>
      </c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e">
        <v>#N/A</v>
      </c>
      <c r="W26" s="69" t="e">
        <v>#N/A</v>
      </c>
      <c r="Y26" t="s">
        <v>128</v>
      </c>
      <c r="Z26">
        <v>32786</v>
      </c>
      <c r="AA26" t="s">
        <v>256</v>
      </c>
      <c r="AB26" t="s">
        <v>127</v>
      </c>
      <c r="AC26">
        <v>57349</v>
      </c>
      <c r="AD26" s="67" t="s">
        <v>268</v>
      </c>
    </row>
    <row r="27" spans="1:30" s="67" customFormat="1" ht="18" customHeight="1">
      <c r="A27" s="60" t="s">
        <v>532</v>
      </c>
      <c r="B27" s="61">
        <v>14</v>
      </c>
      <c r="C27" s="163" t="s">
        <v>528</v>
      </c>
      <c r="D27" s="183">
        <v>4416</v>
      </c>
      <c r="E27" s="119" t="s">
        <v>534</v>
      </c>
      <c r="F27" s="183" t="s">
        <v>125</v>
      </c>
      <c r="G27" s="122" t="s">
        <v>535</v>
      </c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e">
        <v>#N/A</v>
      </c>
      <c r="W27" s="69" t="e">
        <v>#N/A</v>
      </c>
      <c r="Y27"/>
      <c r="Z27"/>
      <c r="AA27"/>
      <c r="AB27" t="s">
        <v>211</v>
      </c>
      <c r="AC27">
        <v>57478</v>
      </c>
      <c r="AD27" s="67" t="s">
        <v>273</v>
      </c>
    </row>
    <row r="28" spans="1:30" s="67" customFormat="1" ht="18" customHeight="1">
      <c r="A28" s="60"/>
      <c r="B28" s="61">
        <v>15</v>
      </c>
      <c r="C28" s="100" t="s">
        <v>605</v>
      </c>
      <c r="D28" s="203">
        <v>32313</v>
      </c>
      <c r="E28" s="99" t="s">
        <v>608</v>
      </c>
      <c r="F28" s="197" t="s">
        <v>125</v>
      </c>
      <c r="G28" s="98" t="s">
        <v>604</v>
      </c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e">
        <v>#N/A</v>
      </c>
      <c r="W28" s="69" t="e">
        <v>#N/A</v>
      </c>
      <c r="Y28" t="s">
        <v>253</v>
      </c>
      <c r="Z28">
        <v>5227</v>
      </c>
      <c r="AA28" t="s">
        <v>252</v>
      </c>
      <c r="AB28"/>
      <c r="AC28"/>
    </row>
    <row r="29" spans="1:30" s="67" customFormat="1" ht="18" customHeight="1">
      <c r="A29" s="60"/>
      <c r="B29" s="61">
        <v>16</v>
      </c>
      <c r="C29" s="119" t="s">
        <v>681</v>
      </c>
      <c r="D29" s="183">
        <v>34299</v>
      </c>
      <c r="E29" s="119" t="s">
        <v>685</v>
      </c>
      <c r="F29" s="183">
        <v>62092</v>
      </c>
      <c r="G29" s="122" t="s">
        <v>680</v>
      </c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e">
        <v>#N/A</v>
      </c>
      <c r="W29" s="69" t="e">
        <v>#N/A</v>
      </c>
      <c r="Y29"/>
      <c r="Z29"/>
      <c r="AA29"/>
      <c r="AB29" t="s">
        <v>142</v>
      </c>
      <c r="AC29">
        <v>58674</v>
      </c>
      <c r="AD29" s="67" t="s">
        <v>275</v>
      </c>
    </row>
    <row r="30" spans="1:30" s="67" customFormat="1" ht="18" customHeight="1">
      <c r="A30" s="60" t="s">
        <v>707</v>
      </c>
      <c r="B30" s="61">
        <v>17</v>
      </c>
      <c r="C30" s="100" t="s">
        <v>683</v>
      </c>
      <c r="D30" s="203" t="s">
        <v>125</v>
      </c>
      <c r="E30" s="90" t="s">
        <v>684</v>
      </c>
      <c r="F30" s="186">
        <v>61736</v>
      </c>
      <c r="G30" s="112" t="s">
        <v>680</v>
      </c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e">
        <v>#N/A</v>
      </c>
      <c r="W30" s="69" t="e">
        <v>#N/A</v>
      </c>
      <c r="Y30" t="s">
        <v>262</v>
      </c>
      <c r="Z30">
        <v>31288</v>
      </c>
      <c r="AA30" t="s">
        <v>261</v>
      </c>
      <c r="AB30"/>
      <c r="AC30"/>
    </row>
    <row r="31" spans="1:30" s="67" customFormat="1" ht="18" customHeight="1">
      <c r="A31" s="60"/>
      <c r="B31" s="61">
        <v>18</v>
      </c>
      <c r="C31" s="87"/>
      <c r="D31" s="187"/>
      <c r="E31" s="90"/>
      <c r="F31" s="186"/>
      <c r="G31" s="112"/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e">
        <v>#N/A</v>
      </c>
      <c r="W31" s="69" t="e">
        <v>#N/A</v>
      </c>
      <c r="Y31" t="s">
        <v>264</v>
      </c>
      <c r="Z31">
        <v>17971</v>
      </c>
      <c r="AA31" t="s">
        <v>263</v>
      </c>
      <c r="AB31" t="s">
        <v>162</v>
      </c>
      <c r="AC31">
        <v>58663</v>
      </c>
      <c r="AD31" s="67" t="s">
        <v>276</v>
      </c>
    </row>
    <row r="32" spans="1:30" s="67" customFormat="1" ht="18" customHeight="1">
      <c r="A32" s="60"/>
      <c r="B32" s="61">
        <v>19</v>
      </c>
      <c r="C32" s="94"/>
      <c r="D32" s="205"/>
      <c r="E32" s="90"/>
      <c r="F32" s="186"/>
      <c r="G32" s="88"/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e">
        <v>#N/A</v>
      </c>
      <c r="W32" s="69" t="e">
        <v>#N/A</v>
      </c>
      <c r="Y32" t="s">
        <v>251</v>
      </c>
      <c r="Z32">
        <v>4416</v>
      </c>
      <c r="AA32" t="s">
        <v>250</v>
      </c>
      <c r="AB32" t="s">
        <v>158</v>
      </c>
      <c r="AC32">
        <v>59173</v>
      </c>
      <c r="AD32" s="67" t="s">
        <v>277</v>
      </c>
    </row>
    <row r="33" spans="1:30" s="67" customFormat="1" ht="18" customHeight="1">
      <c r="A33" s="60"/>
      <c r="B33" s="61">
        <v>20</v>
      </c>
      <c r="C33" s="119"/>
      <c r="D33" s="190"/>
      <c r="E33" s="92"/>
      <c r="F33" s="193"/>
      <c r="G33" s="112"/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e">
        <v>#N/A</v>
      </c>
      <c r="W33" s="69" t="e">
        <v>#N/A</v>
      </c>
      <c r="Y33" t="s">
        <v>253</v>
      </c>
      <c r="Z33">
        <v>5227</v>
      </c>
      <c r="AA33" t="s">
        <v>252</v>
      </c>
      <c r="AB33"/>
      <c r="AC33"/>
    </row>
    <row r="34" spans="1:30" s="67" customFormat="1" ht="18" customHeight="1">
      <c r="A34" s="60"/>
      <c r="B34" s="61">
        <v>21</v>
      </c>
      <c r="C34" s="87"/>
      <c r="D34" s="188"/>
      <c r="E34" s="90"/>
      <c r="F34" s="186"/>
      <c r="G34" s="87"/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e">
        <v>#N/A</v>
      </c>
      <c r="W34" s="69" t="e">
        <v>#N/A</v>
      </c>
      <c r="Y34" t="s">
        <v>266</v>
      </c>
      <c r="Z34">
        <v>32215</v>
      </c>
      <c r="AA34" t="s">
        <v>265</v>
      </c>
      <c r="AB34" t="s">
        <v>185</v>
      </c>
      <c r="AC34">
        <v>60111</v>
      </c>
      <c r="AD34" s="67" t="s">
        <v>272</v>
      </c>
    </row>
    <row r="35" spans="1:30" s="67" customFormat="1" ht="18" customHeight="1">
      <c r="A35" s="60"/>
      <c r="B35" s="61">
        <v>22</v>
      </c>
      <c r="C35" s="112"/>
      <c r="D35" s="184"/>
      <c r="E35" s="91"/>
      <c r="F35" s="193"/>
      <c r="G35" s="112"/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e">
        <v>#N/A</v>
      </c>
      <c r="W35" s="69" t="e">
        <v>#N/A</v>
      </c>
      <c r="Y35" t="s">
        <v>244</v>
      </c>
      <c r="Z35">
        <v>28711</v>
      </c>
      <c r="AA35" t="s">
        <v>243</v>
      </c>
      <c r="AB35"/>
      <c r="AC35"/>
    </row>
    <row r="36" spans="1:30" s="67" customFormat="1" ht="18" customHeight="1">
      <c r="A36" s="60"/>
      <c r="B36" s="61">
        <v>23</v>
      </c>
      <c r="C36" s="112"/>
      <c r="D36" s="188"/>
      <c r="E36" s="91"/>
      <c r="F36" s="188"/>
      <c r="G36" s="112"/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">
        <v>232</v>
      </c>
      <c r="W36" s="69" t="e">
        <v>#N/A</v>
      </c>
      <c r="Y36" t="s">
        <v>184</v>
      </c>
      <c r="Z36">
        <v>23529</v>
      </c>
      <c r="AA36" t="s">
        <v>242</v>
      </c>
      <c r="AB36"/>
      <c r="AC36"/>
    </row>
    <row r="37" spans="1:30" s="67" customFormat="1" ht="18" customHeight="1">
      <c r="A37" s="60"/>
      <c r="B37" s="61">
        <v>24</v>
      </c>
      <c r="C37" s="87"/>
      <c r="D37" s="193"/>
      <c r="E37" s="99"/>
      <c r="F37" s="197"/>
      <c r="G37" s="100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e">
        <v>#N/A</v>
      </c>
      <c r="W37" s="69" t="e">
        <v>#N/A</v>
      </c>
      <c r="Y37" t="s">
        <v>241</v>
      </c>
      <c r="Z37">
        <v>11976</v>
      </c>
      <c r="AA37" t="s">
        <v>240</v>
      </c>
      <c r="AB37"/>
      <c r="AC37"/>
    </row>
    <row r="38" spans="1:30" s="67" customFormat="1" ht="18" customHeight="1">
      <c r="A38" s="60"/>
      <c r="B38" s="61">
        <v>25</v>
      </c>
      <c r="C38" s="119"/>
      <c r="D38" s="190"/>
      <c r="E38" s="119"/>
      <c r="F38" s="194"/>
      <c r="G38" s="122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">
        <v>68</v>
      </c>
      <c r="W38" s="69" t="s">
        <v>68</v>
      </c>
      <c r="Y38"/>
      <c r="Z38"/>
      <c r="AA38"/>
      <c r="AB38"/>
      <c r="AC38"/>
    </row>
    <row r="39" spans="1:30" s="67" customFormat="1" ht="18" customHeight="1">
      <c r="A39" s="60"/>
      <c r="B39" s="61">
        <v>26</v>
      </c>
      <c r="C39" s="119"/>
      <c r="D39" s="190"/>
      <c r="E39" s="119"/>
      <c r="F39" s="194"/>
      <c r="G39" s="122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">
        <v>68</v>
      </c>
      <c r="W39" s="69" t="s">
        <v>68</v>
      </c>
      <c r="Y39"/>
      <c r="Z39"/>
      <c r="AA39"/>
      <c r="AB39"/>
      <c r="AC39"/>
    </row>
    <row r="40" spans="1:30" s="67" customFormat="1" ht="18" customHeight="1">
      <c r="A40" s="60"/>
      <c r="B40" s="61">
        <v>27</v>
      </c>
      <c r="C40" s="119"/>
      <c r="D40" s="190"/>
      <c r="E40" s="119"/>
      <c r="F40" s="194"/>
      <c r="G40" s="122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">
        <v>68</v>
      </c>
      <c r="W40" s="69" t="s">
        <v>68</v>
      </c>
      <c r="Y40"/>
      <c r="Z40"/>
      <c r="AA40"/>
      <c r="AB40"/>
      <c r="AC40"/>
    </row>
    <row r="41" spans="1:30" s="67" customFormat="1" ht="18" customHeight="1">
      <c r="A41" s="60"/>
      <c r="B41" s="61">
        <v>28</v>
      </c>
      <c r="C41" s="119"/>
      <c r="D41" s="190"/>
      <c r="E41" s="119"/>
      <c r="F41" s="194"/>
      <c r="G41" s="122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">
        <v>68</v>
      </c>
      <c r="W41" s="69" t="s">
        <v>68</v>
      </c>
      <c r="Y41"/>
      <c r="Z41"/>
      <c r="AA41"/>
      <c r="AB41"/>
      <c r="AC41"/>
    </row>
    <row r="42" spans="1:30" s="67" customFormat="1" ht="18" customHeight="1">
      <c r="A42" s="60"/>
      <c r="B42" s="61">
        <v>29</v>
      </c>
      <c r="C42" s="119"/>
      <c r="D42" s="190"/>
      <c r="E42" s="119"/>
      <c r="F42" s="194"/>
      <c r="G42" s="122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">
        <v>68</v>
      </c>
      <c r="W42" s="69" t="s">
        <v>68</v>
      </c>
      <c r="Y42"/>
      <c r="Z42"/>
      <c r="AA42"/>
      <c r="AB42"/>
      <c r="AC42"/>
    </row>
    <row r="43" spans="1:30" s="67" customFormat="1" ht="18" customHeight="1">
      <c r="A43" s="60"/>
      <c r="B43" s="61">
        <v>30</v>
      </c>
      <c r="C43" s="119"/>
      <c r="D43" s="190"/>
      <c r="E43" s="119"/>
      <c r="F43" s="194"/>
      <c r="G43" s="122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">
        <v>68</v>
      </c>
      <c r="W43" s="69" t="s">
        <v>68</v>
      </c>
      <c r="Y43"/>
      <c r="Z43"/>
      <c r="AA43"/>
      <c r="AB43"/>
      <c r="AC43"/>
    </row>
    <row r="44" spans="1:30" s="67" customFormat="1" ht="18" customHeight="1">
      <c r="A44" s="60"/>
      <c r="B44" s="61"/>
      <c r="C44" s="119"/>
      <c r="D44" s="190"/>
      <c r="E44" s="119"/>
      <c r="F44" s="194"/>
      <c r="G44" s="122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">
        <v>68</v>
      </c>
      <c r="W44" s="69" t="s">
        <v>68</v>
      </c>
      <c r="Y44"/>
      <c r="Z44"/>
      <c r="AA44"/>
      <c r="AB44"/>
      <c r="AC44"/>
    </row>
    <row r="45" spans="1:30" s="67" customFormat="1" ht="18" customHeight="1">
      <c r="A45" s="60"/>
      <c r="B45" s="61"/>
      <c r="C45" s="119"/>
      <c r="D45" s="190"/>
      <c r="E45" s="119"/>
      <c r="F45" s="194"/>
      <c r="G45" s="122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">
        <v>68</v>
      </c>
      <c r="W45" s="69" t="s">
        <v>68</v>
      </c>
      <c r="Y45"/>
      <c r="Z45"/>
      <c r="AA45"/>
      <c r="AB45"/>
      <c r="AC45"/>
    </row>
    <row r="46" spans="1:30" s="67" customFormat="1" ht="18" customHeight="1">
      <c r="A46" s="60"/>
      <c r="B46" s="61"/>
      <c r="C46" s="119"/>
      <c r="D46" s="190"/>
      <c r="E46" s="119"/>
      <c r="F46" s="194"/>
      <c r="G46" s="122"/>
      <c r="H46" s="22"/>
      <c r="I46" s="22"/>
      <c r="J46" s="62" t="str">
        <f t="shared" ref="J46:J77" si="4">IF(H46="","",H46+I46)</f>
        <v/>
      </c>
      <c r="K46" s="63"/>
      <c r="L46" s="63"/>
      <c r="M46" s="64" t="str">
        <f t="shared" ref="M46:M77" si="5">IF(L46="","",K46+L46)</f>
        <v/>
      </c>
      <c r="N46" s="22"/>
      <c r="O46" s="22"/>
      <c r="P46" s="62" t="str">
        <f t="shared" ref="P46:P77" si="6">IF(N46="","",N46+O46)</f>
        <v/>
      </c>
      <c r="Q46" s="63"/>
      <c r="R46" s="63"/>
      <c r="S46" s="64" t="str">
        <f t="shared" ref="S46:S77" si="7">IF(R46="","",Q46+R46)</f>
        <v/>
      </c>
      <c r="T46" s="65"/>
      <c r="U46" s="66"/>
      <c r="V46" s="18" t="s">
        <v>68</v>
      </c>
      <c r="W46" s="69" t="s">
        <v>68</v>
      </c>
      <c r="Y46"/>
      <c r="Z46"/>
      <c r="AA46"/>
      <c r="AB46"/>
      <c r="AC46"/>
    </row>
    <row r="47" spans="1:30" s="67" customFormat="1" ht="18" customHeight="1">
      <c r="A47" s="60"/>
      <c r="B47" s="61"/>
      <c r="C47" s="119"/>
      <c r="D47" s="190"/>
      <c r="E47" s="119"/>
      <c r="F47" s="194"/>
      <c r="G47" s="122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">
        <v>68</v>
      </c>
      <c r="W47" s="69" t="s">
        <v>68</v>
      </c>
      <c r="Y47"/>
      <c r="Z47"/>
      <c r="AA47"/>
      <c r="AB47"/>
      <c r="AC47"/>
    </row>
    <row r="48" spans="1:30" s="67" customFormat="1" ht="18" customHeight="1">
      <c r="A48" s="60"/>
      <c r="B48" s="61"/>
      <c r="C48" s="119"/>
      <c r="D48" s="190"/>
      <c r="E48" s="119"/>
      <c r="F48" s="194"/>
      <c r="G48" s="122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">
        <v>68</v>
      </c>
      <c r="W48" s="69" t="s">
        <v>68</v>
      </c>
      <c r="Y48"/>
      <c r="Z48"/>
      <c r="AA48"/>
      <c r="AB48"/>
      <c r="AC48"/>
    </row>
    <row r="49" spans="1:29" s="67" customFormat="1" ht="18" customHeight="1">
      <c r="A49" s="60"/>
      <c r="B49" s="61"/>
      <c r="C49" s="119"/>
      <c r="D49" s="190"/>
      <c r="E49" s="119"/>
      <c r="F49" s="194"/>
      <c r="G49" s="122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">
        <v>68</v>
      </c>
      <c r="W49" s="69" t="s">
        <v>68</v>
      </c>
      <c r="Y49"/>
      <c r="Z49"/>
      <c r="AA49"/>
      <c r="AB49"/>
      <c r="AC49"/>
    </row>
    <row r="50" spans="1:29" s="67" customFormat="1" ht="18" customHeight="1">
      <c r="A50" s="60"/>
      <c r="B50" s="61"/>
      <c r="C50" s="119"/>
      <c r="D50" s="190"/>
      <c r="E50" s="119"/>
      <c r="F50" s="194"/>
      <c r="G50" s="122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">
        <v>68</v>
      </c>
      <c r="W50" s="69" t="s">
        <v>68</v>
      </c>
      <c r="Y50"/>
      <c r="Z50"/>
      <c r="AA50"/>
      <c r="AB50"/>
      <c r="AC50"/>
    </row>
    <row r="51" spans="1:29" s="67" customFormat="1" ht="18" customHeight="1">
      <c r="A51" s="60"/>
      <c r="B51" s="61"/>
      <c r="C51" s="119"/>
      <c r="D51" s="190"/>
      <c r="E51" s="119"/>
      <c r="F51" s="194"/>
      <c r="G51" s="122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">
        <v>68</v>
      </c>
      <c r="W51" s="69" t="s">
        <v>68</v>
      </c>
      <c r="Y51"/>
      <c r="Z51"/>
      <c r="AA51"/>
      <c r="AB51"/>
      <c r="AC51"/>
    </row>
    <row r="52" spans="1:29" s="67" customFormat="1" ht="18" customHeight="1">
      <c r="A52" s="60"/>
      <c r="B52" s="61"/>
      <c r="C52" s="119"/>
      <c r="D52" s="190"/>
      <c r="E52" s="119"/>
      <c r="F52" s="194"/>
      <c r="G52" s="122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">
        <v>68</v>
      </c>
      <c r="W52" s="69" t="s">
        <v>68</v>
      </c>
      <c r="Y52"/>
      <c r="Z52"/>
      <c r="AA52"/>
      <c r="AB52"/>
      <c r="AC52"/>
    </row>
    <row r="53" spans="1:29" s="67" customFormat="1" ht="18" customHeight="1">
      <c r="A53" s="60"/>
      <c r="B53" s="61"/>
      <c r="C53" s="119"/>
      <c r="D53" s="190"/>
      <c r="E53" s="119"/>
      <c r="F53" s="194"/>
      <c r="G53" s="122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">
        <v>68</v>
      </c>
      <c r="W53" s="69" t="s">
        <v>68</v>
      </c>
      <c r="Y53"/>
      <c r="Z53"/>
      <c r="AA53"/>
      <c r="AB53"/>
      <c r="AC53"/>
    </row>
    <row r="54" spans="1:29" s="67" customFormat="1" ht="18" customHeight="1">
      <c r="A54" s="60"/>
      <c r="B54" s="61"/>
      <c r="C54" s="119"/>
      <c r="D54" s="190"/>
      <c r="E54" s="119"/>
      <c r="F54" s="194"/>
      <c r="G54" s="122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">
        <v>68</v>
      </c>
      <c r="W54" s="69" t="s">
        <v>68</v>
      </c>
      <c r="Y54"/>
      <c r="Z54"/>
      <c r="AA54"/>
      <c r="AB54"/>
      <c r="AC54"/>
    </row>
    <row r="55" spans="1:29" s="67" customFormat="1" ht="18" customHeight="1">
      <c r="A55" s="60"/>
      <c r="B55" s="61"/>
      <c r="C55" s="119"/>
      <c r="D55" s="190"/>
      <c r="E55" s="119"/>
      <c r="F55" s="194"/>
      <c r="G55" s="122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">
        <v>68</v>
      </c>
      <c r="W55" s="69" t="s">
        <v>68</v>
      </c>
      <c r="Y55"/>
      <c r="Z55"/>
      <c r="AA55"/>
      <c r="AB55"/>
      <c r="AC55"/>
    </row>
    <row r="56" spans="1:29" s="67" customFormat="1" ht="18" customHeight="1">
      <c r="A56" s="60"/>
      <c r="B56" s="61"/>
      <c r="C56" s="119"/>
      <c r="D56" s="190"/>
      <c r="E56" s="119"/>
      <c r="F56" s="194"/>
      <c r="G56" s="122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">
        <v>68</v>
      </c>
      <c r="W56" s="69" t="s">
        <v>68</v>
      </c>
      <c r="Y56"/>
      <c r="Z56"/>
      <c r="AA56"/>
      <c r="AB56"/>
      <c r="AC56"/>
    </row>
    <row r="57" spans="1:29" s="67" customFormat="1" ht="18" customHeight="1">
      <c r="A57" s="60"/>
      <c r="B57" s="61"/>
      <c r="C57" s="119"/>
      <c r="D57" s="190"/>
      <c r="E57" s="119"/>
      <c r="F57" s="194"/>
      <c r="G57" s="122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">
        <v>68</v>
      </c>
      <c r="W57" s="69" t="s">
        <v>68</v>
      </c>
      <c r="Y57"/>
      <c r="Z57"/>
      <c r="AA57"/>
      <c r="AB57"/>
      <c r="AC57"/>
    </row>
    <row r="58" spans="1:29" s="67" customFormat="1" ht="18" customHeight="1">
      <c r="A58" s="60"/>
      <c r="B58" s="61"/>
      <c r="C58" s="21"/>
      <c r="D58" s="180" t="s">
        <v>68</v>
      </c>
      <c r="E58" s="21"/>
      <c r="F58" s="195" t="s">
        <v>68</v>
      </c>
      <c r="G58" s="23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">
        <v>68</v>
      </c>
      <c r="W58" s="69" t="s">
        <v>68</v>
      </c>
      <c r="Y58"/>
      <c r="Z58"/>
      <c r="AA58"/>
      <c r="AB58"/>
      <c r="AC58"/>
    </row>
    <row r="59" spans="1:29" s="67" customFormat="1" ht="18" customHeight="1">
      <c r="A59" s="60"/>
      <c r="B59" s="61"/>
      <c r="C59" s="21"/>
      <c r="D59" s="180" t="s">
        <v>68</v>
      </c>
      <c r="E59" s="21"/>
      <c r="F59" s="195" t="s">
        <v>68</v>
      </c>
      <c r="G59" s="23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">
        <v>68</v>
      </c>
      <c r="W59" s="69" t="s">
        <v>68</v>
      </c>
      <c r="Y59"/>
      <c r="Z59"/>
      <c r="AA59"/>
      <c r="AB59"/>
      <c r="AC59"/>
    </row>
    <row r="60" spans="1:29" s="67" customFormat="1" ht="18" customHeight="1">
      <c r="A60" s="60"/>
      <c r="B60" s="61"/>
      <c r="C60" s="21"/>
      <c r="D60" s="180" t="s">
        <v>68</v>
      </c>
      <c r="E60" s="21"/>
      <c r="F60" s="195" t="s">
        <v>68</v>
      </c>
      <c r="G60" s="23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">
        <v>68</v>
      </c>
      <c r="W60" s="69" t="s">
        <v>68</v>
      </c>
      <c r="Y60"/>
      <c r="Z60"/>
      <c r="AA60"/>
      <c r="AB60"/>
      <c r="AC60"/>
    </row>
    <row r="61" spans="1:29" s="67" customFormat="1" ht="18" customHeight="1">
      <c r="A61" s="60"/>
      <c r="B61" s="61"/>
      <c r="C61" s="21"/>
      <c r="D61" s="180" t="s">
        <v>68</v>
      </c>
      <c r="E61" s="21"/>
      <c r="F61" s="195" t="s">
        <v>68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">
        <v>68</v>
      </c>
      <c r="W61" s="69" t="s">
        <v>68</v>
      </c>
      <c r="Y61"/>
      <c r="Z61"/>
      <c r="AA61"/>
      <c r="AB61"/>
      <c r="AC61"/>
    </row>
    <row r="62" spans="1:29" s="67" customFormat="1" ht="18" customHeight="1">
      <c r="A62" s="60"/>
      <c r="B62" s="61"/>
      <c r="C62" s="21"/>
      <c r="D62" s="180" t="s">
        <v>68</v>
      </c>
      <c r="E62" s="21"/>
      <c r="F62" s="195" t="s">
        <v>68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">
        <v>68</v>
      </c>
      <c r="W62" s="69" t="s">
        <v>68</v>
      </c>
      <c r="Y62"/>
      <c r="Z62"/>
      <c r="AA62"/>
      <c r="AB62"/>
      <c r="AC62"/>
    </row>
    <row r="63" spans="1:29" s="67" customFormat="1" ht="18" customHeight="1">
      <c r="A63" s="60"/>
      <c r="B63" s="61"/>
      <c r="C63" s="21"/>
      <c r="D63" s="180" t="s">
        <v>68</v>
      </c>
      <c r="E63" s="21"/>
      <c r="F63" s="195" t="s">
        <v>68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">
        <v>68</v>
      </c>
      <c r="W63" s="69" t="s">
        <v>68</v>
      </c>
      <c r="Y63"/>
      <c r="Z63"/>
      <c r="AA63"/>
      <c r="AB63"/>
      <c r="AC63"/>
    </row>
    <row r="64" spans="1:29" s="67" customFormat="1" ht="18" customHeight="1">
      <c r="A64" s="60"/>
      <c r="B64" s="61"/>
      <c r="C64" s="21"/>
      <c r="D64" s="180" t="s">
        <v>68</v>
      </c>
      <c r="E64" s="21"/>
      <c r="F64" s="195" t="s">
        <v>68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">
        <v>68</v>
      </c>
      <c r="W64" s="69" t="s">
        <v>68</v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180" t="s">
        <v>68</v>
      </c>
      <c r="E65" s="21"/>
      <c r="F65" s="195" t="s">
        <v>68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">
        <v>68</v>
      </c>
      <c r="W65" s="69" t="s">
        <v>68</v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180" t="s">
        <v>68</v>
      </c>
      <c r="E66" s="21"/>
      <c r="F66" s="195" t="s">
        <v>68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">
        <v>68</v>
      </c>
      <c r="W66" s="69" t="s">
        <v>68</v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180" t="s">
        <v>68</v>
      </c>
      <c r="E67" s="21"/>
      <c r="F67" s="195" t="s">
        <v>68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">
        <v>68</v>
      </c>
      <c r="W67" s="69" t="s">
        <v>68</v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180" t="s">
        <v>68</v>
      </c>
      <c r="E68" s="21"/>
      <c r="F68" s="195" t="s">
        <v>68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">
        <v>68</v>
      </c>
      <c r="W68" s="69" t="s">
        <v>68</v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180" t="s">
        <v>68</v>
      </c>
      <c r="E69" s="21"/>
      <c r="F69" s="195" t="s">
        <v>68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">
        <v>68</v>
      </c>
      <c r="W69" s="69" t="s">
        <v>68</v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180" t="s">
        <v>68</v>
      </c>
      <c r="E70" s="21"/>
      <c r="F70" s="195" t="s">
        <v>68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">
        <v>68</v>
      </c>
      <c r="W70" s="69" t="s">
        <v>68</v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180" t="s">
        <v>68</v>
      </c>
      <c r="E71" s="21"/>
      <c r="F71" s="195" t="s">
        <v>68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">
        <v>68</v>
      </c>
      <c r="W71" s="69" t="s">
        <v>68</v>
      </c>
      <c r="Y71"/>
      <c r="Z71"/>
      <c r="AA71"/>
      <c r="AB71"/>
      <c r="AC71"/>
    </row>
    <row r="72" spans="1:29" s="67" customFormat="1" ht="18" customHeight="1">
      <c r="A72" s="60"/>
      <c r="B72" s="61"/>
      <c r="C72" s="21"/>
      <c r="D72" s="180" t="s">
        <v>68</v>
      </c>
      <c r="E72" s="21"/>
      <c r="F72" s="195" t="s">
        <v>68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">
        <v>68</v>
      </c>
      <c r="W72" s="69" t="s">
        <v>68</v>
      </c>
      <c r="Y72"/>
      <c r="Z72"/>
      <c r="AA72"/>
      <c r="AB72"/>
      <c r="AC72"/>
    </row>
    <row r="73" spans="1:29" s="67" customFormat="1" ht="18" customHeight="1">
      <c r="A73" s="60"/>
      <c r="B73" s="61"/>
      <c r="C73" s="21"/>
      <c r="D73" s="180" t="s">
        <v>68</v>
      </c>
      <c r="E73" s="21"/>
      <c r="F73" s="195" t="s">
        <v>68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">
        <v>68</v>
      </c>
      <c r="W73" s="69" t="s">
        <v>68</v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W13" xr:uid="{00000000-0001-0000-0D00-000000000000}">
    <sortState xmlns:xlrd2="http://schemas.microsoft.com/office/spreadsheetml/2017/richdata2" ref="A14:W73">
      <sortCondition ref="B13"/>
    </sortState>
  </autoFilter>
  <sortState xmlns:xlrd2="http://schemas.microsoft.com/office/spreadsheetml/2017/richdata2" ref="A14:AD28">
    <sortCondition ref="B14:B28"/>
  </sortState>
  <phoneticPr fontId="29"/>
  <conditionalFormatting sqref="V14:V73">
    <cfRule type="cellIs" dxfId="31" priority="4" stopIfTrue="1" operator="notBetween">
      <formula>"A"</formula>
      <formula>"Ｂ"</formula>
    </cfRule>
  </conditionalFormatting>
  <conditionalFormatting sqref="W14:W73">
    <cfRule type="cellIs" dxfId="30" priority="3" stopIfTrue="1" operator="between">
      <formula>"-"</formula>
      <formula>"申請中"</formula>
    </cfRule>
  </conditionalFormatting>
  <conditionalFormatting sqref="Y14:Z73">
    <cfRule type="expression" dxfId="29" priority="2">
      <formula>Y14&lt;&gt;C14</formula>
    </cfRule>
  </conditionalFormatting>
  <conditionalFormatting sqref="AB14:AC73">
    <cfRule type="expression" dxfId="28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213360</xdr:colOff>
                    <xdr:row>5</xdr:row>
                    <xdr:rowOff>259080</xdr:rowOff>
                  </from>
                  <to>
                    <xdr:col>27</xdr:col>
                    <xdr:colOff>365760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C000"/>
  </sheetPr>
  <dimension ref="A1:AD201"/>
  <sheetViews>
    <sheetView topLeftCell="A4" workbookViewId="0">
      <selection activeCell="D19" sqref="D19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30" s="25" customFormat="1" ht="18" customHeight="1">
      <c r="B2" s="26" t="s">
        <v>1</v>
      </c>
      <c r="C2" s="27"/>
      <c r="E2" s="26" t="s">
        <v>2</v>
      </c>
      <c r="F2" s="30"/>
      <c r="G2" s="132">
        <v>46276</v>
      </c>
      <c r="L2" s="28"/>
      <c r="N2" s="26" t="s">
        <v>3</v>
      </c>
      <c r="O2" s="29"/>
      <c r="P2" s="30"/>
      <c r="Q2" s="30"/>
      <c r="R2" s="30"/>
      <c r="S2" s="30"/>
      <c r="T2" s="30"/>
    </row>
    <row r="3" spans="1:30" s="25" customFormat="1" ht="18" customHeight="1">
      <c r="A3" s="31"/>
      <c r="B3" s="26" t="s">
        <v>4</v>
      </c>
      <c r="C3" s="120" t="s">
        <v>516</v>
      </c>
      <c r="D3" s="121"/>
      <c r="E3" s="121"/>
      <c r="F3" s="121"/>
      <c r="G3" s="121"/>
      <c r="Q3" s="26" t="s">
        <v>5</v>
      </c>
      <c r="R3" s="29"/>
      <c r="S3" s="30"/>
      <c r="T3" s="30"/>
      <c r="U3" s="32"/>
    </row>
    <row r="4" spans="1:30" s="25" customFormat="1" ht="18" customHeight="1">
      <c r="B4" s="26" t="s">
        <v>6</v>
      </c>
      <c r="C4" s="33">
        <v>4</v>
      </c>
      <c r="D4" s="25" t="s">
        <v>7</v>
      </c>
      <c r="E4" s="26" t="s">
        <v>8</v>
      </c>
      <c r="F4" s="191" t="s">
        <v>85</v>
      </c>
      <c r="G4" s="30"/>
      <c r="H4" s="71" t="s">
        <v>59</v>
      </c>
      <c r="J4" s="26" t="s">
        <v>9</v>
      </c>
      <c r="K4" s="34" t="s">
        <v>72</v>
      </c>
      <c r="N4" s="26" t="s">
        <v>10</v>
      </c>
      <c r="O4" s="35"/>
    </row>
    <row r="5" spans="1:30" s="25" customFormat="1" ht="18" customHeight="1">
      <c r="C5" s="26" t="s">
        <v>11</v>
      </c>
      <c r="D5" s="27" t="s">
        <v>72</v>
      </c>
      <c r="E5" s="26" t="s">
        <v>12</v>
      </c>
      <c r="F5" s="36" t="s">
        <v>58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</row>
    <row r="6" spans="1:30" s="25" customFormat="1" ht="35.1" customHeight="1">
      <c r="C6" s="40" t="s">
        <v>18</v>
      </c>
      <c r="D6" s="175" t="s">
        <v>39</v>
      </c>
      <c r="E6" s="26" t="s">
        <v>19</v>
      </c>
      <c r="F6" s="181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</row>
    <row r="7" spans="1:30" s="25" customFormat="1" ht="15" customHeight="1">
      <c r="A7" s="26" t="s">
        <v>62</v>
      </c>
      <c r="B7" s="73" t="s">
        <v>0</v>
      </c>
      <c r="C7" s="76"/>
      <c r="D7" s="26" t="s">
        <v>63</v>
      </c>
      <c r="E7" s="74"/>
      <c r="F7" s="32"/>
      <c r="I7" s="26"/>
      <c r="J7" s="37"/>
      <c r="K7" s="32"/>
      <c r="L7" s="26"/>
      <c r="M7" s="32"/>
      <c r="N7" s="26"/>
      <c r="O7" s="42"/>
      <c r="Q7" s="26"/>
      <c r="R7" s="43"/>
    </row>
    <row r="8" spans="1:30" s="25" customFormat="1" ht="15" customHeight="1">
      <c r="A8" s="26" t="s">
        <v>64</v>
      </c>
      <c r="B8" s="73" t="s">
        <v>0</v>
      </c>
      <c r="C8" s="72"/>
      <c r="D8" s="26" t="s">
        <v>63</v>
      </c>
      <c r="E8" s="75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</row>
    <row r="9" spans="1:30" s="25" customFormat="1" ht="15" customHeight="1">
      <c r="A9" s="26" t="s">
        <v>65</v>
      </c>
      <c r="B9" s="73" t="s">
        <v>0</v>
      </c>
      <c r="C9" s="72"/>
      <c r="D9" s="26" t="s">
        <v>63</v>
      </c>
      <c r="E9" s="75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</row>
    <row r="10" spans="1:30" s="25" customFormat="1" ht="15" customHeight="1">
      <c r="A10" s="26" t="s">
        <v>66</v>
      </c>
      <c r="B10" s="73" t="s">
        <v>0</v>
      </c>
      <c r="C10" s="72"/>
      <c r="D10" s="26" t="s">
        <v>63</v>
      </c>
      <c r="E10" s="75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</row>
    <row r="11" spans="1:30" s="25" customFormat="1" ht="15" customHeight="1">
      <c r="A11" s="26" t="s">
        <v>67</v>
      </c>
      <c r="B11" s="73" t="s">
        <v>0</v>
      </c>
      <c r="C11" s="72"/>
      <c r="D11" s="26" t="s">
        <v>63</v>
      </c>
      <c r="E11" s="75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V11" s="25">
        <f>COUNTA(C14:C73)</f>
        <v>15</v>
      </c>
      <c r="W11" s="25">
        <f>COUNTA(E14:E73)</f>
        <v>15</v>
      </c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50</v>
      </c>
      <c r="W12" s="15" t="s">
        <v>51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176" t="s">
        <v>0</v>
      </c>
      <c r="E13" s="53" t="s">
        <v>27</v>
      </c>
      <c r="F13" s="176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56</v>
      </c>
      <c r="W13" s="15" t="s">
        <v>61</v>
      </c>
    </row>
    <row r="14" spans="1:30" s="67" customFormat="1" ht="18" customHeight="1">
      <c r="A14" s="60"/>
      <c r="B14" s="61">
        <v>1</v>
      </c>
      <c r="C14" s="223" t="s">
        <v>342</v>
      </c>
      <c r="D14" s="188">
        <v>18717</v>
      </c>
      <c r="E14" s="97" t="s">
        <v>559</v>
      </c>
      <c r="F14" s="208" t="s">
        <v>560</v>
      </c>
      <c r="G14" s="112" t="s">
        <v>554</v>
      </c>
      <c r="H14" s="86"/>
      <c r="I14" s="86"/>
      <c r="J14" s="62" t="str">
        <f t="shared" ref="J14:J45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e">
        <v>#REF!</v>
      </c>
      <c r="W14" s="69" t="e">
        <v>#REF!</v>
      </c>
      <c r="Y14" t="s">
        <v>251</v>
      </c>
      <c r="Z14">
        <v>4416</v>
      </c>
      <c r="AA14" t="s">
        <v>250</v>
      </c>
      <c r="AB14"/>
      <c r="AC14"/>
    </row>
    <row r="15" spans="1:30" s="67" customFormat="1" ht="18" customHeight="1">
      <c r="A15" s="60" t="s">
        <v>713</v>
      </c>
      <c r="B15" s="61">
        <v>2</v>
      </c>
      <c r="C15" s="224" t="s">
        <v>251</v>
      </c>
      <c r="D15" s="168">
        <v>4416</v>
      </c>
      <c r="E15" s="168" t="s">
        <v>534</v>
      </c>
      <c r="F15" s="168" t="s">
        <v>125</v>
      </c>
      <c r="G15" s="168" t="s">
        <v>714</v>
      </c>
      <c r="H15" s="86"/>
      <c r="I15" s="86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v>#N/A</v>
      </c>
      <c r="W15" s="69" t="e">
        <v>#N/A</v>
      </c>
      <c r="Y15" t="s">
        <v>128</v>
      </c>
      <c r="Z15">
        <v>32786</v>
      </c>
      <c r="AA15" t="s">
        <v>256</v>
      </c>
      <c r="AB15" t="s">
        <v>127</v>
      </c>
      <c r="AC15">
        <v>57349</v>
      </c>
      <c r="AD15" s="67" t="s">
        <v>268</v>
      </c>
    </row>
    <row r="16" spans="1:30" s="67" customFormat="1" ht="18" customHeight="1">
      <c r="A16" s="60" t="s">
        <v>713</v>
      </c>
      <c r="B16" s="61">
        <v>3</v>
      </c>
      <c r="C16" s="225" t="s">
        <v>699</v>
      </c>
      <c r="D16" s="214">
        <v>14546</v>
      </c>
      <c r="E16" s="97" t="s">
        <v>625</v>
      </c>
      <c r="F16" s="203">
        <v>60834</v>
      </c>
      <c r="G16" s="101" t="s">
        <v>626</v>
      </c>
      <c r="H16" s="86"/>
      <c r="I16" s="86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e">
        <v>#N/A</v>
      </c>
      <c r="W16" s="69" t="e">
        <v>#N/A</v>
      </c>
      <c r="Y16"/>
      <c r="Z16"/>
      <c r="AA16"/>
      <c r="AB16" t="s">
        <v>143</v>
      </c>
      <c r="AC16">
        <v>60987</v>
      </c>
      <c r="AD16" s="67" t="s">
        <v>301</v>
      </c>
    </row>
    <row r="17" spans="1:30" s="67" customFormat="1" ht="18" customHeight="1">
      <c r="A17" s="60"/>
      <c r="B17" s="61">
        <v>4</v>
      </c>
      <c r="C17" s="226" t="s">
        <v>461</v>
      </c>
      <c r="D17" s="211">
        <v>7270</v>
      </c>
      <c r="E17" s="131" t="s">
        <v>521</v>
      </c>
      <c r="F17" s="208">
        <v>60955</v>
      </c>
      <c r="G17" s="96" t="s">
        <v>519</v>
      </c>
      <c r="H17" s="86"/>
      <c r="I17" s="86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s">
        <v>232</v>
      </c>
      <c r="W17" s="69" t="e">
        <v>#N/A</v>
      </c>
      <c r="Y17" t="s">
        <v>292</v>
      </c>
      <c r="Z17">
        <v>27343</v>
      </c>
      <c r="AA17" t="s">
        <v>291</v>
      </c>
      <c r="AB17" t="s">
        <v>139</v>
      </c>
      <c r="AC17">
        <v>59765</v>
      </c>
      <c r="AD17" s="67" t="s">
        <v>302</v>
      </c>
    </row>
    <row r="18" spans="1:30" s="67" customFormat="1" ht="18" customHeight="1">
      <c r="A18" s="60" t="s">
        <v>708</v>
      </c>
      <c r="B18" s="61">
        <v>5</v>
      </c>
      <c r="C18" s="78" t="s">
        <v>342</v>
      </c>
      <c r="D18" s="203">
        <v>18717</v>
      </c>
      <c r="E18" s="99" t="s">
        <v>563</v>
      </c>
      <c r="F18" s="186">
        <v>61089</v>
      </c>
      <c r="G18" s="93" t="s">
        <v>554</v>
      </c>
      <c r="H18" s="86"/>
      <c r="I18" s="86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e">
        <v>#N/A</v>
      </c>
      <c r="W18" s="69" t="e">
        <v>#N/A</v>
      </c>
      <c r="Y18"/>
      <c r="Z18"/>
      <c r="AA18"/>
      <c r="AB18" t="s">
        <v>183</v>
      </c>
      <c r="AC18">
        <v>60744</v>
      </c>
      <c r="AD18" s="67" t="s">
        <v>270</v>
      </c>
    </row>
    <row r="19" spans="1:30" s="67" customFormat="1" ht="18" customHeight="1">
      <c r="A19" s="60"/>
      <c r="B19" s="61">
        <v>6</v>
      </c>
      <c r="C19" s="78" t="s">
        <v>160</v>
      </c>
      <c r="D19" s="203">
        <v>19572</v>
      </c>
      <c r="E19" s="97" t="s">
        <v>596</v>
      </c>
      <c r="F19" s="215">
        <v>59233</v>
      </c>
      <c r="G19" s="93" t="s">
        <v>595</v>
      </c>
      <c r="H19" s="86"/>
      <c r="I19" s="86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v>#N/A</v>
      </c>
      <c r="W19" s="69" t="e">
        <v>#N/A</v>
      </c>
      <c r="Y19" t="s">
        <v>288</v>
      </c>
      <c r="Z19">
        <v>33125</v>
      </c>
      <c r="AA19" t="s">
        <v>287</v>
      </c>
      <c r="AB19" t="s">
        <v>182</v>
      </c>
      <c r="AC19">
        <v>56840</v>
      </c>
      <c r="AD19" s="67" t="s">
        <v>274</v>
      </c>
    </row>
    <row r="20" spans="1:30" s="67" customFormat="1" ht="18" customHeight="1">
      <c r="A20" s="60"/>
      <c r="B20" s="61">
        <v>7</v>
      </c>
      <c r="C20" s="223" t="s">
        <v>715</v>
      </c>
      <c r="D20" s="189">
        <v>15774</v>
      </c>
      <c r="E20" s="97" t="s">
        <v>614</v>
      </c>
      <c r="F20" s="189">
        <v>59762</v>
      </c>
      <c r="G20" s="93" t="s">
        <v>612</v>
      </c>
      <c r="H20" s="86"/>
      <c r="I20" s="86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v>#N/A</v>
      </c>
      <c r="W20" s="69" t="e">
        <v>#N/A</v>
      </c>
      <c r="Y20" t="s">
        <v>286</v>
      </c>
      <c r="Z20">
        <v>12158</v>
      </c>
      <c r="AA20" t="s">
        <v>285</v>
      </c>
      <c r="AB20"/>
      <c r="AC20"/>
    </row>
    <row r="21" spans="1:30" s="67" customFormat="1" ht="18" customHeight="1">
      <c r="A21" s="60"/>
      <c r="B21" s="61">
        <v>8</v>
      </c>
      <c r="C21" s="225" t="s">
        <v>323</v>
      </c>
      <c r="D21" s="189">
        <v>26053</v>
      </c>
      <c r="E21" s="99" t="s">
        <v>597</v>
      </c>
      <c r="F21" s="208">
        <v>61561</v>
      </c>
      <c r="G21" s="93" t="s">
        <v>595</v>
      </c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e">
        <v>#N/A</v>
      </c>
      <c r="W21" s="69" t="e">
        <v>#N/A</v>
      </c>
      <c r="Y21" t="s">
        <v>253</v>
      </c>
      <c r="Z21">
        <v>5227</v>
      </c>
      <c r="AA21" t="s">
        <v>252</v>
      </c>
      <c r="AB21" t="s">
        <v>218</v>
      </c>
      <c r="AC21">
        <v>58108</v>
      </c>
      <c r="AD21" s="67" t="s">
        <v>305</v>
      </c>
    </row>
    <row r="22" spans="1:30" s="67" customFormat="1" ht="18" customHeight="1">
      <c r="A22" s="60"/>
      <c r="B22" s="61">
        <v>9</v>
      </c>
      <c r="C22" s="80" t="s">
        <v>716</v>
      </c>
      <c r="D22" s="187">
        <v>34060</v>
      </c>
      <c r="E22" s="90" t="s">
        <v>525</v>
      </c>
      <c r="F22" s="186">
        <v>59772</v>
      </c>
      <c r="G22" s="89" t="s">
        <v>519</v>
      </c>
      <c r="H22" s="86"/>
      <c r="I22" s="86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e">
        <v>#N/A</v>
      </c>
      <c r="W22" s="69" t="e">
        <v>#N/A</v>
      </c>
      <c r="Y22" t="s">
        <v>290</v>
      </c>
      <c r="Z22">
        <v>2655</v>
      </c>
      <c r="AA22" t="s">
        <v>289</v>
      </c>
      <c r="AB22" t="s">
        <v>124</v>
      </c>
      <c r="AC22">
        <v>56829</v>
      </c>
      <c r="AD22" s="67" t="s">
        <v>300</v>
      </c>
    </row>
    <row r="23" spans="1:30" s="67" customFormat="1" ht="18" customHeight="1">
      <c r="A23" s="60"/>
      <c r="B23" s="61">
        <v>10</v>
      </c>
      <c r="C23" s="80" t="s">
        <v>342</v>
      </c>
      <c r="D23" s="187">
        <v>18717</v>
      </c>
      <c r="E23" s="90" t="s">
        <v>558</v>
      </c>
      <c r="F23" s="187">
        <v>61372</v>
      </c>
      <c r="G23" s="87" t="s">
        <v>554</v>
      </c>
      <c r="H23" s="86"/>
      <c r="I23" s="86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e">
        <v>#N/A</v>
      </c>
      <c r="W23" s="69" t="e">
        <v>#N/A</v>
      </c>
      <c r="Y23" t="s">
        <v>279</v>
      </c>
      <c r="Z23">
        <v>29352</v>
      </c>
      <c r="AA23" t="s">
        <v>278</v>
      </c>
      <c r="AB23"/>
      <c r="AC23"/>
    </row>
    <row r="24" spans="1:30" s="67" customFormat="1" ht="18" customHeight="1">
      <c r="A24" s="60"/>
      <c r="B24" s="61">
        <v>11</v>
      </c>
      <c r="C24" s="225" t="s">
        <v>564</v>
      </c>
      <c r="D24" s="188">
        <v>33610</v>
      </c>
      <c r="E24" s="134" t="s">
        <v>563</v>
      </c>
      <c r="F24" s="193">
        <v>61089</v>
      </c>
      <c r="G24" s="93" t="s">
        <v>554</v>
      </c>
      <c r="H24" s="86"/>
      <c r="I24" s="86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e">
        <v>#N/A</v>
      </c>
      <c r="W24" s="69" t="e">
        <v>#N/A</v>
      </c>
      <c r="Y24" t="s">
        <v>294</v>
      </c>
      <c r="Z24">
        <v>32756</v>
      </c>
      <c r="AA24" t="s">
        <v>293</v>
      </c>
      <c r="AB24" t="s">
        <v>123</v>
      </c>
      <c r="AC24">
        <v>60508</v>
      </c>
      <c r="AD24" s="67" t="s">
        <v>303</v>
      </c>
    </row>
    <row r="25" spans="1:30" s="67" customFormat="1" ht="18" customHeight="1">
      <c r="A25" s="60"/>
      <c r="B25" s="61">
        <v>12</v>
      </c>
      <c r="C25" s="78" t="s">
        <v>700</v>
      </c>
      <c r="D25" s="187">
        <v>25255</v>
      </c>
      <c r="E25" s="134" t="s">
        <v>620</v>
      </c>
      <c r="F25" s="216" t="s">
        <v>560</v>
      </c>
      <c r="G25" s="93" t="s">
        <v>717</v>
      </c>
      <c r="H25" s="86"/>
      <c r="I25" s="86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e">
        <v>#N/A</v>
      </c>
      <c r="W25" s="69" t="e">
        <v>#N/A</v>
      </c>
      <c r="Y25" t="s">
        <v>281</v>
      </c>
      <c r="Z25">
        <v>30720</v>
      </c>
      <c r="AA25" t="s">
        <v>280</v>
      </c>
      <c r="AB25" t="s">
        <v>170</v>
      </c>
      <c r="AC25">
        <v>60434</v>
      </c>
      <c r="AD25" s="67" t="s">
        <v>297</v>
      </c>
    </row>
    <row r="26" spans="1:30" s="67" customFormat="1" ht="18" customHeight="1">
      <c r="A26" s="60"/>
      <c r="B26" s="61">
        <v>13</v>
      </c>
      <c r="C26" s="227" t="s">
        <v>718</v>
      </c>
      <c r="D26" s="214">
        <v>12188</v>
      </c>
      <c r="E26" s="97" t="s">
        <v>667</v>
      </c>
      <c r="F26" s="208">
        <v>62119</v>
      </c>
      <c r="G26" s="93" t="s">
        <v>665</v>
      </c>
      <c r="H26" s="86"/>
      <c r="I26" s="86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e">
        <v>#N/A</v>
      </c>
      <c r="W26" s="69" t="e">
        <v>#N/A</v>
      </c>
      <c r="Y26" t="s">
        <v>296</v>
      </c>
      <c r="Z26">
        <v>32803</v>
      </c>
      <c r="AA26" t="s">
        <v>295</v>
      </c>
      <c r="AB26" t="s">
        <v>223</v>
      </c>
      <c r="AC26">
        <v>60656</v>
      </c>
      <c r="AD26" s="67" t="s">
        <v>304</v>
      </c>
    </row>
    <row r="27" spans="1:30" s="67" customFormat="1" ht="18" customHeight="1">
      <c r="A27" s="60"/>
      <c r="B27" s="61">
        <v>14</v>
      </c>
      <c r="C27" s="80" t="s">
        <v>160</v>
      </c>
      <c r="D27" s="187">
        <v>19572</v>
      </c>
      <c r="E27" s="90" t="s">
        <v>719</v>
      </c>
      <c r="F27" s="186">
        <v>61394</v>
      </c>
      <c r="G27" s="87" t="s">
        <v>595</v>
      </c>
      <c r="H27" s="86"/>
      <c r="I27" s="86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e">
        <v>#N/A</v>
      </c>
      <c r="W27" s="69" t="e">
        <v>#N/A</v>
      </c>
      <c r="Y27" t="s">
        <v>284</v>
      </c>
      <c r="Z27">
        <v>13918</v>
      </c>
      <c r="AA27" t="s">
        <v>283</v>
      </c>
      <c r="AB27" t="s">
        <v>126</v>
      </c>
      <c r="AC27">
        <v>59372</v>
      </c>
      <c r="AD27" s="67" t="s">
        <v>299</v>
      </c>
    </row>
    <row r="28" spans="1:30" s="67" customFormat="1" ht="18" customHeight="1">
      <c r="A28" s="60"/>
      <c r="B28" s="61">
        <v>15</v>
      </c>
      <c r="C28" s="223" t="s">
        <v>342</v>
      </c>
      <c r="D28" s="204">
        <v>18717</v>
      </c>
      <c r="E28" s="97" t="s">
        <v>557</v>
      </c>
      <c r="F28" s="193">
        <v>62148</v>
      </c>
      <c r="G28" s="169" t="s">
        <v>554</v>
      </c>
      <c r="H28" s="86"/>
      <c r="I28" s="86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e">
        <v>#N/A</v>
      </c>
      <c r="W28" s="69" t="e">
        <v>#N/A</v>
      </c>
      <c r="Y28" t="s">
        <v>112</v>
      </c>
      <c r="Z28">
        <v>1541</v>
      </c>
      <c r="AA28" t="s">
        <v>282</v>
      </c>
      <c r="AB28" t="s">
        <v>111</v>
      </c>
      <c r="AC28">
        <v>53980</v>
      </c>
      <c r="AD28" s="67" t="s">
        <v>298</v>
      </c>
    </row>
    <row r="29" spans="1:30" s="67" customFormat="1" ht="18" customHeight="1">
      <c r="A29" s="60"/>
      <c r="B29" s="61">
        <v>16</v>
      </c>
      <c r="C29" s="119"/>
      <c r="D29" s="193"/>
      <c r="E29" s="119"/>
      <c r="F29" s="193"/>
      <c r="G29" s="122"/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s">
        <v>68</v>
      </c>
      <c r="W29" s="69" t="s">
        <v>68</v>
      </c>
      <c r="Y29"/>
      <c r="Z29"/>
      <c r="AA29"/>
      <c r="AB29"/>
      <c r="AC29"/>
    </row>
    <row r="30" spans="1:30" s="67" customFormat="1" ht="18" customHeight="1">
      <c r="A30" s="60"/>
      <c r="B30" s="61">
        <v>17</v>
      </c>
      <c r="C30" s="96"/>
      <c r="D30" s="214"/>
      <c r="E30" s="97"/>
      <c r="F30" s="187"/>
      <c r="G30" s="101"/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s">
        <v>68</v>
      </c>
      <c r="W30" s="69" t="s">
        <v>68</v>
      </c>
      <c r="Y30"/>
      <c r="Z30"/>
      <c r="AA30"/>
      <c r="AB30"/>
      <c r="AC30"/>
    </row>
    <row r="31" spans="1:30" s="67" customFormat="1" ht="18" customHeight="1">
      <c r="A31" s="60"/>
      <c r="B31" s="61">
        <v>18</v>
      </c>
      <c r="C31" s="119"/>
      <c r="D31" s="183"/>
      <c r="E31" s="119"/>
      <c r="F31" s="183"/>
      <c r="G31" s="112"/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s">
        <v>68</v>
      </c>
      <c r="W31" s="69" t="s">
        <v>68</v>
      </c>
      <c r="Y31"/>
      <c r="Z31"/>
      <c r="AA31"/>
      <c r="AB31"/>
      <c r="AC31"/>
    </row>
    <row r="32" spans="1:30" s="67" customFormat="1" ht="18" customHeight="1">
      <c r="A32" s="60"/>
      <c r="B32" s="61">
        <v>19</v>
      </c>
      <c r="C32" s="87"/>
      <c r="D32" s="187"/>
      <c r="E32" s="90"/>
      <c r="F32" s="186"/>
      <c r="G32" s="87"/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s">
        <v>68</v>
      </c>
      <c r="W32" s="69" t="s">
        <v>68</v>
      </c>
      <c r="Y32"/>
      <c r="Z32"/>
      <c r="AA32"/>
      <c r="AB32"/>
      <c r="AC32"/>
    </row>
    <row r="33" spans="1:29" s="67" customFormat="1" ht="18" customHeight="1">
      <c r="A33" s="60"/>
      <c r="B33" s="61">
        <v>20</v>
      </c>
      <c r="C33" s="87"/>
      <c r="D33" s="187"/>
      <c r="E33" s="90"/>
      <c r="F33" s="186"/>
      <c r="G33" s="87"/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s">
        <v>68</v>
      </c>
      <c r="W33" s="69" t="s">
        <v>68</v>
      </c>
      <c r="Y33"/>
      <c r="Z33"/>
      <c r="AA33"/>
      <c r="AB33"/>
      <c r="AC33"/>
    </row>
    <row r="34" spans="1:29" s="67" customFormat="1" ht="18" customHeight="1">
      <c r="A34" s="60"/>
      <c r="B34" s="61">
        <v>21</v>
      </c>
      <c r="C34" s="119"/>
      <c r="D34" s="183"/>
      <c r="E34" s="119"/>
      <c r="F34" s="183"/>
      <c r="G34" s="122"/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s">
        <v>68</v>
      </c>
      <c r="W34" s="69" t="s">
        <v>68</v>
      </c>
      <c r="Y34"/>
      <c r="Z34"/>
      <c r="AA34"/>
      <c r="AB34"/>
      <c r="AC34"/>
    </row>
    <row r="35" spans="1:29" s="67" customFormat="1" ht="18" customHeight="1">
      <c r="A35" s="60"/>
      <c r="B35" s="61">
        <v>22</v>
      </c>
      <c r="C35" s="119"/>
      <c r="D35" s="190"/>
      <c r="E35" s="119"/>
      <c r="F35" s="194"/>
      <c r="G35" s="122"/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s">
        <v>68</v>
      </c>
      <c r="W35" s="69" t="s">
        <v>68</v>
      </c>
      <c r="Y35"/>
      <c r="Z35"/>
      <c r="AA35"/>
      <c r="AB35"/>
      <c r="AC35"/>
    </row>
    <row r="36" spans="1:29" s="67" customFormat="1" ht="18" customHeight="1">
      <c r="A36" s="60"/>
      <c r="B36" s="61">
        <v>23</v>
      </c>
      <c r="C36" s="119"/>
      <c r="D36" s="190"/>
      <c r="E36" s="119"/>
      <c r="F36" s="194"/>
      <c r="G36" s="122"/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">
        <v>68</v>
      </c>
      <c r="W36" s="69" t="s">
        <v>68</v>
      </c>
      <c r="Y36"/>
      <c r="Z36"/>
      <c r="AA36"/>
      <c r="AB36"/>
      <c r="AC36"/>
    </row>
    <row r="37" spans="1:29" s="67" customFormat="1" ht="18" customHeight="1">
      <c r="A37" s="60"/>
      <c r="B37" s="61">
        <v>24</v>
      </c>
      <c r="C37" s="119"/>
      <c r="D37" s="190"/>
      <c r="E37" s="119"/>
      <c r="F37" s="194"/>
      <c r="G37" s="122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">
        <v>68</v>
      </c>
      <c r="W37" s="69" t="s">
        <v>68</v>
      </c>
      <c r="Y37"/>
      <c r="Z37"/>
      <c r="AA37"/>
      <c r="AB37"/>
      <c r="AC37"/>
    </row>
    <row r="38" spans="1:29" s="67" customFormat="1" ht="18" customHeight="1">
      <c r="A38" s="60"/>
      <c r="B38" s="61">
        <v>25</v>
      </c>
      <c r="C38" s="119"/>
      <c r="D38" s="190"/>
      <c r="E38" s="119"/>
      <c r="F38" s="194"/>
      <c r="G38" s="122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">
        <v>68</v>
      </c>
      <c r="W38" s="69" t="s">
        <v>68</v>
      </c>
      <c r="Y38"/>
      <c r="Z38"/>
      <c r="AA38"/>
      <c r="AB38"/>
      <c r="AC38"/>
    </row>
    <row r="39" spans="1:29" s="67" customFormat="1" ht="18" customHeight="1">
      <c r="A39" s="60"/>
      <c r="B39" s="61">
        <v>26</v>
      </c>
      <c r="C39" s="119"/>
      <c r="D39" s="190"/>
      <c r="E39" s="119"/>
      <c r="F39" s="194"/>
      <c r="G39" s="122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">
        <v>68</v>
      </c>
      <c r="W39" s="69" t="s">
        <v>68</v>
      </c>
      <c r="Y39"/>
      <c r="Z39"/>
      <c r="AA39"/>
      <c r="AB39"/>
      <c r="AC39"/>
    </row>
    <row r="40" spans="1:29" s="67" customFormat="1" ht="18" customHeight="1">
      <c r="A40" s="60"/>
      <c r="B40" s="61">
        <v>27</v>
      </c>
      <c r="C40" s="119"/>
      <c r="D40" s="190"/>
      <c r="E40" s="119"/>
      <c r="F40" s="194"/>
      <c r="G40" s="122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">
        <v>68</v>
      </c>
      <c r="W40" s="69" t="s">
        <v>68</v>
      </c>
      <c r="Y40"/>
      <c r="Z40"/>
      <c r="AA40"/>
      <c r="AB40"/>
      <c r="AC40"/>
    </row>
    <row r="41" spans="1:29" s="67" customFormat="1" ht="18" customHeight="1">
      <c r="A41" s="60"/>
      <c r="B41" s="61">
        <v>28</v>
      </c>
      <c r="C41" s="119"/>
      <c r="D41" s="190"/>
      <c r="E41" s="119"/>
      <c r="F41" s="194"/>
      <c r="G41" s="122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">
        <v>68</v>
      </c>
      <c r="W41" s="69" t="s">
        <v>68</v>
      </c>
      <c r="Y41"/>
      <c r="Z41"/>
      <c r="AA41"/>
      <c r="AB41"/>
      <c r="AC41"/>
    </row>
    <row r="42" spans="1:29" s="67" customFormat="1" ht="18" customHeight="1">
      <c r="A42" s="60"/>
      <c r="B42" s="61">
        <v>29</v>
      </c>
      <c r="C42" s="119"/>
      <c r="D42" s="190"/>
      <c r="E42" s="119"/>
      <c r="F42" s="194"/>
      <c r="G42" s="122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">
        <v>68</v>
      </c>
      <c r="W42" s="69" t="s">
        <v>68</v>
      </c>
      <c r="Y42"/>
      <c r="Z42"/>
      <c r="AA42"/>
      <c r="AB42"/>
      <c r="AC42"/>
    </row>
    <row r="43" spans="1:29" s="67" customFormat="1" ht="18" customHeight="1">
      <c r="A43" s="60"/>
      <c r="B43" s="61">
        <v>30</v>
      </c>
      <c r="C43" s="119"/>
      <c r="D43" s="190"/>
      <c r="E43" s="119"/>
      <c r="F43" s="194"/>
      <c r="G43" s="122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">
        <v>68</v>
      </c>
      <c r="W43" s="69" t="s">
        <v>68</v>
      </c>
      <c r="Y43"/>
      <c r="Z43"/>
      <c r="AA43"/>
      <c r="AB43"/>
      <c r="AC43"/>
    </row>
    <row r="44" spans="1:29" s="67" customFormat="1" ht="18" customHeight="1">
      <c r="A44" s="60"/>
      <c r="B44" s="61"/>
      <c r="C44" s="119"/>
      <c r="D44" s="190"/>
      <c r="E44" s="119"/>
      <c r="F44" s="194"/>
      <c r="G44" s="122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">
        <v>68</v>
      </c>
      <c r="W44" s="69" t="s">
        <v>68</v>
      </c>
      <c r="Y44"/>
      <c r="Z44"/>
      <c r="AA44"/>
      <c r="AB44"/>
      <c r="AC44"/>
    </row>
    <row r="45" spans="1:29" s="67" customFormat="1" ht="18" customHeight="1">
      <c r="A45" s="60"/>
      <c r="B45" s="61"/>
      <c r="C45" s="119"/>
      <c r="D45" s="190"/>
      <c r="E45" s="119"/>
      <c r="F45" s="194"/>
      <c r="G45" s="122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">
        <v>68</v>
      </c>
      <c r="W45" s="69" t="s">
        <v>68</v>
      </c>
      <c r="Y45"/>
      <c r="Z45"/>
      <c r="AA45"/>
      <c r="AB45"/>
      <c r="AC45"/>
    </row>
    <row r="46" spans="1:29" s="67" customFormat="1" ht="18" customHeight="1">
      <c r="A46" s="60"/>
      <c r="B46" s="61"/>
      <c r="C46" s="119"/>
      <c r="D46" s="190"/>
      <c r="E46" s="119"/>
      <c r="F46" s="194"/>
      <c r="G46" s="122"/>
      <c r="H46" s="22"/>
      <c r="I46" s="22"/>
      <c r="J46" s="62" t="str">
        <f t="shared" ref="J46:J77" si="4">IF(H46="","",H46+I46)</f>
        <v/>
      </c>
      <c r="K46" s="63"/>
      <c r="L46" s="63"/>
      <c r="M46" s="64" t="str">
        <f t="shared" ref="M46:M77" si="5">IF(L46="","",K46+L46)</f>
        <v/>
      </c>
      <c r="N46" s="22"/>
      <c r="O46" s="22"/>
      <c r="P46" s="62" t="str">
        <f t="shared" ref="P46:P77" si="6">IF(N46="","",N46+O46)</f>
        <v/>
      </c>
      <c r="Q46" s="63"/>
      <c r="R46" s="63"/>
      <c r="S46" s="64" t="str">
        <f t="shared" ref="S46:S77" si="7">IF(R46="","",Q46+R46)</f>
        <v/>
      </c>
      <c r="T46" s="65"/>
      <c r="U46" s="66"/>
      <c r="V46" s="18" t="s">
        <v>68</v>
      </c>
      <c r="W46" s="69" t="s">
        <v>68</v>
      </c>
      <c r="Y46"/>
      <c r="Z46"/>
      <c r="AA46"/>
      <c r="AB46"/>
      <c r="AC46"/>
    </row>
    <row r="47" spans="1:29" s="67" customFormat="1" ht="18" customHeight="1">
      <c r="A47" s="60"/>
      <c r="B47" s="61"/>
      <c r="C47" s="119"/>
      <c r="D47" s="190"/>
      <c r="E47" s="119"/>
      <c r="F47" s="194"/>
      <c r="G47" s="122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">
        <v>68</v>
      </c>
      <c r="W47" s="69" t="s">
        <v>68</v>
      </c>
      <c r="Y47"/>
      <c r="Z47"/>
      <c r="AA47"/>
      <c r="AB47"/>
      <c r="AC47"/>
    </row>
    <row r="48" spans="1:29" s="67" customFormat="1" ht="18" customHeight="1">
      <c r="A48" s="60"/>
      <c r="B48" s="61"/>
      <c r="C48" s="119"/>
      <c r="D48" s="190"/>
      <c r="E48" s="119"/>
      <c r="F48" s="194"/>
      <c r="G48" s="122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">
        <v>68</v>
      </c>
      <c r="W48" s="69" t="s">
        <v>68</v>
      </c>
      <c r="Y48"/>
      <c r="Z48"/>
      <c r="AA48"/>
      <c r="AB48"/>
      <c r="AC48"/>
    </row>
    <row r="49" spans="1:29" s="67" customFormat="1" ht="18" customHeight="1">
      <c r="A49" s="60"/>
      <c r="B49" s="61"/>
      <c r="C49" s="119"/>
      <c r="D49" s="190"/>
      <c r="E49" s="119"/>
      <c r="F49" s="194"/>
      <c r="G49" s="122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">
        <v>68</v>
      </c>
      <c r="W49" s="69" t="s">
        <v>68</v>
      </c>
      <c r="Y49"/>
      <c r="Z49"/>
      <c r="AA49"/>
      <c r="AB49"/>
      <c r="AC49"/>
    </row>
    <row r="50" spans="1:29" s="67" customFormat="1" ht="18" customHeight="1">
      <c r="A50" s="60"/>
      <c r="B50" s="61"/>
      <c r="C50" s="119"/>
      <c r="D50" s="190"/>
      <c r="E50" s="119"/>
      <c r="F50" s="194"/>
      <c r="G50" s="122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">
        <v>68</v>
      </c>
      <c r="W50" s="69" t="s">
        <v>68</v>
      </c>
      <c r="Y50"/>
      <c r="Z50"/>
      <c r="AA50"/>
      <c r="AB50"/>
      <c r="AC50"/>
    </row>
    <row r="51" spans="1:29" s="67" customFormat="1" ht="18" customHeight="1">
      <c r="A51" s="60"/>
      <c r="B51" s="61"/>
      <c r="C51" s="119"/>
      <c r="D51" s="190"/>
      <c r="E51" s="119"/>
      <c r="F51" s="194"/>
      <c r="G51" s="122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">
        <v>68</v>
      </c>
      <c r="W51" s="69" t="s">
        <v>68</v>
      </c>
      <c r="Y51"/>
      <c r="Z51"/>
      <c r="AA51"/>
      <c r="AB51"/>
      <c r="AC51"/>
    </row>
    <row r="52" spans="1:29" s="67" customFormat="1" ht="18" customHeight="1">
      <c r="A52" s="60"/>
      <c r="B52" s="61"/>
      <c r="C52" s="119"/>
      <c r="D52" s="190"/>
      <c r="E52" s="119"/>
      <c r="F52" s="194"/>
      <c r="G52" s="122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">
        <v>68</v>
      </c>
      <c r="W52" s="69" t="s">
        <v>68</v>
      </c>
      <c r="Y52"/>
      <c r="Z52"/>
      <c r="AA52"/>
      <c r="AB52"/>
      <c r="AC52"/>
    </row>
    <row r="53" spans="1:29" s="67" customFormat="1" ht="18" customHeight="1">
      <c r="A53" s="60"/>
      <c r="B53" s="61"/>
      <c r="C53" s="119"/>
      <c r="D53" s="190"/>
      <c r="E53" s="119"/>
      <c r="F53" s="194"/>
      <c r="G53" s="122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">
        <v>68</v>
      </c>
      <c r="W53" s="69" t="s">
        <v>68</v>
      </c>
      <c r="Y53"/>
      <c r="Z53"/>
      <c r="AA53"/>
      <c r="AB53"/>
      <c r="AC53"/>
    </row>
    <row r="54" spans="1:29" s="67" customFormat="1" ht="18" customHeight="1">
      <c r="A54" s="60"/>
      <c r="B54" s="61"/>
      <c r="C54" s="119"/>
      <c r="D54" s="190"/>
      <c r="E54" s="119"/>
      <c r="F54" s="194"/>
      <c r="G54" s="122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">
        <v>68</v>
      </c>
      <c r="W54" s="69" t="s">
        <v>68</v>
      </c>
      <c r="Y54"/>
      <c r="Z54"/>
      <c r="AA54"/>
      <c r="AB54"/>
      <c r="AC54"/>
    </row>
    <row r="55" spans="1:29" s="67" customFormat="1" ht="18" customHeight="1">
      <c r="A55" s="60"/>
      <c r="B55" s="61"/>
      <c r="C55" s="119"/>
      <c r="D55" s="190"/>
      <c r="E55" s="119"/>
      <c r="F55" s="194"/>
      <c r="G55" s="122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">
        <v>68</v>
      </c>
      <c r="W55" s="69" t="s">
        <v>68</v>
      </c>
      <c r="Y55"/>
      <c r="Z55"/>
      <c r="AA55"/>
      <c r="AB55"/>
      <c r="AC55"/>
    </row>
    <row r="56" spans="1:29" s="67" customFormat="1" ht="18" customHeight="1">
      <c r="A56" s="60"/>
      <c r="B56" s="61"/>
      <c r="C56" s="21"/>
      <c r="D56" s="180" t="s">
        <v>68</v>
      </c>
      <c r="E56" s="21"/>
      <c r="F56" s="195" t="s">
        <v>68</v>
      </c>
      <c r="G56" s="23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">
        <v>68</v>
      </c>
      <c r="W56" s="69" t="s">
        <v>68</v>
      </c>
      <c r="Y56"/>
      <c r="Z56"/>
      <c r="AA56"/>
      <c r="AB56"/>
      <c r="AC56"/>
    </row>
    <row r="57" spans="1:29" s="67" customFormat="1" ht="18" customHeight="1">
      <c r="A57" s="60"/>
      <c r="B57" s="61"/>
      <c r="C57" s="21"/>
      <c r="D57" s="180" t="s">
        <v>68</v>
      </c>
      <c r="E57" s="21"/>
      <c r="F57" s="195" t="s">
        <v>68</v>
      </c>
      <c r="G57" s="23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">
        <v>68</v>
      </c>
      <c r="W57" s="69" t="s">
        <v>68</v>
      </c>
      <c r="Y57"/>
      <c r="Z57"/>
      <c r="AA57"/>
      <c r="AB57"/>
      <c r="AC57"/>
    </row>
    <row r="58" spans="1:29" s="67" customFormat="1" ht="18" customHeight="1">
      <c r="A58" s="60"/>
      <c r="B58" s="61"/>
      <c r="C58" s="21"/>
      <c r="D58" s="180" t="s">
        <v>68</v>
      </c>
      <c r="E58" s="21"/>
      <c r="F58" s="195" t="s">
        <v>68</v>
      </c>
      <c r="G58" s="23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">
        <v>68</v>
      </c>
      <c r="W58" s="69" t="s">
        <v>68</v>
      </c>
      <c r="Y58"/>
      <c r="Z58"/>
      <c r="AA58"/>
      <c r="AB58"/>
      <c r="AC58"/>
    </row>
    <row r="59" spans="1:29" s="67" customFormat="1" ht="18" customHeight="1">
      <c r="A59" s="60"/>
      <c r="B59" s="61"/>
      <c r="C59" s="21"/>
      <c r="D59" s="180" t="s">
        <v>68</v>
      </c>
      <c r="E59" s="21"/>
      <c r="F59" s="195" t="s">
        <v>68</v>
      </c>
      <c r="G59" s="23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">
        <v>68</v>
      </c>
      <c r="W59" s="69" t="s">
        <v>68</v>
      </c>
      <c r="Y59"/>
      <c r="Z59"/>
      <c r="AA59"/>
      <c r="AB59"/>
      <c r="AC59"/>
    </row>
    <row r="60" spans="1:29" s="67" customFormat="1" ht="18" customHeight="1">
      <c r="A60" s="60"/>
      <c r="B60" s="61"/>
      <c r="C60" s="21"/>
      <c r="D60" s="180" t="s">
        <v>68</v>
      </c>
      <c r="E60" s="21"/>
      <c r="F60" s="195" t="s">
        <v>68</v>
      </c>
      <c r="G60" s="23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">
        <v>68</v>
      </c>
      <c r="W60" s="69" t="s">
        <v>68</v>
      </c>
      <c r="Y60"/>
      <c r="Z60"/>
      <c r="AA60"/>
      <c r="AB60"/>
      <c r="AC60"/>
    </row>
    <row r="61" spans="1:29" s="67" customFormat="1" ht="18" customHeight="1">
      <c r="A61" s="60"/>
      <c r="B61" s="61"/>
      <c r="C61" s="21"/>
      <c r="D61" s="180" t="s">
        <v>68</v>
      </c>
      <c r="E61" s="21"/>
      <c r="F61" s="195" t="s">
        <v>68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">
        <v>68</v>
      </c>
      <c r="W61" s="69" t="s">
        <v>68</v>
      </c>
      <c r="Y61"/>
      <c r="Z61"/>
      <c r="AA61"/>
      <c r="AB61"/>
      <c r="AC61"/>
    </row>
    <row r="62" spans="1:29" s="67" customFormat="1" ht="18" customHeight="1">
      <c r="A62" s="60"/>
      <c r="B62" s="61"/>
      <c r="C62" s="21"/>
      <c r="D62" s="180" t="s">
        <v>68</v>
      </c>
      <c r="E62" s="21"/>
      <c r="F62" s="195" t="s">
        <v>68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">
        <v>68</v>
      </c>
      <c r="W62" s="69" t="s">
        <v>68</v>
      </c>
      <c r="Y62"/>
      <c r="Z62"/>
      <c r="AA62"/>
      <c r="AB62"/>
      <c r="AC62"/>
    </row>
    <row r="63" spans="1:29" s="67" customFormat="1" ht="18" customHeight="1">
      <c r="A63" s="60"/>
      <c r="B63" s="61"/>
      <c r="C63" s="21"/>
      <c r="D63" s="180" t="s">
        <v>68</v>
      </c>
      <c r="E63" s="21"/>
      <c r="F63" s="195" t="s">
        <v>68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">
        <v>68</v>
      </c>
      <c r="W63" s="69" t="s">
        <v>68</v>
      </c>
      <c r="Y63"/>
      <c r="Z63"/>
      <c r="AA63"/>
      <c r="AB63"/>
      <c r="AC63"/>
    </row>
    <row r="64" spans="1:29" s="67" customFormat="1" ht="18" customHeight="1">
      <c r="A64" s="60"/>
      <c r="B64" s="61"/>
      <c r="C64" s="21"/>
      <c r="D64" s="180" t="s">
        <v>68</v>
      </c>
      <c r="E64" s="21"/>
      <c r="F64" s="195" t="s">
        <v>68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">
        <v>68</v>
      </c>
      <c r="W64" s="69" t="s">
        <v>68</v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180" t="s">
        <v>68</v>
      </c>
      <c r="E65" s="21"/>
      <c r="F65" s="195" t="s">
        <v>68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">
        <v>68</v>
      </c>
      <c r="W65" s="69" t="s">
        <v>68</v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180" t="s">
        <v>68</v>
      </c>
      <c r="E66" s="21"/>
      <c r="F66" s="195" t="s">
        <v>68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">
        <v>68</v>
      </c>
      <c r="W66" s="69" t="s">
        <v>68</v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180" t="s">
        <v>68</v>
      </c>
      <c r="E67" s="21"/>
      <c r="F67" s="195" t="s">
        <v>68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">
        <v>68</v>
      </c>
      <c r="W67" s="69" t="s">
        <v>68</v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180" t="s">
        <v>68</v>
      </c>
      <c r="E68" s="21"/>
      <c r="F68" s="195" t="s">
        <v>68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">
        <v>68</v>
      </c>
      <c r="W68" s="69" t="s">
        <v>68</v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180" t="s">
        <v>68</v>
      </c>
      <c r="E69" s="21"/>
      <c r="F69" s="195" t="s">
        <v>68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">
        <v>68</v>
      </c>
      <c r="W69" s="69" t="s">
        <v>68</v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180" t="s">
        <v>68</v>
      </c>
      <c r="E70" s="21"/>
      <c r="F70" s="195" t="s">
        <v>68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">
        <v>68</v>
      </c>
      <c r="W70" s="69" t="s">
        <v>68</v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180" t="s">
        <v>68</v>
      </c>
      <c r="E71" s="21"/>
      <c r="F71" s="195" t="s">
        <v>68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">
        <v>68</v>
      </c>
      <c r="W71" s="69" t="s">
        <v>68</v>
      </c>
      <c r="Y71"/>
      <c r="Z71"/>
      <c r="AA71"/>
      <c r="AB71"/>
      <c r="AC71"/>
    </row>
    <row r="72" spans="1:29" s="67" customFormat="1" ht="18" customHeight="1">
      <c r="A72" s="60"/>
      <c r="B72" s="61"/>
      <c r="C72" s="21"/>
      <c r="D72" s="180" t="s">
        <v>68</v>
      </c>
      <c r="E72" s="21"/>
      <c r="F72" s="195" t="s">
        <v>68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">
        <v>68</v>
      </c>
      <c r="W72" s="69" t="s">
        <v>68</v>
      </c>
      <c r="Y72"/>
      <c r="Z72"/>
      <c r="AA72"/>
      <c r="AB72"/>
      <c r="AC72"/>
    </row>
    <row r="73" spans="1:29" s="67" customFormat="1" ht="18" customHeight="1">
      <c r="A73" s="60"/>
      <c r="B73" s="61"/>
      <c r="C73" s="21"/>
      <c r="D73" s="180" t="s">
        <v>68</v>
      </c>
      <c r="E73" s="21"/>
      <c r="F73" s="195" t="s">
        <v>68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">
        <v>68</v>
      </c>
      <c r="W73" s="69" t="s">
        <v>68</v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AD13" xr:uid="{00000000-0001-0000-0E00-000000000000}">
    <sortState xmlns:xlrd2="http://schemas.microsoft.com/office/spreadsheetml/2017/richdata2" ref="A14:AD73">
      <sortCondition ref="B13"/>
    </sortState>
  </autoFilter>
  <sortState xmlns:xlrd2="http://schemas.microsoft.com/office/spreadsheetml/2017/richdata2" ref="A19:AD24">
    <sortCondition ref="B19:B24"/>
  </sortState>
  <phoneticPr fontId="7"/>
  <conditionalFormatting sqref="V14:V73">
    <cfRule type="cellIs" dxfId="27" priority="4" stopIfTrue="1" operator="notBetween">
      <formula>"A"</formula>
      <formula>"Ｂ"</formula>
    </cfRule>
  </conditionalFormatting>
  <conditionalFormatting sqref="W14:W73">
    <cfRule type="cellIs" dxfId="26" priority="3" stopIfTrue="1" operator="between">
      <formula>"-"</formula>
      <formula>"申請中"</formula>
    </cfRule>
  </conditionalFormatting>
  <conditionalFormatting sqref="Y14:Z73">
    <cfRule type="expression" dxfId="25" priority="2">
      <formula>Y14&lt;&gt;C14</formula>
    </cfRule>
  </conditionalFormatting>
  <conditionalFormatting sqref="AB14:AC73">
    <cfRule type="expression" dxfId="24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213360</xdr:colOff>
                    <xdr:row>5</xdr:row>
                    <xdr:rowOff>327660</xdr:rowOff>
                  </from>
                  <to>
                    <xdr:col>27</xdr:col>
                    <xdr:colOff>365760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FFC000"/>
  </sheetPr>
  <dimension ref="A1:AD201"/>
  <sheetViews>
    <sheetView tabSelected="1" topLeftCell="A25" workbookViewId="0">
      <selection activeCell="I34" sqref="I34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30" s="25" customFormat="1" ht="18" customHeight="1">
      <c r="B2" s="26" t="s">
        <v>1</v>
      </c>
      <c r="C2" s="27"/>
      <c r="E2" s="26" t="s">
        <v>2</v>
      </c>
      <c r="F2" s="30"/>
      <c r="G2" s="132">
        <v>46276</v>
      </c>
      <c r="L2" s="28"/>
      <c r="N2" s="26" t="s">
        <v>3</v>
      </c>
      <c r="O2" s="29"/>
      <c r="P2" s="30"/>
      <c r="Q2" s="30"/>
      <c r="R2" s="30"/>
      <c r="S2" s="30"/>
      <c r="T2" s="30"/>
    </row>
    <row r="3" spans="1:30" s="25" customFormat="1" ht="18" customHeight="1">
      <c r="A3" s="31"/>
      <c r="B3" s="26" t="s">
        <v>4</v>
      </c>
      <c r="C3" s="120" t="s">
        <v>516</v>
      </c>
      <c r="D3" s="121"/>
      <c r="E3" s="121"/>
      <c r="F3" s="121"/>
      <c r="G3" s="121"/>
      <c r="Q3" s="26" t="s">
        <v>5</v>
      </c>
      <c r="R3" s="29"/>
      <c r="S3" s="30"/>
      <c r="T3" s="30"/>
      <c r="U3" s="32"/>
    </row>
    <row r="4" spans="1:30" s="25" customFormat="1" ht="18" customHeight="1">
      <c r="B4" s="26" t="s">
        <v>6</v>
      </c>
      <c r="C4" s="33">
        <v>5</v>
      </c>
      <c r="D4" s="25" t="s">
        <v>7</v>
      </c>
      <c r="E4" s="26" t="s">
        <v>8</v>
      </c>
      <c r="F4" s="191" t="s">
        <v>84</v>
      </c>
      <c r="G4" s="30"/>
      <c r="H4" s="30"/>
      <c r="J4" s="26" t="s">
        <v>9</v>
      </c>
      <c r="K4" s="34" t="s">
        <v>73</v>
      </c>
      <c r="N4" s="26" t="s">
        <v>10</v>
      </c>
      <c r="O4" s="35"/>
    </row>
    <row r="5" spans="1:30" s="25" customFormat="1" ht="18" customHeight="1">
      <c r="C5" s="26" t="s">
        <v>11</v>
      </c>
      <c r="D5" s="27">
        <v>1</v>
      </c>
      <c r="E5" s="26" t="s">
        <v>12</v>
      </c>
      <c r="F5" s="29" t="s">
        <v>517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</row>
    <row r="6" spans="1:30" s="25" customFormat="1" ht="35.1" customHeight="1">
      <c r="C6" s="40" t="s">
        <v>18</v>
      </c>
      <c r="D6" s="175" t="s">
        <v>39</v>
      </c>
      <c r="E6" s="26" t="s">
        <v>19</v>
      </c>
      <c r="F6" s="181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</row>
    <row r="7" spans="1:30" s="25" customFormat="1" ht="15" customHeight="1">
      <c r="A7" s="26" t="s">
        <v>62</v>
      </c>
      <c r="B7" s="73" t="s">
        <v>0</v>
      </c>
      <c r="C7" s="76"/>
      <c r="D7" s="26" t="s">
        <v>63</v>
      </c>
      <c r="E7" s="74"/>
      <c r="F7" s="32"/>
      <c r="I7" s="26"/>
      <c r="J7" s="37"/>
      <c r="K7" s="32"/>
      <c r="L7" s="26"/>
      <c r="M7" s="32"/>
      <c r="N7" s="26"/>
      <c r="O7" s="42"/>
      <c r="Q7" s="26"/>
      <c r="R7" s="43"/>
    </row>
    <row r="8" spans="1:30" s="25" customFormat="1" ht="15" customHeight="1">
      <c r="A8" s="26" t="s">
        <v>64</v>
      </c>
      <c r="B8" s="73" t="s">
        <v>0</v>
      </c>
      <c r="C8" s="72"/>
      <c r="D8" s="26" t="s">
        <v>63</v>
      </c>
      <c r="E8" s="75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</row>
    <row r="9" spans="1:30" s="25" customFormat="1" ht="15" customHeight="1">
      <c r="A9" s="26" t="s">
        <v>65</v>
      </c>
      <c r="B9" s="73" t="s">
        <v>0</v>
      </c>
      <c r="C9" s="72"/>
      <c r="D9" s="26" t="s">
        <v>63</v>
      </c>
      <c r="E9" s="75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</row>
    <row r="10" spans="1:30" s="25" customFormat="1" ht="15" customHeight="1">
      <c r="A10" s="26" t="s">
        <v>66</v>
      </c>
      <c r="B10" s="73" t="s">
        <v>0</v>
      </c>
      <c r="C10" s="72"/>
      <c r="D10" s="26" t="s">
        <v>63</v>
      </c>
      <c r="E10" s="75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</row>
    <row r="11" spans="1:30" s="25" customFormat="1" ht="15" customHeight="1">
      <c r="A11" s="26" t="s">
        <v>67</v>
      </c>
      <c r="B11" s="73" t="s">
        <v>0</v>
      </c>
      <c r="C11" s="72"/>
      <c r="D11" s="26" t="s">
        <v>63</v>
      </c>
      <c r="E11" s="75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50</v>
      </c>
      <c r="W12" s="15" t="s">
        <v>51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176" t="s">
        <v>0</v>
      </c>
      <c r="E13" s="53" t="s">
        <v>27</v>
      </c>
      <c r="F13" s="176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56</v>
      </c>
      <c r="W13" s="15" t="s">
        <v>57</v>
      </c>
    </row>
    <row r="14" spans="1:30" s="67" customFormat="1" ht="18" customHeight="1">
      <c r="A14" s="60"/>
      <c r="B14" s="61">
        <v>1</v>
      </c>
      <c r="C14" s="228" t="s">
        <v>461</v>
      </c>
      <c r="D14" s="205">
        <v>7270</v>
      </c>
      <c r="E14" s="92" t="s">
        <v>520</v>
      </c>
      <c r="F14" s="193">
        <v>62130</v>
      </c>
      <c r="G14" s="122" t="s">
        <v>519</v>
      </c>
      <c r="H14" s="22"/>
      <c r="I14" s="22"/>
      <c r="J14" s="62" t="str">
        <f t="shared" ref="J14:J45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e">
        <v>#N/A</v>
      </c>
      <c r="W14" s="69" t="e">
        <v>#N/A</v>
      </c>
      <c r="Y14" t="s">
        <v>327</v>
      </c>
      <c r="Z14">
        <v>25761</v>
      </c>
      <c r="AA14" t="s">
        <v>326</v>
      </c>
      <c r="AB14"/>
      <c r="AC14"/>
    </row>
    <row r="15" spans="1:30" s="67" customFormat="1" ht="18" customHeight="1">
      <c r="A15" s="60"/>
      <c r="B15" s="61">
        <v>2</v>
      </c>
      <c r="C15" s="21" t="s">
        <v>342</v>
      </c>
      <c r="D15" s="190">
        <v>18717</v>
      </c>
      <c r="E15" s="119" t="s">
        <v>690</v>
      </c>
      <c r="F15" s="194">
        <v>62148</v>
      </c>
      <c r="G15" s="122" t="s">
        <v>554</v>
      </c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v>#N/A</v>
      </c>
      <c r="W15" s="69" t="e">
        <v>#N/A</v>
      </c>
      <c r="Y15" t="s">
        <v>331</v>
      </c>
      <c r="Z15">
        <v>32292</v>
      </c>
      <c r="AA15" t="s">
        <v>330</v>
      </c>
      <c r="AB15" t="s">
        <v>151</v>
      </c>
      <c r="AC15">
        <v>59063</v>
      </c>
      <c r="AD15" s="67" t="s">
        <v>365</v>
      </c>
    </row>
    <row r="16" spans="1:30" s="67" customFormat="1" ht="18" customHeight="1">
      <c r="A16" s="60"/>
      <c r="B16" s="61">
        <v>3</v>
      </c>
      <c r="C16" s="21" t="s">
        <v>709</v>
      </c>
      <c r="D16" s="190">
        <v>33558</v>
      </c>
      <c r="E16" s="119" t="s">
        <v>710</v>
      </c>
      <c r="F16" s="183">
        <v>58736</v>
      </c>
      <c r="G16" s="122" t="s">
        <v>711</v>
      </c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e">
        <v>#N/A</v>
      </c>
      <c r="W16" s="69" t="e">
        <v>#N/A</v>
      </c>
      <c r="Y16" t="s">
        <v>307</v>
      </c>
      <c r="Z16">
        <v>27056</v>
      </c>
      <c r="AA16" t="s">
        <v>306</v>
      </c>
      <c r="AB16" t="s">
        <v>155</v>
      </c>
      <c r="AC16">
        <v>59134</v>
      </c>
      <c r="AD16" s="67" t="s">
        <v>352</v>
      </c>
    </row>
    <row r="17" spans="1:30" s="67" customFormat="1" ht="18" customHeight="1">
      <c r="A17" s="60"/>
      <c r="B17" s="61">
        <v>4</v>
      </c>
      <c r="C17" s="21" t="s">
        <v>251</v>
      </c>
      <c r="D17" s="190">
        <v>4416</v>
      </c>
      <c r="E17" s="119" t="s">
        <v>159</v>
      </c>
      <c r="F17" s="194">
        <v>57652</v>
      </c>
      <c r="G17" s="122" t="s">
        <v>714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s">
        <v>233</v>
      </c>
      <c r="W17" s="69" t="e">
        <v>#N/A</v>
      </c>
      <c r="Y17" t="s">
        <v>145</v>
      </c>
      <c r="Z17">
        <v>23893</v>
      </c>
      <c r="AA17" t="s">
        <v>332</v>
      </c>
      <c r="AB17" t="s">
        <v>146</v>
      </c>
      <c r="AC17">
        <v>56033</v>
      </c>
      <c r="AD17" s="67" t="s">
        <v>368</v>
      </c>
    </row>
    <row r="18" spans="1:30" s="67" customFormat="1" ht="18" customHeight="1">
      <c r="A18" s="60"/>
      <c r="B18" s="61">
        <v>5</v>
      </c>
      <c r="C18" s="21" t="s">
        <v>691</v>
      </c>
      <c r="D18" s="190">
        <v>27498</v>
      </c>
      <c r="E18" s="119" t="s">
        <v>679</v>
      </c>
      <c r="F18" s="183">
        <v>57474</v>
      </c>
      <c r="G18" s="122" t="s">
        <v>678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e">
        <v>#N/A</v>
      </c>
      <c r="W18" s="69" t="e">
        <v>#N/A</v>
      </c>
      <c r="Y18" t="s">
        <v>253</v>
      </c>
      <c r="Z18">
        <v>5227</v>
      </c>
      <c r="AA18" t="s">
        <v>252</v>
      </c>
      <c r="AB18" t="s">
        <v>217</v>
      </c>
      <c r="AC18">
        <v>58632</v>
      </c>
      <c r="AD18" s="67" t="s">
        <v>366</v>
      </c>
    </row>
    <row r="19" spans="1:30" s="67" customFormat="1" ht="18" customHeight="1">
      <c r="A19" s="60"/>
      <c r="B19" s="61">
        <v>6</v>
      </c>
      <c r="C19" s="21" t="s">
        <v>309</v>
      </c>
      <c r="D19" s="190">
        <v>8082</v>
      </c>
      <c r="E19" s="119" t="s">
        <v>656</v>
      </c>
      <c r="F19" s="194">
        <v>61681</v>
      </c>
      <c r="G19" s="122" t="s">
        <v>652</v>
      </c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v>#N/A</v>
      </c>
      <c r="W19" s="69" t="e">
        <v>#N/A</v>
      </c>
      <c r="Y19" t="s">
        <v>309</v>
      </c>
      <c r="Z19">
        <v>8082</v>
      </c>
      <c r="AA19" t="s">
        <v>308</v>
      </c>
      <c r="AB19" t="s">
        <v>134</v>
      </c>
      <c r="AC19">
        <v>59855</v>
      </c>
      <c r="AD19" s="67" t="s">
        <v>355</v>
      </c>
    </row>
    <row r="20" spans="1:30" s="67" customFormat="1" ht="18" customHeight="1">
      <c r="A20" s="60"/>
      <c r="B20" s="61">
        <v>7</v>
      </c>
      <c r="C20" s="21" t="s">
        <v>692</v>
      </c>
      <c r="D20" s="190">
        <v>21313</v>
      </c>
      <c r="E20" s="119" t="s">
        <v>526</v>
      </c>
      <c r="F20" s="183">
        <v>53892</v>
      </c>
      <c r="G20" s="122" t="s">
        <v>527</v>
      </c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v>#N/A</v>
      </c>
      <c r="W20" s="69" t="e">
        <v>#N/A</v>
      </c>
      <c r="Y20" t="s">
        <v>112</v>
      </c>
      <c r="Z20">
        <v>1541</v>
      </c>
      <c r="AA20" t="s">
        <v>282</v>
      </c>
      <c r="AB20" t="s">
        <v>115</v>
      </c>
      <c r="AC20">
        <v>57225</v>
      </c>
      <c r="AD20" s="67" t="s">
        <v>367</v>
      </c>
    </row>
    <row r="21" spans="1:30" s="67" customFormat="1" ht="18" customHeight="1">
      <c r="A21" s="60"/>
      <c r="B21" s="61">
        <v>8</v>
      </c>
      <c r="C21" s="21" t="s">
        <v>165</v>
      </c>
      <c r="D21" s="190">
        <v>12159</v>
      </c>
      <c r="E21" s="119" t="s">
        <v>543</v>
      </c>
      <c r="F21" s="183">
        <v>57710</v>
      </c>
      <c r="G21" s="122" t="s">
        <v>544</v>
      </c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e">
        <v>#N/A</v>
      </c>
      <c r="W21" s="69" t="e">
        <v>#N/A</v>
      </c>
      <c r="Y21" t="s">
        <v>165</v>
      </c>
      <c r="Z21">
        <v>12159</v>
      </c>
      <c r="AA21" t="s">
        <v>336</v>
      </c>
      <c r="AB21" t="s">
        <v>164</v>
      </c>
      <c r="AC21">
        <v>58228</v>
      </c>
      <c r="AD21" s="67" t="s">
        <v>372</v>
      </c>
    </row>
    <row r="22" spans="1:30" s="67" customFormat="1" ht="18" customHeight="1">
      <c r="A22" s="60"/>
      <c r="B22" s="61">
        <v>9</v>
      </c>
      <c r="C22" s="80" t="s">
        <v>694</v>
      </c>
      <c r="D22" s="187">
        <v>25662</v>
      </c>
      <c r="E22" s="90" t="s">
        <v>568</v>
      </c>
      <c r="F22" s="186">
        <v>60576</v>
      </c>
      <c r="G22" s="87" t="s">
        <v>566</v>
      </c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e">
        <v>#N/A</v>
      </c>
      <c r="W22" s="69" t="e">
        <v>#N/A</v>
      </c>
      <c r="Y22" t="s">
        <v>323</v>
      </c>
      <c r="Z22">
        <v>26053</v>
      </c>
      <c r="AA22" t="s">
        <v>322</v>
      </c>
      <c r="AB22"/>
      <c r="AC22"/>
    </row>
    <row r="23" spans="1:30" s="67" customFormat="1" ht="18" customHeight="1">
      <c r="A23" s="60"/>
      <c r="B23" s="61">
        <v>10</v>
      </c>
      <c r="C23" s="21" t="s">
        <v>319</v>
      </c>
      <c r="D23" s="185">
        <v>18817</v>
      </c>
      <c r="E23" s="119" t="s">
        <v>618</v>
      </c>
      <c r="F23" s="183">
        <v>61767</v>
      </c>
      <c r="G23" s="122" t="s">
        <v>717</v>
      </c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e">
        <v>#N/A</v>
      </c>
      <c r="W23" s="69" t="e">
        <v>#N/A</v>
      </c>
      <c r="Y23" t="s">
        <v>319</v>
      </c>
      <c r="Z23">
        <v>18817</v>
      </c>
      <c r="AA23" t="s">
        <v>318</v>
      </c>
      <c r="AB23" t="s">
        <v>163</v>
      </c>
      <c r="AC23">
        <v>58664</v>
      </c>
      <c r="AD23" s="67" t="s">
        <v>360</v>
      </c>
    </row>
    <row r="24" spans="1:30" s="67" customFormat="1" ht="18" customHeight="1">
      <c r="A24" s="60"/>
      <c r="B24" s="61">
        <v>11</v>
      </c>
      <c r="C24" s="80" t="s">
        <v>695</v>
      </c>
      <c r="D24" s="187">
        <v>32418</v>
      </c>
      <c r="E24" s="90" t="s">
        <v>578</v>
      </c>
      <c r="F24" s="186">
        <v>57969</v>
      </c>
      <c r="G24" s="87" t="s">
        <v>575</v>
      </c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e">
        <v>#N/A</v>
      </c>
      <c r="W24" s="69" t="e">
        <v>#N/A</v>
      </c>
      <c r="Y24" t="s">
        <v>307</v>
      </c>
      <c r="Z24">
        <v>27056</v>
      </c>
      <c r="AA24" t="s">
        <v>306</v>
      </c>
      <c r="AB24"/>
      <c r="AC24"/>
    </row>
    <row r="25" spans="1:30" s="67" customFormat="1" ht="18" customHeight="1">
      <c r="A25" s="60"/>
      <c r="B25" s="61">
        <v>12</v>
      </c>
      <c r="C25" s="80" t="s">
        <v>696</v>
      </c>
      <c r="D25" s="187">
        <v>20359</v>
      </c>
      <c r="E25" s="90" t="s">
        <v>585</v>
      </c>
      <c r="F25" s="186">
        <v>61773</v>
      </c>
      <c r="G25" s="89" t="s">
        <v>586</v>
      </c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e">
        <v>#N/A</v>
      </c>
      <c r="W25" s="69" t="e">
        <v>#N/A</v>
      </c>
      <c r="Y25" t="s">
        <v>346</v>
      </c>
      <c r="Z25">
        <v>18048</v>
      </c>
      <c r="AA25" t="s">
        <v>345</v>
      </c>
      <c r="AB25"/>
      <c r="AC25"/>
    </row>
    <row r="26" spans="1:30" s="67" customFormat="1" ht="18" customHeight="1">
      <c r="A26" s="60"/>
      <c r="B26" s="61">
        <v>13</v>
      </c>
      <c r="C26" s="229" t="s">
        <v>693</v>
      </c>
      <c r="D26" s="184">
        <v>33929</v>
      </c>
      <c r="E26" s="91" t="s">
        <v>551</v>
      </c>
      <c r="F26" s="193">
        <v>58085</v>
      </c>
      <c r="G26" s="112" t="s">
        <v>554</v>
      </c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e">
        <v>#N/A</v>
      </c>
      <c r="W26" s="69" t="e">
        <v>#N/A</v>
      </c>
      <c r="Y26" t="s">
        <v>327</v>
      </c>
      <c r="Z26">
        <v>25761</v>
      </c>
      <c r="AA26" t="s">
        <v>326</v>
      </c>
      <c r="AB26" t="s">
        <v>200</v>
      </c>
      <c r="AC26">
        <v>60937</v>
      </c>
      <c r="AD26" s="67" t="s">
        <v>363</v>
      </c>
    </row>
    <row r="27" spans="1:30" s="67" customFormat="1" ht="18" customHeight="1">
      <c r="A27" s="60"/>
      <c r="B27" s="61">
        <v>14</v>
      </c>
      <c r="C27" s="21" t="s">
        <v>160</v>
      </c>
      <c r="D27" s="190">
        <v>19572</v>
      </c>
      <c r="E27" s="119" t="s">
        <v>596</v>
      </c>
      <c r="F27" s="194">
        <v>59233</v>
      </c>
      <c r="G27" s="122" t="s">
        <v>595</v>
      </c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e">
        <v>#N/A</v>
      </c>
      <c r="W27" s="69" t="e">
        <v>#N/A</v>
      </c>
      <c r="Y27" t="s">
        <v>315</v>
      </c>
      <c r="Z27">
        <v>9498</v>
      </c>
      <c r="AA27" t="s">
        <v>314</v>
      </c>
      <c r="AB27" t="s">
        <v>150</v>
      </c>
      <c r="AC27">
        <v>60547</v>
      </c>
      <c r="AD27" s="67" t="s">
        <v>374</v>
      </c>
    </row>
    <row r="28" spans="1:30" s="67" customFormat="1" ht="18" customHeight="1">
      <c r="A28" s="60"/>
      <c r="B28" s="61">
        <v>15</v>
      </c>
      <c r="C28" s="21" t="s">
        <v>697</v>
      </c>
      <c r="D28" s="190">
        <v>28816</v>
      </c>
      <c r="E28" s="119" t="s">
        <v>698</v>
      </c>
      <c r="F28" s="194">
        <v>58420</v>
      </c>
      <c r="G28" s="122" t="s">
        <v>600</v>
      </c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e">
        <v>#N/A</v>
      </c>
      <c r="W28" s="69" t="e">
        <v>#N/A</v>
      </c>
      <c r="Y28" t="s">
        <v>335</v>
      </c>
      <c r="Z28">
        <v>27575</v>
      </c>
      <c r="AA28" t="s">
        <v>334</v>
      </c>
      <c r="AB28" t="s">
        <v>144</v>
      </c>
      <c r="AC28">
        <v>59546</v>
      </c>
      <c r="AD28" s="67" t="s">
        <v>370</v>
      </c>
    </row>
    <row r="29" spans="1:30" s="67" customFormat="1" ht="18" customHeight="1">
      <c r="A29" s="60"/>
      <c r="B29" s="61">
        <v>16</v>
      </c>
      <c r="C29" s="223" t="s">
        <v>461</v>
      </c>
      <c r="D29" s="188">
        <v>7270</v>
      </c>
      <c r="E29" s="91" t="s">
        <v>523</v>
      </c>
      <c r="F29" s="193">
        <v>60948</v>
      </c>
      <c r="G29" s="113" t="s">
        <v>519</v>
      </c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e">
        <v>#N/A</v>
      </c>
      <c r="W29" s="69" t="e">
        <v>#N/A</v>
      </c>
      <c r="Y29" t="s">
        <v>313</v>
      </c>
      <c r="Z29">
        <v>3337</v>
      </c>
      <c r="AA29" t="s">
        <v>312</v>
      </c>
      <c r="AB29" t="s">
        <v>209</v>
      </c>
      <c r="AC29">
        <v>58118</v>
      </c>
      <c r="AD29" s="67" t="s">
        <v>357</v>
      </c>
    </row>
    <row r="30" spans="1:30" s="67" customFormat="1" ht="18" customHeight="1">
      <c r="A30" s="60"/>
      <c r="B30" s="61">
        <v>17</v>
      </c>
      <c r="C30" s="223" t="s">
        <v>605</v>
      </c>
      <c r="D30" s="188">
        <v>32313</v>
      </c>
      <c r="E30" s="92" t="s">
        <v>606</v>
      </c>
      <c r="F30" s="193">
        <v>58633</v>
      </c>
      <c r="G30" s="112" t="s">
        <v>607</v>
      </c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e">
        <v>#N/A</v>
      </c>
      <c r="W30" s="69" t="e">
        <v>#N/A</v>
      </c>
      <c r="Y30" t="s">
        <v>344</v>
      </c>
      <c r="Z30">
        <v>20200</v>
      </c>
      <c r="AA30" t="s">
        <v>343</v>
      </c>
      <c r="AB30" t="s">
        <v>117</v>
      </c>
      <c r="AC30">
        <v>57672</v>
      </c>
      <c r="AD30" s="67" t="s">
        <v>378</v>
      </c>
    </row>
    <row r="31" spans="1:30" s="67" customFormat="1" ht="18" customHeight="1">
      <c r="A31" s="60"/>
      <c r="B31" s="61">
        <v>18</v>
      </c>
      <c r="C31" s="21" t="s">
        <v>699</v>
      </c>
      <c r="D31" s="190">
        <v>14546</v>
      </c>
      <c r="E31" s="119" t="s">
        <v>625</v>
      </c>
      <c r="F31" s="183">
        <v>60834</v>
      </c>
      <c r="G31" s="122" t="s">
        <v>626</v>
      </c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s">
        <v>233</v>
      </c>
      <c r="W31" s="69" t="s">
        <v>234</v>
      </c>
      <c r="Y31" t="s">
        <v>224</v>
      </c>
      <c r="Z31">
        <v>13141</v>
      </c>
      <c r="AA31" t="s">
        <v>333</v>
      </c>
      <c r="AB31" t="s">
        <v>225</v>
      </c>
      <c r="AC31">
        <v>60518</v>
      </c>
      <c r="AD31" s="67" t="s">
        <v>369</v>
      </c>
    </row>
    <row r="32" spans="1:30" s="67" customFormat="1" ht="18" customHeight="1">
      <c r="A32" s="60"/>
      <c r="B32" s="61">
        <v>19</v>
      </c>
      <c r="C32" s="21" t="s">
        <v>700</v>
      </c>
      <c r="D32" s="190">
        <v>25255</v>
      </c>
      <c r="E32" s="119" t="s">
        <v>619</v>
      </c>
      <c r="F32" s="194">
        <v>59824</v>
      </c>
      <c r="G32" s="124" t="s">
        <v>717</v>
      </c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s">
        <v>233</v>
      </c>
      <c r="W32" s="69" t="e">
        <v>#N/A</v>
      </c>
      <c r="Y32" t="s">
        <v>253</v>
      </c>
      <c r="Z32">
        <v>5227</v>
      </c>
      <c r="AA32" t="s">
        <v>252</v>
      </c>
      <c r="AB32" t="s">
        <v>216</v>
      </c>
      <c r="AC32">
        <v>57458</v>
      </c>
      <c r="AD32" s="67" t="s">
        <v>380</v>
      </c>
    </row>
    <row r="33" spans="1:30" s="67" customFormat="1" ht="18" customHeight="1">
      <c r="A33" s="60"/>
      <c r="B33" s="61">
        <v>20</v>
      </c>
      <c r="C33" s="230" t="s">
        <v>701</v>
      </c>
      <c r="D33" s="210">
        <v>26433</v>
      </c>
      <c r="E33" s="126" t="s">
        <v>632</v>
      </c>
      <c r="F33" s="212">
        <v>61240</v>
      </c>
      <c r="G33" s="135" t="s">
        <v>626</v>
      </c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e">
        <v>#N/A</v>
      </c>
      <c r="W33" s="69" t="e">
        <v>#N/A</v>
      </c>
      <c r="Y33" t="s">
        <v>244</v>
      </c>
      <c r="Z33">
        <v>28711</v>
      </c>
      <c r="AA33" t="s">
        <v>243</v>
      </c>
      <c r="AB33" t="s">
        <v>213</v>
      </c>
      <c r="AC33">
        <v>58979</v>
      </c>
      <c r="AD33" s="67" t="s">
        <v>364</v>
      </c>
    </row>
    <row r="34" spans="1:30" s="67" customFormat="1" ht="18" customHeight="1">
      <c r="A34" s="60"/>
      <c r="B34" s="61">
        <v>21</v>
      </c>
      <c r="C34" s="21" t="s">
        <v>325</v>
      </c>
      <c r="D34" s="190">
        <v>18386</v>
      </c>
      <c r="E34" s="119" t="s">
        <v>215</v>
      </c>
      <c r="F34" s="194">
        <v>59349</v>
      </c>
      <c r="G34" s="122" t="s">
        <v>649</v>
      </c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e">
        <v>#N/A</v>
      </c>
      <c r="W34" s="69" t="e">
        <v>#N/A</v>
      </c>
      <c r="Y34" t="s">
        <v>251</v>
      </c>
      <c r="Z34">
        <v>4416</v>
      </c>
      <c r="AA34" t="s">
        <v>250</v>
      </c>
      <c r="AB34" t="s">
        <v>157</v>
      </c>
      <c r="AC34">
        <v>58879</v>
      </c>
      <c r="AD34" s="67" t="s">
        <v>351</v>
      </c>
    </row>
    <row r="35" spans="1:30" s="67" customFormat="1" ht="18" customHeight="1">
      <c r="A35" s="60"/>
      <c r="B35" s="61">
        <v>22</v>
      </c>
      <c r="C35" s="80" t="s">
        <v>702</v>
      </c>
      <c r="D35" s="187">
        <v>27382</v>
      </c>
      <c r="E35" s="90" t="s">
        <v>651</v>
      </c>
      <c r="F35" s="186">
        <v>61157</v>
      </c>
      <c r="G35" s="122" t="s">
        <v>649</v>
      </c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s">
        <v>233</v>
      </c>
      <c r="W35" s="69" t="e">
        <v>#N/A</v>
      </c>
      <c r="Y35" t="s">
        <v>279</v>
      </c>
      <c r="Z35">
        <v>29352</v>
      </c>
      <c r="AA35" t="s">
        <v>278</v>
      </c>
      <c r="AB35"/>
      <c r="AC35"/>
    </row>
    <row r="36" spans="1:30" s="67" customFormat="1" ht="18" customHeight="1">
      <c r="A36" s="60"/>
      <c r="B36" s="61">
        <v>23</v>
      </c>
      <c r="C36" s="223" t="s">
        <v>342</v>
      </c>
      <c r="D36" s="188">
        <v>18717</v>
      </c>
      <c r="E36" s="90" t="s">
        <v>558</v>
      </c>
      <c r="F36" s="186">
        <v>61372</v>
      </c>
      <c r="G36" s="87" t="s">
        <v>554</v>
      </c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">
        <v>233</v>
      </c>
      <c r="W36" s="69" t="e">
        <v>#N/A</v>
      </c>
      <c r="Y36" t="s">
        <v>329</v>
      </c>
      <c r="Z36">
        <v>23892</v>
      </c>
      <c r="AA36" t="s">
        <v>328</v>
      </c>
      <c r="AB36" t="s">
        <v>123</v>
      </c>
      <c r="AC36">
        <v>60508</v>
      </c>
      <c r="AD36" s="67" t="s">
        <v>303</v>
      </c>
    </row>
    <row r="37" spans="1:30" s="67" customFormat="1" ht="18" customHeight="1">
      <c r="A37" s="60"/>
      <c r="B37" s="61">
        <v>24</v>
      </c>
      <c r="C37" s="80" t="s">
        <v>251</v>
      </c>
      <c r="D37" s="187">
        <v>4416</v>
      </c>
      <c r="E37" s="90" t="s">
        <v>530</v>
      </c>
      <c r="F37" s="186">
        <v>60825</v>
      </c>
      <c r="G37" s="112" t="s">
        <v>714</v>
      </c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e">
        <v>#N/A</v>
      </c>
      <c r="W37" s="69" t="e">
        <v>#N/A</v>
      </c>
      <c r="Y37"/>
      <c r="Z37"/>
      <c r="AA37"/>
      <c r="AB37" t="s">
        <v>201</v>
      </c>
      <c r="AC37">
        <v>57573</v>
      </c>
      <c r="AD37" s="67" t="s">
        <v>373</v>
      </c>
    </row>
    <row r="38" spans="1:30" s="67" customFormat="1" ht="18" customHeight="1">
      <c r="A38" s="60"/>
      <c r="B38" s="61">
        <v>25</v>
      </c>
      <c r="C38" s="80" t="s">
        <v>691</v>
      </c>
      <c r="D38" s="187">
        <v>27498</v>
      </c>
      <c r="E38" s="90" t="s">
        <v>677</v>
      </c>
      <c r="F38" s="186">
        <v>57212</v>
      </c>
      <c r="G38" s="88" t="s">
        <v>678</v>
      </c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e">
        <v>#N/A</v>
      </c>
      <c r="W38" s="69" t="e">
        <v>#N/A</v>
      </c>
      <c r="Y38" t="s">
        <v>340</v>
      </c>
      <c r="Z38">
        <v>32410</v>
      </c>
      <c r="AA38" t="s">
        <v>339</v>
      </c>
      <c r="AB38" t="s">
        <v>122</v>
      </c>
      <c r="AC38">
        <v>55428</v>
      </c>
      <c r="AD38" s="67" t="s">
        <v>376</v>
      </c>
    </row>
    <row r="39" spans="1:30" s="67" customFormat="1" ht="18" customHeight="1">
      <c r="A39" s="60"/>
      <c r="B39" s="61">
        <v>26</v>
      </c>
      <c r="C39" s="84" t="s">
        <v>658</v>
      </c>
      <c r="D39" s="185">
        <v>28566</v>
      </c>
      <c r="E39" s="118" t="s">
        <v>659</v>
      </c>
      <c r="F39" s="189">
        <v>61794</v>
      </c>
      <c r="G39" s="124" t="s">
        <v>660</v>
      </c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e">
        <v>#N/A</v>
      </c>
      <c r="W39" s="69" t="e">
        <v>#N/A</v>
      </c>
      <c r="Y39" t="s">
        <v>338</v>
      </c>
      <c r="Z39">
        <v>27853</v>
      </c>
      <c r="AA39" t="s">
        <v>337</v>
      </c>
      <c r="AB39"/>
      <c r="AC39"/>
    </row>
    <row r="40" spans="1:30" s="67" customFormat="1" ht="18" customHeight="1">
      <c r="A40" s="60"/>
      <c r="B40" s="61">
        <v>27</v>
      </c>
      <c r="C40" s="80" t="s">
        <v>309</v>
      </c>
      <c r="D40" s="187">
        <v>8082</v>
      </c>
      <c r="E40" s="90" t="s">
        <v>130</v>
      </c>
      <c r="F40" s="186">
        <v>60439</v>
      </c>
      <c r="G40" s="88" t="s">
        <v>652</v>
      </c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e">
        <v>#N/A</v>
      </c>
      <c r="W40" s="69" t="e">
        <v>#N/A</v>
      </c>
      <c r="Y40" t="s">
        <v>342</v>
      </c>
      <c r="Z40">
        <v>18717</v>
      </c>
      <c r="AA40" t="s">
        <v>341</v>
      </c>
      <c r="AB40" t="s">
        <v>179</v>
      </c>
      <c r="AC40">
        <v>60414</v>
      </c>
      <c r="AD40" s="67" t="s">
        <v>377</v>
      </c>
    </row>
    <row r="41" spans="1:30" s="67" customFormat="1" ht="18" customHeight="1">
      <c r="A41" s="60"/>
      <c r="B41" s="61">
        <v>28</v>
      </c>
      <c r="C41" s="21" t="s">
        <v>662</v>
      </c>
      <c r="D41" s="190">
        <v>33872</v>
      </c>
      <c r="E41" s="119" t="s">
        <v>661</v>
      </c>
      <c r="F41" s="194">
        <v>60703</v>
      </c>
      <c r="G41" s="113" t="s">
        <v>660</v>
      </c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e">
        <v>#N/A</v>
      </c>
      <c r="W41" s="69" t="e">
        <v>#N/A</v>
      </c>
      <c r="Y41" t="s">
        <v>112</v>
      </c>
      <c r="Z41">
        <v>1541</v>
      </c>
      <c r="AA41" t="s">
        <v>282</v>
      </c>
      <c r="AB41" t="s">
        <v>114</v>
      </c>
      <c r="AC41">
        <v>56268</v>
      </c>
      <c r="AD41" s="67" t="s">
        <v>353</v>
      </c>
    </row>
    <row r="42" spans="1:30" s="67" customFormat="1" ht="18" customHeight="1">
      <c r="A42" s="60"/>
      <c r="B42" s="61">
        <v>29</v>
      </c>
      <c r="C42" s="21" t="s">
        <v>317</v>
      </c>
      <c r="D42" s="190">
        <v>10571</v>
      </c>
      <c r="E42" s="119" t="s">
        <v>657</v>
      </c>
      <c r="F42" s="183">
        <v>61781</v>
      </c>
      <c r="G42" s="122" t="s">
        <v>652</v>
      </c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e">
        <v>#N/A</v>
      </c>
      <c r="W42" s="69" t="e">
        <v>#N/A</v>
      </c>
      <c r="Y42" t="s">
        <v>290</v>
      </c>
      <c r="Z42">
        <v>2655</v>
      </c>
      <c r="AA42" t="s">
        <v>289</v>
      </c>
      <c r="AB42" t="s">
        <v>124</v>
      </c>
      <c r="AC42">
        <v>56829</v>
      </c>
      <c r="AD42" s="67" t="s">
        <v>300</v>
      </c>
    </row>
    <row r="43" spans="1:30" s="67" customFormat="1" ht="18" customHeight="1">
      <c r="A43" s="60"/>
      <c r="B43" s="61">
        <v>30</v>
      </c>
      <c r="C43" s="84" t="s">
        <v>461</v>
      </c>
      <c r="D43" s="185">
        <v>7270</v>
      </c>
      <c r="E43" s="119" t="s">
        <v>524</v>
      </c>
      <c r="F43" s="194">
        <v>60672</v>
      </c>
      <c r="G43" s="122" t="s">
        <v>519</v>
      </c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e">
        <v>#N/A</v>
      </c>
      <c r="W43" s="69" t="e">
        <v>#N/A</v>
      </c>
      <c r="Y43" t="s">
        <v>321</v>
      </c>
      <c r="Z43">
        <v>14856</v>
      </c>
      <c r="AA43" t="s">
        <v>320</v>
      </c>
      <c r="AB43" t="s">
        <v>174</v>
      </c>
      <c r="AC43">
        <v>60951</v>
      </c>
      <c r="AD43" s="67" t="s">
        <v>375</v>
      </c>
    </row>
    <row r="44" spans="1:30" s="67" customFormat="1" ht="18" customHeight="1">
      <c r="A44" s="60"/>
      <c r="B44" s="61">
        <v>31</v>
      </c>
      <c r="C44" s="119"/>
      <c r="D44" s="190"/>
      <c r="E44" s="119"/>
      <c r="F44" s="183"/>
      <c r="G44" s="122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e">
        <v>#N/A</v>
      </c>
      <c r="W44" s="69" t="e">
        <v>#N/A</v>
      </c>
      <c r="Y44" t="s">
        <v>325</v>
      </c>
      <c r="Z44">
        <v>18386</v>
      </c>
      <c r="AA44" t="s">
        <v>324</v>
      </c>
      <c r="AB44" t="s">
        <v>215</v>
      </c>
      <c r="AC44">
        <v>59349</v>
      </c>
      <c r="AD44" s="67" t="s">
        <v>362</v>
      </c>
    </row>
    <row r="45" spans="1:30" s="67" customFormat="1" ht="18" customHeight="1">
      <c r="A45" s="60"/>
      <c r="B45" s="61">
        <v>32</v>
      </c>
      <c r="C45" s="87"/>
      <c r="D45" s="187"/>
      <c r="E45" s="90"/>
      <c r="F45" s="186"/>
      <c r="G45" s="87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e">
        <v>#N/A</v>
      </c>
      <c r="W45" s="69" t="e">
        <v>#N/A</v>
      </c>
      <c r="Y45"/>
      <c r="Z45"/>
      <c r="AA45"/>
      <c r="AB45" t="s">
        <v>121</v>
      </c>
      <c r="AC45">
        <v>59578</v>
      </c>
      <c r="AD45" s="67" t="s">
        <v>354</v>
      </c>
    </row>
    <row r="46" spans="1:30" s="67" customFormat="1" ht="18" customHeight="1">
      <c r="A46" s="60"/>
      <c r="B46" s="61">
        <v>33</v>
      </c>
      <c r="C46" s="119"/>
      <c r="D46" s="190"/>
      <c r="E46" s="119"/>
      <c r="F46" s="194"/>
      <c r="G46" s="122"/>
      <c r="H46" s="22"/>
      <c r="I46" s="22"/>
      <c r="J46" s="62" t="str">
        <f t="shared" ref="J46:J77" si="4">IF(H46="","",H46+I46)</f>
        <v/>
      </c>
      <c r="K46" s="63"/>
      <c r="L46" s="63"/>
      <c r="M46" s="64" t="str">
        <f t="shared" ref="M46:M77" si="5">IF(L46="","",K46+L46)</f>
        <v/>
      </c>
      <c r="N46" s="22"/>
      <c r="O46" s="22"/>
      <c r="P46" s="62" t="str">
        <f t="shared" ref="P46:P77" si="6">IF(N46="","",N46+O46)</f>
        <v/>
      </c>
      <c r="Q46" s="63"/>
      <c r="R46" s="63"/>
      <c r="S46" s="64" t="str">
        <f t="shared" ref="S46:S77" si="7">IF(R46="","",Q46+R46)</f>
        <v/>
      </c>
      <c r="T46" s="65"/>
      <c r="U46" s="66"/>
      <c r="V46" s="18" t="e">
        <v>#N/A</v>
      </c>
      <c r="W46" s="69" t="e">
        <v>#N/A</v>
      </c>
      <c r="Y46" t="s">
        <v>244</v>
      </c>
      <c r="Z46">
        <v>28711</v>
      </c>
      <c r="AA46" t="s">
        <v>243</v>
      </c>
      <c r="AB46" t="s">
        <v>214</v>
      </c>
      <c r="AC46">
        <v>58811</v>
      </c>
      <c r="AD46" s="67" t="s">
        <v>379</v>
      </c>
    </row>
    <row r="47" spans="1:30" s="67" customFormat="1" ht="18" customHeight="1">
      <c r="A47" s="60"/>
      <c r="B47" s="61">
        <v>34</v>
      </c>
      <c r="C47" s="119"/>
      <c r="D47" s="190"/>
      <c r="E47" s="119"/>
      <c r="F47" s="183"/>
      <c r="G47" s="122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e">
        <v>#N/A</v>
      </c>
      <c r="W47" s="69" t="e">
        <v>#N/A</v>
      </c>
      <c r="Y47" t="s">
        <v>315</v>
      </c>
      <c r="Z47">
        <v>9498</v>
      </c>
      <c r="AA47" t="s">
        <v>314</v>
      </c>
      <c r="AB47" t="s">
        <v>153</v>
      </c>
      <c r="AC47">
        <v>60545</v>
      </c>
      <c r="AD47" s="67" t="s">
        <v>358</v>
      </c>
    </row>
    <row r="48" spans="1:30" s="67" customFormat="1" ht="18" customHeight="1">
      <c r="A48" s="60"/>
      <c r="B48" s="61">
        <v>35</v>
      </c>
      <c r="C48" s="119"/>
      <c r="D48" s="190"/>
      <c r="E48" s="119"/>
      <c r="F48" s="194"/>
      <c r="G48" s="122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e">
        <v>#N/A</v>
      </c>
      <c r="W48" s="69" t="e">
        <v>#N/A</v>
      </c>
      <c r="Y48" t="s">
        <v>317</v>
      </c>
      <c r="Z48">
        <v>10571</v>
      </c>
      <c r="AA48" t="s">
        <v>316</v>
      </c>
      <c r="AB48" t="s">
        <v>133</v>
      </c>
      <c r="AC48">
        <v>59937</v>
      </c>
      <c r="AD48" s="67" t="s">
        <v>359</v>
      </c>
    </row>
    <row r="49" spans="1:30" s="67" customFormat="1" ht="18" customHeight="1">
      <c r="A49" s="60"/>
      <c r="B49" s="61">
        <v>36</v>
      </c>
      <c r="C49" s="119"/>
      <c r="D49" s="190"/>
      <c r="E49" s="119"/>
      <c r="F49" s="194"/>
      <c r="G49" s="122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">
        <v>233</v>
      </c>
      <c r="W49" s="69" t="e">
        <v>#N/A</v>
      </c>
      <c r="Y49" t="s">
        <v>321</v>
      </c>
      <c r="Z49">
        <v>14856</v>
      </c>
      <c r="AA49" t="s">
        <v>320</v>
      </c>
      <c r="AB49" t="s">
        <v>175</v>
      </c>
      <c r="AC49">
        <v>58654</v>
      </c>
      <c r="AD49" s="67" t="s">
        <v>361</v>
      </c>
    </row>
    <row r="50" spans="1:30" s="67" customFormat="1" ht="18" customHeight="1">
      <c r="A50" s="60"/>
      <c r="B50" s="61">
        <v>37</v>
      </c>
      <c r="C50" s="118"/>
      <c r="D50" s="185"/>
      <c r="E50" s="118"/>
      <c r="F50" s="192"/>
      <c r="G50" s="124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e">
        <v>#N/A</v>
      </c>
      <c r="W50" s="69" t="e">
        <v>#N/A</v>
      </c>
      <c r="Y50" t="s">
        <v>251</v>
      </c>
      <c r="Z50">
        <v>4416</v>
      </c>
      <c r="AA50" t="s">
        <v>250</v>
      </c>
      <c r="AB50"/>
      <c r="AC50"/>
    </row>
    <row r="51" spans="1:30" s="67" customFormat="1" ht="18" customHeight="1">
      <c r="A51" s="60"/>
      <c r="B51" s="61">
        <v>38</v>
      </c>
      <c r="C51" s="100"/>
      <c r="D51" s="203"/>
      <c r="E51" s="99"/>
      <c r="F51" s="197"/>
      <c r="G51" s="98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e">
        <v>#N/A</v>
      </c>
      <c r="W51" s="69" t="e">
        <v>#N/A</v>
      </c>
      <c r="Y51" t="s">
        <v>311</v>
      </c>
      <c r="Z51">
        <v>28178</v>
      </c>
      <c r="AA51" t="s">
        <v>310</v>
      </c>
      <c r="AB51" t="s">
        <v>180</v>
      </c>
      <c r="AC51">
        <v>60270</v>
      </c>
      <c r="AD51" s="67" t="s">
        <v>356</v>
      </c>
    </row>
    <row r="52" spans="1:30" s="67" customFormat="1" ht="18" customHeight="1">
      <c r="A52" s="60"/>
      <c r="B52" s="61">
        <v>39</v>
      </c>
      <c r="C52" s="87"/>
      <c r="D52" s="187"/>
      <c r="E52" s="90"/>
      <c r="F52" s="186"/>
      <c r="G52" s="104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e">
        <v>#N/A</v>
      </c>
      <c r="W52" s="69" t="e">
        <v>#N/A</v>
      </c>
      <c r="Y52" t="s">
        <v>309</v>
      </c>
      <c r="Z52">
        <v>8082</v>
      </c>
      <c r="AA52" t="s">
        <v>308</v>
      </c>
      <c r="AB52" t="s">
        <v>135</v>
      </c>
      <c r="AC52">
        <v>58171</v>
      </c>
      <c r="AD52" s="67" t="s">
        <v>371</v>
      </c>
    </row>
    <row r="53" spans="1:30" s="67" customFormat="1" ht="18" customHeight="1">
      <c r="A53" s="60"/>
      <c r="B53" s="61">
        <v>40</v>
      </c>
      <c r="C53" s="87"/>
      <c r="D53" s="187"/>
      <c r="E53" s="90"/>
      <c r="F53" s="186"/>
      <c r="G53" s="104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e">
        <v>#N/A</v>
      </c>
      <c r="W53" s="69" t="e">
        <v>#N/A</v>
      </c>
      <c r="Y53" t="s">
        <v>251</v>
      </c>
      <c r="Z53">
        <v>4416</v>
      </c>
      <c r="AA53" t="s">
        <v>250</v>
      </c>
      <c r="AB53"/>
      <c r="AC53"/>
    </row>
    <row r="54" spans="1:30" s="67" customFormat="1" ht="18" customHeight="1">
      <c r="A54" s="60"/>
      <c r="B54" s="61">
        <v>41</v>
      </c>
      <c r="C54" s="87"/>
      <c r="D54" s="187"/>
      <c r="E54" s="90"/>
      <c r="F54" s="186"/>
      <c r="G54" s="87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e">
        <v>#N/A</v>
      </c>
      <c r="W54" s="69" t="e">
        <v>#N/A</v>
      </c>
      <c r="Y54" t="s">
        <v>307</v>
      </c>
      <c r="Z54">
        <v>27056</v>
      </c>
      <c r="AA54" t="s">
        <v>306</v>
      </c>
      <c r="AB54" t="s">
        <v>154</v>
      </c>
      <c r="AC54">
        <v>59561</v>
      </c>
      <c r="AD54" s="67" t="s">
        <v>381</v>
      </c>
    </row>
    <row r="55" spans="1:30" s="67" customFormat="1" ht="18" customHeight="1">
      <c r="A55" s="60"/>
      <c r="B55" s="61">
        <v>42</v>
      </c>
      <c r="C55" s="119"/>
      <c r="D55" s="190"/>
      <c r="E55" s="119"/>
      <c r="F55" s="194"/>
      <c r="G55" s="122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e">
        <v>#N/A</v>
      </c>
      <c r="W55" s="69" t="e">
        <v>#N/A</v>
      </c>
      <c r="Y55" t="s">
        <v>112</v>
      </c>
      <c r="Z55">
        <v>1541</v>
      </c>
      <c r="AA55" t="s">
        <v>282</v>
      </c>
      <c r="AB55" t="s">
        <v>113</v>
      </c>
      <c r="AC55">
        <v>59542</v>
      </c>
      <c r="AD55" s="67" t="s">
        <v>382</v>
      </c>
    </row>
    <row r="56" spans="1:30" s="67" customFormat="1" ht="18" customHeight="1">
      <c r="A56" s="60"/>
      <c r="B56" s="61"/>
      <c r="C56" s="133"/>
      <c r="D56" s="211"/>
      <c r="E56" s="131"/>
      <c r="F56" s="208"/>
      <c r="G56" s="93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e">
        <v>#N/A</v>
      </c>
      <c r="W56" s="69" t="e">
        <v>#N/A</v>
      </c>
      <c r="Y56" t="s">
        <v>348</v>
      </c>
      <c r="Z56">
        <v>33200</v>
      </c>
      <c r="AA56" t="s">
        <v>347</v>
      </c>
      <c r="AB56" t="s">
        <v>228</v>
      </c>
      <c r="AC56">
        <v>58512</v>
      </c>
      <c r="AD56" s="67" t="s">
        <v>383</v>
      </c>
    </row>
    <row r="57" spans="1:30" s="67" customFormat="1" ht="18" customHeight="1">
      <c r="A57" s="60"/>
      <c r="B57" s="61"/>
      <c r="C57" s="96"/>
      <c r="D57" s="204"/>
      <c r="E57" s="97"/>
      <c r="F57" s="208"/>
      <c r="G57" s="131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e">
        <v>#N/A</v>
      </c>
      <c r="W57" s="69" t="e">
        <v>#N/A</v>
      </c>
      <c r="Y57" t="s">
        <v>350</v>
      </c>
      <c r="Z57">
        <v>31292</v>
      </c>
      <c r="AA57" t="s">
        <v>349</v>
      </c>
      <c r="AB57"/>
      <c r="AC57"/>
    </row>
    <row r="58" spans="1:30" s="67" customFormat="1" ht="18" customHeight="1">
      <c r="A58" s="60"/>
      <c r="B58" s="61"/>
      <c r="C58" s="118"/>
      <c r="D58" s="185"/>
      <c r="E58" s="118"/>
      <c r="F58" s="192"/>
      <c r="G58" s="124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e">
        <v>#N/A</v>
      </c>
      <c r="W58" s="69" t="e">
        <v>#N/A</v>
      </c>
      <c r="Y58" t="s">
        <v>253</v>
      </c>
      <c r="Z58">
        <v>5227</v>
      </c>
      <c r="AA58" t="s">
        <v>252</v>
      </c>
      <c r="AB58" t="s">
        <v>218</v>
      </c>
      <c r="AC58">
        <v>58108</v>
      </c>
      <c r="AD58" s="67" t="s">
        <v>305</v>
      </c>
    </row>
    <row r="59" spans="1:30" s="67" customFormat="1" ht="18" customHeight="1">
      <c r="A59" s="60"/>
      <c r="B59" s="61"/>
      <c r="C59" s="94"/>
      <c r="D59" s="205"/>
      <c r="E59" s="91"/>
      <c r="F59" s="193"/>
      <c r="G59" s="112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e">
        <v>#N/A</v>
      </c>
      <c r="W59" s="69" t="e">
        <v>#N/A</v>
      </c>
      <c r="Y59" t="s">
        <v>296</v>
      </c>
      <c r="Z59">
        <v>32803</v>
      </c>
      <c r="AA59" t="s">
        <v>295</v>
      </c>
      <c r="AB59" t="s">
        <v>223</v>
      </c>
      <c r="AC59">
        <v>60656</v>
      </c>
      <c r="AD59" s="67" t="s">
        <v>304</v>
      </c>
    </row>
    <row r="60" spans="1:30" s="67" customFormat="1" ht="18" customHeight="1">
      <c r="A60" s="60"/>
      <c r="B60" s="61"/>
      <c r="C60" s="94"/>
      <c r="D60" s="205"/>
      <c r="E60" s="91"/>
      <c r="F60" s="193"/>
      <c r="G60" s="112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">
        <v>68</v>
      </c>
      <c r="W60" s="69" t="s">
        <v>68</v>
      </c>
      <c r="Y60"/>
      <c r="Z60"/>
      <c r="AA60"/>
      <c r="AB60"/>
      <c r="AC60"/>
    </row>
    <row r="61" spans="1:30" s="67" customFormat="1" ht="18" customHeight="1">
      <c r="A61" s="60"/>
      <c r="B61" s="61"/>
      <c r="C61" s="87"/>
      <c r="D61" s="187"/>
      <c r="E61" s="126"/>
      <c r="F61" s="186"/>
      <c r="G61" s="127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">
        <v>68</v>
      </c>
      <c r="W61" s="69" t="s">
        <v>68</v>
      </c>
      <c r="Y61"/>
      <c r="Z61"/>
      <c r="AA61"/>
      <c r="AB61"/>
      <c r="AC61"/>
    </row>
    <row r="62" spans="1:30" s="67" customFormat="1" ht="18" customHeight="1">
      <c r="A62" s="60"/>
      <c r="B62" s="61"/>
      <c r="C62" s="119"/>
      <c r="D62" s="190"/>
      <c r="E62" s="119"/>
      <c r="F62" s="194"/>
      <c r="G62" s="122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">
        <v>68</v>
      </c>
      <c r="W62" s="69" t="s">
        <v>68</v>
      </c>
      <c r="Y62"/>
      <c r="Z62"/>
      <c r="AA62"/>
      <c r="AB62"/>
      <c r="AC62"/>
    </row>
    <row r="63" spans="1:30" s="67" customFormat="1" ht="18" customHeight="1">
      <c r="A63" s="60"/>
      <c r="B63" s="61"/>
      <c r="C63" s="119"/>
      <c r="D63" s="190"/>
      <c r="E63" s="119"/>
      <c r="F63" s="194"/>
      <c r="G63" s="122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">
        <v>68</v>
      </c>
      <c r="W63" s="69" t="s">
        <v>68</v>
      </c>
      <c r="Y63"/>
      <c r="Z63"/>
      <c r="AA63"/>
      <c r="AB63"/>
      <c r="AC63"/>
    </row>
    <row r="64" spans="1:30" s="67" customFormat="1" ht="18" customHeight="1">
      <c r="A64" s="60"/>
      <c r="B64" s="61"/>
      <c r="C64" s="112"/>
      <c r="D64" s="184"/>
      <c r="E64" s="90"/>
      <c r="F64" s="186"/>
      <c r="G64" s="112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">
        <v>68</v>
      </c>
      <c r="W64" s="69" t="s">
        <v>68</v>
      </c>
      <c r="Y64"/>
      <c r="Z64"/>
      <c r="AA64"/>
      <c r="AB64"/>
      <c r="AC64"/>
    </row>
    <row r="65" spans="1:29" s="67" customFormat="1" ht="18" customHeight="1">
      <c r="A65" s="60"/>
      <c r="B65" s="61"/>
      <c r="C65" s="119"/>
      <c r="D65" s="190"/>
      <c r="E65" s="119"/>
      <c r="F65" s="194"/>
      <c r="G65" s="122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">
        <v>68</v>
      </c>
      <c r="W65" s="69" t="s">
        <v>68</v>
      </c>
      <c r="Y65"/>
      <c r="Z65"/>
      <c r="AA65"/>
      <c r="AB65"/>
      <c r="AC65"/>
    </row>
    <row r="66" spans="1:29" s="67" customFormat="1" ht="18" customHeight="1">
      <c r="A66" s="60"/>
      <c r="B66" s="61"/>
      <c r="C66" s="87"/>
      <c r="D66" s="187"/>
      <c r="E66" s="90"/>
      <c r="F66" s="186"/>
      <c r="G66" s="89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">
        <v>68</v>
      </c>
      <c r="W66" s="69" t="s">
        <v>68</v>
      </c>
      <c r="Y66"/>
      <c r="Z66"/>
      <c r="AA66"/>
      <c r="AB66"/>
      <c r="AC66"/>
    </row>
    <row r="67" spans="1:29" s="67" customFormat="1" ht="18" customHeight="1">
      <c r="A67" s="60"/>
      <c r="B67" s="61"/>
      <c r="C67" s="119"/>
      <c r="D67" s="190"/>
      <c r="E67" s="119"/>
      <c r="F67" s="183"/>
      <c r="G67" s="122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">
        <v>68</v>
      </c>
      <c r="W67" s="69" t="s">
        <v>68</v>
      </c>
      <c r="Y67"/>
      <c r="Z67"/>
      <c r="AA67"/>
      <c r="AB67"/>
      <c r="AC67"/>
    </row>
    <row r="68" spans="1:29" s="67" customFormat="1" ht="18" customHeight="1">
      <c r="A68" s="60"/>
      <c r="B68" s="61"/>
      <c r="C68" s="87"/>
      <c r="D68" s="187"/>
      <c r="E68" s="90"/>
      <c r="F68" s="186"/>
      <c r="G68" s="88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">
        <v>68</v>
      </c>
      <c r="W68" s="69" t="s">
        <v>68</v>
      </c>
      <c r="Y68"/>
      <c r="Z68"/>
      <c r="AA68"/>
      <c r="AB68"/>
      <c r="AC68"/>
    </row>
    <row r="69" spans="1:29" s="67" customFormat="1" ht="18" customHeight="1">
      <c r="A69" s="60"/>
      <c r="B69" s="61"/>
      <c r="C69" s="87"/>
      <c r="D69" s="187"/>
      <c r="E69" s="90"/>
      <c r="F69" s="186"/>
      <c r="G69" s="89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">
        <v>68</v>
      </c>
      <c r="W69" s="69" t="s">
        <v>68</v>
      </c>
      <c r="Y69"/>
      <c r="Z69"/>
      <c r="AA69"/>
      <c r="AB69"/>
      <c r="AC69"/>
    </row>
    <row r="70" spans="1:29" s="67" customFormat="1" ht="18" customHeight="1">
      <c r="A70" s="60"/>
      <c r="B70" s="61"/>
      <c r="C70" s="87"/>
      <c r="D70" s="187"/>
      <c r="E70" s="90"/>
      <c r="F70" s="186"/>
      <c r="G70" s="89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">
        <v>68</v>
      </c>
      <c r="W70" s="69" t="s">
        <v>68</v>
      </c>
      <c r="Y70"/>
      <c r="Z70"/>
      <c r="AA70"/>
      <c r="AB70"/>
      <c r="AC70"/>
    </row>
    <row r="71" spans="1:29" s="67" customFormat="1" ht="18" customHeight="1">
      <c r="A71" s="60"/>
      <c r="B71" s="61"/>
      <c r="C71" s="119"/>
      <c r="D71" s="190"/>
      <c r="E71" s="119"/>
      <c r="F71" s="213"/>
      <c r="G71" s="122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">
        <v>68</v>
      </c>
      <c r="W71" s="69" t="s">
        <v>68</v>
      </c>
      <c r="Y71"/>
      <c r="Z71"/>
      <c r="AA71"/>
      <c r="AB71"/>
      <c r="AC71"/>
    </row>
    <row r="72" spans="1:29" s="67" customFormat="1" ht="18" customHeight="1">
      <c r="A72" s="60"/>
      <c r="B72" s="61"/>
      <c r="C72" s="119"/>
      <c r="D72" s="190"/>
      <c r="E72" s="119"/>
      <c r="F72" s="194"/>
      <c r="G72" s="122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">
        <v>68</v>
      </c>
      <c r="W72" s="69" t="s">
        <v>68</v>
      </c>
      <c r="Y72"/>
      <c r="Z72"/>
      <c r="AA72"/>
      <c r="AB72"/>
      <c r="AC72"/>
    </row>
    <row r="73" spans="1:29" s="67" customFormat="1" ht="18" customHeight="1">
      <c r="A73" s="60"/>
      <c r="B73" s="61"/>
      <c r="C73" s="119"/>
      <c r="D73" s="190"/>
      <c r="E73" s="119"/>
      <c r="F73" s="194"/>
      <c r="G73" s="122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">
        <v>68</v>
      </c>
      <c r="W73" s="69" t="s">
        <v>68</v>
      </c>
      <c r="Y73"/>
      <c r="Z73"/>
      <c r="AA73"/>
      <c r="AB73"/>
      <c r="AC73"/>
    </row>
    <row r="74" spans="1:29" ht="18" customHeight="1">
      <c r="A74" s="60"/>
      <c r="B74" s="61"/>
      <c r="C74" s="119"/>
      <c r="D74" s="190"/>
      <c r="E74" s="119"/>
      <c r="F74" s="183"/>
      <c r="G74" s="122"/>
      <c r="H74" s="22"/>
      <c r="I74" s="22"/>
      <c r="J74" s="62" t="str">
        <f t="shared" si="4"/>
        <v/>
      </c>
      <c r="K74" s="63"/>
      <c r="L74" s="63"/>
      <c r="M74" s="64" t="str">
        <f t="shared" si="5"/>
        <v/>
      </c>
      <c r="N74" s="22"/>
      <c r="O74" s="22"/>
      <c r="P74" s="62" t="str">
        <f t="shared" si="6"/>
        <v/>
      </c>
      <c r="Q74" s="63"/>
      <c r="R74" s="63"/>
      <c r="S74" s="64" t="str">
        <f t="shared" si="7"/>
        <v/>
      </c>
      <c r="T74" s="65"/>
    </row>
    <row r="75" spans="1:29" ht="18" customHeight="1">
      <c r="A75" s="60"/>
      <c r="B75" s="61"/>
      <c r="C75" s="119"/>
      <c r="D75" s="190"/>
      <c r="E75" s="119"/>
      <c r="F75" s="194"/>
      <c r="G75" s="122"/>
      <c r="H75" s="22"/>
      <c r="I75" s="22"/>
      <c r="J75" s="62" t="str">
        <f t="shared" si="4"/>
        <v/>
      </c>
      <c r="K75" s="63"/>
      <c r="L75" s="63"/>
      <c r="M75" s="64" t="str">
        <f t="shared" si="5"/>
        <v/>
      </c>
      <c r="N75" s="22"/>
      <c r="O75" s="22"/>
      <c r="P75" s="62" t="str">
        <f t="shared" si="6"/>
        <v/>
      </c>
      <c r="Q75" s="63"/>
      <c r="R75" s="63"/>
      <c r="S75" s="64" t="str">
        <f t="shared" si="7"/>
        <v/>
      </c>
      <c r="T75" s="65"/>
    </row>
    <row r="76" spans="1:29" ht="18" customHeight="1">
      <c r="A76" s="60"/>
      <c r="B76" s="61"/>
      <c r="C76" s="119"/>
      <c r="D76" s="190"/>
      <c r="E76" s="119"/>
      <c r="F76" s="194"/>
      <c r="G76" s="122"/>
      <c r="H76" s="22"/>
      <c r="I76" s="22"/>
      <c r="J76" s="62" t="str">
        <f t="shared" si="4"/>
        <v/>
      </c>
      <c r="K76" s="63"/>
      <c r="L76" s="63"/>
      <c r="M76" s="64" t="str">
        <f t="shared" si="5"/>
        <v/>
      </c>
      <c r="N76" s="22"/>
      <c r="O76" s="22"/>
      <c r="P76" s="62" t="str">
        <f t="shared" si="6"/>
        <v/>
      </c>
      <c r="Q76" s="63"/>
      <c r="R76" s="63"/>
      <c r="S76" s="64" t="str">
        <f t="shared" si="7"/>
        <v/>
      </c>
      <c r="T76" s="65"/>
    </row>
    <row r="77" spans="1:29" ht="18" customHeight="1">
      <c r="A77" s="60"/>
      <c r="B77" s="61"/>
      <c r="C77" s="119"/>
      <c r="D77" s="190"/>
      <c r="E77" s="119"/>
      <c r="F77" s="194"/>
      <c r="G77" s="122"/>
      <c r="H77" s="22"/>
      <c r="I77" s="22"/>
      <c r="J77" s="62" t="str">
        <f t="shared" si="4"/>
        <v/>
      </c>
      <c r="K77" s="63"/>
      <c r="L77" s="63"/>
      <c r="M77" s="64" t="str">
        <f t="shared" si="5"/>
        <v/>
      </c>
      <c r="N77" s="22"/>
      <c r="O77" s="22"/>
      <c r="P77" s="62" t="str">
        <f t="shared" si="6"/>
        <v/>
      </c>
      <c r="Q77" s="63"/>
      <c r="R77" s="63"/>
      <c r="S77" s="64" t="str">
        <f t="shared" si="7"/>
        <v/>
      </c>
      <c r="T77" s="65"/>
    </row>
    <row r="78" spans="1:29" ht="18" customHeight="1">
      <c r="A78" s="60"/>
      <c r="B78" s="61"/>
      <c r="C78" s="119"/>
      <c r="D78" s="190"/>
      <c r="E78" s="119"/>
      <c r="F78" s="183"/>
      <c r="G78" s="122"/>
      <c r="H78" s="22"/>
      <c r="I78" s="22"/>
      <c r="J78" s="62" t="str">
        <f t="shared" ref="J78:J109" si="8">IF(H78="","",H78+I78)</f>
        <v/>
      </c>
      <c r="K78" s="63"/>
      <c r="L78" s="63"/>
      <c r="M78" s="64" t="str">
        <f t="shared" ref="M78:M109" si="9">IF(L78="","",K78+L78)</f>
        <v/>
      </c>
      <c r="N78" s="22"/>
      <c r="O78" s="22"/>
      <c r="P78" s="62" t="str">
        <f t="shared" ref="P78:P109" si="10">IF(N78="","",N78+O78)</f>
        <v/>
      </c>
      <c r="Q78" s="63"/>
      <c r="R78" s="63"/>
      <c r="S78" s="64" t="str">
        <f t="shared" ref="S78:S109" si="11">IF(R78="","",Q78+R78)</f>
        <v/>
      </c>
      <c r="T78" s="65"/>
    </row>
    <row r="79" spans="1:29" ht="18" customHeight="1">
      <c r="A79" s="60"/>
      <c r="B79" s="61"/>
      <c r="C79" s="119"/>
      <c r="D79" s="190"/>
      <c r="E79" s="119"/>
      <c r="F79" s="194"/>
      <c r="G79" s="122"/>
      <c r="H79" s="22"/>
      <c r="I79" s="22"/>
      <c r="J79" s="62" t="str">
        <f t="shared" si="8"/>
        <v/>
      </c>
      <c r="K79" s="63"/>
      <c r="L79" s="63"/>
      <c r="M79" s="64" t="str">
        <f t="shared" si="9"/>
        <v/>
      </c>
      <c r="N79" s="22"/>
      <c r="O79" s="22"/>
      <c r="P79" s="62" t="str">
        <f t="shared" si="10"/>
        <v/>
      </c>
      <c r="Q79" s="63"/>
      <c r="R79" s="63"/>
      <c r="S79" s="64" t="str">
        <f t="shared" si="11"/>
        <v/>
      </c>
      <c r="T79" s="65"/>
    </row>
    <row r="80" spans="1:29" ht="18" customHeight="1">
      <c r="A80" s="60"/>
      <c r="B80" s="61"/>
      <c r="C80" s="119"/>
      <c r="D80" s="190"/>
      <c r="E80" s="119"/>
      <c r="F80" s="194"/>
      <c r="G80" s="122"/>
      <c r="H80" s="22"/>
      <c r="I80" s="22"/>
      <c r="J80" s="62" t="str">
        <f t="shared" si="8"/>
        <v/>
      </c>
      <c r="K80" s="63"/>
      <c r="L80" s="63"/>
      <c r="M80" s="64" t="str">
        <f t="shared" si="9"/>
        <v/>
      </c>
      <c r="N80" s="22"/>
      <c r="O80" s="22"/>
      <c r="P80" s="62" t="str">
        <f t="shared" si="10"/>
        <v/>
      </c>
      <c r="Q80" s="63"/>
      <c r="R80" s="63"/>
      <c r="S80" s="64" t="str">
        <f t="shared" si="11"/>
        <v/>
      </c>
      <c r="T80" s="65"/>
    </row>
    <row r="81" spans="1:20" ht="18" customHeight="1">
      <c r="A81" s="60"/>
      <c r="B81" s="61"/>
      <c r="C81" s="119"/>
      <c r="D81" s="184"/>
      <c r="E81" s="90"/>
      <c r="F81" s="186"/>
      <c r="G81" s="112"/>
      <c r="H81" s="22"/>
      <c r="I81" s="22"/>
      <c r="J81" s="62" t="str">
        <f t="shared" si="8"/>
        <v/>
      </c>
      <c r="K81" s="63"/>
      <c r="L81" s="63"/>
      <c r="M81" s="64" t="str">
        <f t="shared" si="9"/>
        <v/>
      </c>
      <c r="N81" s="22"/>
      <c r="O81" s="22"/>
      <c r="P81" s="62" t="str">
        <f t="shared" si="10"/>
        <v/>
      </c>
      <c r="Q81" s="63"/>
      <c r="R81" s="63"/>
      <c r="S81" s="64" t="str">
        <f t="shared" si="11"/>
        <v/>
      </c>
      <c r="T81" s="65"/>
    </row>
    <row r="82" spans="1:20" ht="18" customHeight="1">
      <c r="A82" s="60"/>
      <c r="B82" s="61"/>
      <c r="C82" s="119"/>
      <c r="D82" s="190"/>
      <c r="E82" s="119"/>
      <c r="F82" s="194"/>
      <c r="G82" s="122"/>
      <c r="H82" s="22"/>
      <c r="I82" s="22"/>
      <c r="J82" s="62" t="str">
        <f t="shared" si="8"/>
        <v/>
      </c>
      <c r="K82" s="63"/>
      <c r="L82" s="63"/>
      <c r="M82" s="64" t="str">
        <f t="shared" si="9"/>
        <v/>
      </c>
      <c r="N82" s="22"/>
      <c r="O82" s="22"/>
      <c r="P82" s="62" t="str">
        <f t="shared" si="10"/>
        <v/>
      </c>
      <c r="Q82" s="63"/>
      <c r="R82" s="63"/>
      <c r="S82" s="64" t="str">
        <f t="shared" si="11"/>
        <v/>
      </c>
      <c r="T82" s="65"/>
    </row>
    <row r="83" spans="1:20" ht="18" customHeight="1">
      <c r="A83" s="60"/>
      <c r="B83" s="61"/>
      <c r="C83" s="119"/>
      <c r="D83" s="190"/>
      <c r="E83" s="119"/>
      <c r="F83" s="194"/>
      <c r="G83" s="122"/>
      <c r="H83" s="22"/>
      <c r="I83" s="22"/>
      <c r="J83" s="62" t="str">
        <f t="shared" si="8"/>
        <v/>
      </c>
      <c r="K83" s="63"/>
      <c r="L83" s="63"/>
      <c r="M83" s="64" t="str">
        <f t="shared" si="9"/>
        <v/>
      </c>
      <c r="N83" s="22"/>
      <c r="O83" s="22"/>
      <c r="P83" s="62" t="str">
        <f t="shared" si="10"/>
        <v/>
      </c>
      <c r="Q83" s="63"/>
      <c r="R83" s="63"/>
      <c r="S83" s="64" t="str">
        <f t="shared" si="11"/>
        <v/>
      </c>
      <c r="T83" s="65"/>
    </row>
    <row r="84" spans="1:20" ht="18" customHeight="1">
      <c r="A84" s="60"/>
      <c r="B84" s="61"/>
      <c r="C84" s="119"/>
      <c r="D84" s="190"/>
      <c r="E84" s="119"/>
      <c r="F84" s="194"/>
      <c r="G84" s="122"/>
      <c r="H84" s="22"/>
      <c r="I84" s="22"/>
      <c r="J84" s="62" t="str">
        <f t="shared" si="8"/>
        <v/>
      </c>
      <c r="K84" s="63"/>
      <c r="L84" s="63"/>
      <c r="M84" s="64" t="str">
        <f t="shared" si="9"/>
        <v/>
      </c>
      <c r="N84" s="22"/>
      <c r="O84" s="22"/>
      <c r="P84" s="62" t="str">
        <f t="shared" si="10"/>
        <v/>
      </c>
      <c r="Q84" s="63"/>
      <c r="R84" s="63"/>
      <c r="S84" s="64" t="str">
        <f t="shared" si="11"/>
        <v/>
      </c>
      <c r="T84" s="65"/>
    </row>
    <row r="85" spans="1:20" ht="18" customHeight="1">
      <c r="A85" s="60"/>
      <c r="B85" s="61"/>
      <c r="C85" s="119"/>
      <c r="D85" s="190"/>
      <c r="E85" s="119"/>
      <c r="F85" s="194"/>
      <c r="G85" s="122"/>
      <c r="H85" s="22"/>
      <c r="I85" s="22"/>
      <c r="J85" s="62" t="str">
        <f t="shared" si="8"/>
        <v/>
      </c>
      <c r="K85" s="63"/>
      <c r="L85" s="63"/>
      <c r="M85" s="64" t="str">
        <f t="shared" si="9"/>
        <v/>
      </c>
      <c r="N85" s="22"/>
      <c r="O85" s="22"/>
      <c r="P85" s="62" t="str">
        <f t="shared" si="10"/>
        <v/>
      </c>
      <c r="Q85" s="63"/>
      <c r="R85" s="63"/>
      <c r="S85" s="64" t="str">
        <f t="shared" si="11"/>
        <v/>
      </c>
      <c r="T85" s="65"/>
    </row>
    <row r="86" spans="1:20" ht="18" customHeight="1">
      <c r="A86" s="60"/>
      <c r="B86" s="61"/>
      <c r="C86" s="119"/>
      <c r="D86" s="190"/>
      <c r="E86" s="119"/>
      <c r="F86" s="194"/>
      <c r="G86" s="122"/>
      <c r="H86" s="22"/>
      <c r="I86" s="22"/>
      <c r="J86" s="62" t="str">
        <f t="shared" si="8"/>
        <v/>
      </c>
      <c r="K86" s="63"/>
      <c r="L86" s="63"/>
      <c r="M86" s="64" t="str">
        <f t="shared" si="9"/>
        <v/>
      </c>
      <c r="N86" s="22"/>
      <c r="O86" s="22"/>
      <c r="P86" s="62" t="str">
        <f t="shared" si="10"/>
        <v/>
      </c>
      <c r="Q86" s="63"/>
      <c r="R86" s="63"/>
      <c r="S86" s="64" t="str">
        <f t="shared" si="11"/>
        <v/>
      </c>
      <c r="T86" s="65"/>
    </row>
    <row r="87" spans="1:20" ht="18" customHeight="1">
      <c r="A87" s="60"/>
      <c r="B87" s="61"/>
      <c r="C87" s="119"/>
      <c r="D87" s="190"/>
      <c r="E87" s="119"/>
      <c r="F87" s="194"/>
      <c r="G87" s="122"/>
      <c r="H87" s="22"/>
      <c r="I87" s="22"/>
      <c r="J87" s="62" t="str">
        <f t="shared" si="8"/>
        <v/>
      </c>
      <c r="K87" s="63"/>
      <c r="L87" s="63"/>
      <c r="M87" s="64" t="str">
        <f t="shared" si="9"/>
        <v/>
      </c>
      <c r="N87" s="22"/>
      <c r="O87" s="22"/>
      <c r="P87" s="62" t="str">
        <f t="shared" si="10"/>
        <v/>
      </c>
      <c r="Q87" s="63"/>
      <c r="R87" s="63"/>
      <c r="S87" s="64" t="str">
        <f t="shared" si="11"/>
        <v/>
      </c>
      <c r="T87" s="65"/>
    </row>
    <row r="88" spans="1:20" ht="18" customHeight="1">
      <c r="A88" s="60"/>
      <c r="B88" s="61"/>
      <c r="C88" s="119"/>
      <c r="D88" s="190"/>
      <c r="E88" s="119"/>
      <c r="F88" s="194"/>
      <c r="G88" s="122"/>
      <c r="H88" s="22"/>
      <c r="I88" s="22"/>
      <c r="J88" s="62" t="str">
        <f t="shared" si="8"/>
        <v/>
      </c>
      <c r="K88" s="63"/>
      <c r="L88" s="63"/>
      <c r="M88" s="64" t="str">
        <f t="shared" si="9"/>
        <v/>
      </c>
      <c r="N88" s="22"/>
      <c r="O88" s="22"/>
      <c r="P88" s="62" t="str">
        <f t="shared" si="10"/>
        <v/>
      </c>
      <c r="Q88" s="63"/>
      <c r="R88" s="63"/>
      <c r="S88" s="64" t="str">
        <f t="shared" si="11"/>
        <v/>
      </c>
      <c r="T88" s="65"/>
    </row>
    <row r="89" spans="1:20" ht="18" customHeight="1">
      <c r="A89" s="60"/>
      <c r="B89" s="61"/>
      <c r="C89" s="21"/>
      <c r="D89" s="180" t="s">
        <v>68</v>
      </c>
      <c r="E89" s="21"/>
      <c r="F89" s="195" t="s">
        <v>68</v>
      </c>
      <c r="G89" s="23"/>
      <c r="H89" s="22"/>
      <c r="I89" s="22"/>
      <c r="J89" s="62" t="str">
        <f t="shared" si="8"/>
        <v/>
      </c>
      <c r="K89" s="63"/>
      <c r="L89" s="63"/>
      <c r="M89" s="64" t="str">
        <f t="shared" si="9"/>
        <v/>
      </c>
      <c r="N89" s="22"/>
      <c r="O89" s="22"/>
      <c r="P89" s="62" t="str">
        <f t="shared" si="10"/>
        <v/>
      </c>
      <c r="Q89" s="63"/>
      <c r="R89" s="63"/>
      <c r="S89" s="64" t="str">
        <f t="shared" si="11"/>
        <v/>
      </c>
      <c r="T89" s="65"/>
    </row>
    <row r="90" spans="1:20" ht="18" customHeight="1">
      <c r="A90" s="60"/>
      <c r="B90" s="61"/>
      <c r="C90" s="21"/>
      <c r="D90" s="180" t="s">
        <v>68</v>
      </c>
      <c r="E90" s="21"/>
      <c r="F90" s="195" t="s">
        <v>68</v>
      </c>
      <c r="G90" s="23"/>
      <c r="H90" s="22"/>
      <c r="I90" s="22"/>
      <c r="J90" s="62" t="str">
        <f t="shared" si="8"/>
        <v/>
      </c>
      <c r="K90" s="63"/>
      <c r="L90" s="63"/>
      <c r="M90" s="64" t="str">
        <f t="shared" si="9"/>
        <v/>
      </c>
      <c r="N90" s="22"/>
      <c r="O90" s="22"/>
      <c r="P90" s="62" t="str">
        <f t="shared" si="10"/>
        <v/>
      </c>
      <c r="Q90" s="63"/>
      <c r="R90" s="63"/>
      <c r="S90" s="64" t="str">
        <f t="shared" si="11"/>
        <v/>
      </c>
      <c r="T90" s="65"/>
    </row>
    <row r="91" spans="1:20" ht="18" customHeight="1">
      <c r="A91" s="60"/>
      <c r="B91" s="61"/>
      <c r="C91" s="21"/>
      <c r="D91" s="180" t="s">
        <v>68</v>
      </c>
      <c r="E91" s="21"/>
      <c r="F91" s="195" t="s">
        <v>68</v>
      </c>
      <c r="G91" s="23"/>
      <c r="H91" s="22"/>
      <c r="I91" s="22"/>
      <c r="J91" s="62" t="str">
        <f t="shared" si="8"/>
        <v/>
      </c>
      <c r="K91" s="63"/>
      <c r="L91" s="63"/>
      <c r="M91" s="64" t="str">
        <f t="shared" si="9"/>
        <v/>
      </c>
      <c r="N91" s="22"/>
      <c r="O91" s="22"/>
      <c r="P91" s="62" t="str">
        <f t="shared" si="10"/>
        <v/>
      </c>
      <c r="Q91" s="63"/>
      <c r="R91" s="63"/>
      <c r="S91" s="64" t="str">
        <f t="shared" si="11"/>
        <v/>
      </c>
      <c r="T91" s="65"/>
    </row>
    <row r="92" spans="1:20" ht="18" customHeight="1">
      <c r="A92" s="60"/>
      <c r="B92" s="61"/>
      <c r="C92" s="21"/>
      <c r="D92" s="180" t="s">
        <v>68</v>
      </c>
      <c r="E92" s="21"/>
      <c r="F92" s="195" t="s">
        <v>68</v>
      </c>
      <c r="G92" s="23"/>
      <c r="H92" s="22"/>
      <c r="I92" s="22"/>
      <c r="J92" s="62" t="str">
        <f t="shared" si="8"/>
        <v/>
      </c>
      <c r="K92" s="63"/>
      <c r="L92" s="63"/>
      <c r="M92" s="64" t="str">
        <f t="shared" si="9"/>
        <v/>
      </c>
      <c r="N92" s="22"/>
      <c r="O92" s="22"/>
      <c r="P92" s="62" t="str">
        <f t="shared" si="10"/>
        <v/>
      </c>
      <c r="Q92" s="63"/>
      <c r="R92" s="63"/>
      <c r="S92" s="64" t="str">
        <f t="shared" si="11"/>
        <v/>
      </c>
      <c r="T92" s="65"/>
    </row>
    <row r="93" spans="1:20" ht="18" customHeight="1">
      <c r="A93" s="60"/>
      <c r="B93" s="61"/>
      <c r="C93" s="21"/>
      <c r="D93" s="180" t="s">
        <v>68</v>
      </c>
      <c r="E93" s="21"/>
      <c r="F93" s="195" t="s">
        <v>68</v>
      </c>
      <c r="G93" s="23"/>
      <c r="H93" s="22"/>
      <c r="I93" s="22"/>
      <c r="J93" s="62" t="str">
        <f t="shared" si="8"/>
        <v/>
      </c>
      <c r="K93" s="63"/>
      <c r="L93" s="63"/>
      <c r="M93" s="64" t="str">
        <f t="shared" si="9"/>
        <v/>
      </c>
      <c r="N93" s="22"/>
      <c r="O93" s="22"/>
      <c r="P93" s="62" t="str">
        <f t="shared" si="10"/>
        <v/>
      </c>
      <c r="Q93" s="63"/>
      <c r="R93" s="63"/>
      <c r="S93" s="64" t="str">
        <f t="shared" si="11"/>
        <v/>
      </c>
      <c r="T93" s="65"/>
    </row>
    <row r="94" spans="1:20" ht="18" customHeight="1">
      <c r="A94" s="60"/>
      <c r="B94" s="61"/>
      <c r="C94" s="21"/>
      <c r="D94" s="180" t="s">
        <v>68</v>
      </c>
      <c r="E94" s="21"/>
      <c r="F94" s="195" t="s">
        <v>68</v>
      </c>
      <c r="G94" s="23"/>
      <c r="H94" s="22"/>
      <c r="I94" s="22"/>
      <c r="J94" s="62" t="str">
        <f t="shared" si="8"/>
        <v/>
      </c>
      <c r="K94" s="63"/>
      <c r="L94" s="63"/>
      <c r="M94" s="64" t="str">
        <f t="shared" si="9"/>
        <v/>
      </c>
      <c r="N94" s="22"/>
      <c r="O94" s="22"/>
      <c r="P94" s="62" t="str">
        <f t="shared" si="10"/>
        <v/>
      </c>
      <c r="Q94" s="63"/>
      <c r="R94" s="63"/>
      <c r="S94" s="64" t="str">
        <f t="shared" si="11"/>
        <v/>
      </c>
      <c r="T94" s="65"/>
    </row>
    <row r="95" spans="1:20" ht="18" customHeight="1">
      <c r="A95" s="60"/>
      <c r="B95" s="61"/>
      <c r="C95" s="21"/>
      <c r="D95" s="180" t="s">
        <v>68</v>
      </c>
      <c r="E95" s="21"/>
      <c r="F95" s="195" t="s">
        <v>68</v>
      </c>
      <c r="G95" s="23"/>
      <c r="H95" s="22"/>
      <c r="I95" s="22"/>
      <c r="J95" s="62" t="str">
        <f t="shared" si="8"/>
        <v/>
      </c>
      <c r="K95" s="63"/>
      <c r="L95" s="63"/>
      <c r="M95" s="64" t="str">
        <f t="shared" si="9"/>
        <v/>
      </c>
      <c r="N95" s="22"/>
      <c r="O95" s="22"/>
      <c r="P95" s="62" t="str">
        <f t="shared" si="10"/>
        <v/>
      </c>
      <c r="Q95" s="63"/>
      <c r="R95" s="63"/>
      <c r="S95" s="64" t="str">
        <f t="shared" si="11"/>
        <v/>
      </c>
      <c r="T95" s="65"/>
    </row>
    <row r="96" spans="1:20" ht="18" customHeight="1">
      <c r="A96" s="60"/>
      <c r="B96" s="61"/>
      <c r="C96" s="21"/>
      <c r="D96" s="180" t="s">
        <v>68</v>
      </c>
      <c r="E96" s="21"/>
      <c r="F96" s="195" t="s">
        <v>68</v>
      </c>
      <c r="G96" s="23"/>
      <c r="H96" s="22"/>
      <c r="I96" s="22"/>
      <c r="J96" s="62" t="str">
        <f t="shared" si="8"/>
        <v/>
      </c>
      <c r="K96" s="63"/>
      <c r="L96" s="63"/>
      <c r="M96" s="64" t="str">
        <f t="shared" si="9"/>
        <v/>
      </c>
      <c r="N96" s="22"/>
      <c r="O96" s="22"/>
      <c r="P96" s="62" t="str">
        <f t="shared" si="10"/>
        <v/>
      </c>
      <c r="Q96" s="63"/>
      <c r="R96" s="63"/>
      <c r="S96" s="64" t="str">
        <f t="shared" si="11"/>
        <v/>
      </c>
      <c r="T96" s="65"/>
    </row>
    <row r="97" spans="1:20" ht="18" customHeight="1">
      <c r="A97" s="60"/>
      <c r="B97" s="61"/>
      <c r="C97" s="21"/>
      <c r="D97" s="180" t="s">
        <v>68</v>
      </c>
      <c r="E97" s="21"/>
      <c r="F97" s="195" t="s">
        <v>68</v>
      </c>
      <c r="G97" s="23"/>
      <c r="H97" s="22"/>
      <c r="I97" s="22"/>
      <c r="J97" s="62" t="str">
        <f t="shared" si="8"/>
        <v/>
      </c>
      <c r="K97" s="63"/>
      <c r="L97" s="63"/>
      <c r="M97" s="64" t="str">
        <f t="shared" si="9"/>
        <v/>
      </c>
      <c r="N97" s="22"/>
      <c r="O97" s="22"/>
      <c r="P97" s="62" t="str">
        <f t="shared" si="10"/>
        <v/>
      </c>
      <c r="Q97" s="63"/>
      <c r="R97" s="63"/>
      <c r="S97" s="64" t="str">
        <f t="shared" si="11"/>
        <v/>
      </c>
      <c r="T97" s="65"/>
    </row>
    <row r="98" spans="1:20" ht="18" customHeight="1">
      <c r="A98" s="60"/>
      <c r="B98" s="61"/>
      <c r="C98" s="21"/>
      <c r="D98" s="180" t="s">
        <v>68</v>
      </c>
      <c r="E98" s="21"/>
      <c r="F98" s="195" t="s">
        <v>68</v>
      </c>
      <c r="G98" s="23"/>
      <c r="H98" s="22"/>
      <c r="I98" s="22"/>
      <c r="J98" s="62" t="str">
        <f t="shared" si="8"/>
        <v/>
      </c>
      <c r="K98" s="63"/>
      <c r="L98" s="63"/>
      <c r="M98" s="64" t="str">
        <f t="shared" si="9"/>
        <v/>
      </c>
      <c r="N98" s="22"/>
      <c r="O98" s="22"/>
      <c r="P98" s="62" t="str">
        <f t="shared" si="10"/>
        <v/>
      </c>
      <c r="Q98" s="63"/>
      <c r="R98" s="63"/>
      <c r="S98" s="64" t="str">
        <f t="shared" si="11"/>
        <v/>
      </c>
      <c r="T98" s="65"/>
    </row>
    <row r="99" spans="1:20" ht="18" customHeight="1">
      <c r="A99" s="60"/>
      <c r="B99" s="61"/>
      <c r="C99" s="21"/>
      <c r="D99" s="180" t="s">
        <v>68</v>
      </c>
      <c r="E99" s="21"/>
      <c r="F99" s="195" t="s">
        <v>68</v>
      </c>
      <c r="G99" s="23"/>
      <c r="H99" s="22"/>
      <c r="I99" s="22"/>
      <c r="J99" s="62" t="str">
        <f t="shared" si="8"/>
        <v/>
      </c>
      <c r="K99" s="63"/>
      <c r="L99" s="63"/>
      <c r="M99" s="64" t="str">
        <f t="shared" si="9"/>
        <v/>
      </c>
      <c r="N99" s="22"/>
      <c r="O99" s="22"/>
      <c r="P99" s="62" t="str">
        <f t="shared" si="10"/>
        <v/>
      </c>
      <c r="Q99" s="63"/>
      <c r="R99" s="63"/>
      <c r="S99" s="64" t="str">
        <f t="shared" si="11"/>
        <v/>
      </c>
      <c r="T99" s="65"/>
    </row>
    <row r="100" spans="1:20" ht="18" customHeight="1">
      <c r="A100" s="60"/>
      <c r="B100" s="61"/>
      <c r="C100" s="21"/>
      <c r="D100" s="180" t="s">
        <v>68</v>
      </c>
      <c r="E100" s="21"/>
      <c r="F100" s="195" t="s">
        <v>68</v>
      </c>
      <c r="G100" s="23"/>
      <c r="H100" s="22"/>
      <c r="I100" s="22"/>
      <c r="J100" s="62" t="str">
        <f t="shared" si="8"/>
        <v/>
      </c>
      <c r="K100" s="63"/>
      <c r="L100" s="63"/>
      <c r="M100" s="64" t="str">
        <f t="shared" si="9"/>
        <v/>
      </c>
      <c r="N100" s="22"/>
      <c r="O100" s="22"/>
      <c r="P100" s="62" t="str">
        <f t="shared" si="10"/>
        <v/>
      </c>
      <c r="Q100" s="63"/>
      <c r="R100" s="63"/>
      <c r="S100" s="64" t="str">
        <f t="shared" si="11"/>
        <v/>
      </c>
      <c r="T100" s="65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W13" xr:uid="{00000000-0001-0000-0F00-000000000000}">
    <sortState xmlns:xlrd2="http://schemas.microsoft.com/office/spreadsheetml/2017/richdata2" ref="A14:W100">
      <sortCondition ref="B13"/>
    </sortState>
  </autoFilter>
  <sortState xmlns:xlrd2="http://schemas.microsoft.com/office/spreadsheetml/2017/richdata2" ref="A14:AD69">
    <sortCondition ref="B14:B69"/>
  </sortState>
  <phoneticPr fontId="7"/>
  <conditionalFormatting sqref="V14:V73">
    <cfRule type="cellIs" dxfId="23" priority="4" stopIfTrue="1" operator="notBetween">
      <formula>"A"</formula>
      <formula>"Ｂ"</formula>
    </cfRule>
  </conditionalFormatting>
  <conditionalFormatting sqref="W14:W73">
    <cfRule type="cellIs" dxfId="22" priority="3" stopIfTrue="1" operator="between">
      <formula>"-"</formula>
      <formula>"申請中"</formula>
    </cfRule>
  </conditionalFormatting>
  <conditionalFormatting sqref="Y14:Z73">
    <cfRule type="expression" dxfId="21" priority="2">
      <formula>Y14&lt;&gt;C14</formula>
    </cfRule>
  </conditionalFormatting>
  <conditionalFormatting sqref="AB14:AC73">
    <cfRule type="expression" dxfId="20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213360</xdr:colOff>
                    <xdr:row>5</xdr:row>
                    <xdr:rowOff>327660</xdr:rowOff>
                  </from>
                  <to>
                    <xdr:col>27</xdr:col>
                    <xdr:colOff>365760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2">
    <tabColor rgb="FFFFC000"/>
  </sheetPr>
  <dimension ref="A1:AD200"/>
  <sheetViews>
    <sheetView workbookViewId="0">
      <selection activeCell="E21" sqref="E21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30" s="25" customFormat="1" ht="18" customHeight="1">
      <c r="B2" s="26" t="s">
        <v>1</v>
      </c>
      <c r="C2" s="27"/>
      <c r="E2" s="26" t="s">
        <v>2</v>
      </c>
      <c r="F2" s="30"/>
      <c r="G2" s="132">
        <v>46276</v>
      </c>
      <c r="L2" s="28"/>
      <c r="N2" s="26" t="s">
        <v>3</v>
      </c>
      <c r="O2" s="29"/>
      <c r="P2" s="30"/>
      <c r="Q2" s="30"/>
      <c r="R2" s="30"/>
      <c r="S2" s="30"/>
      <c r="T2" s="30"/>
    </row>
    <row r="3" spans="1:30" s="25" customFormat="1" ht="18" customHeight="1">
      <c r="A3" s="31"/>
      <c r="B3" s="26" t="s">
        <v>4</v>
      </c>
      <c r="C3" s="120" t="s">
        <v>516</v>
      </c>
      <c r="D3" s="121"/>
      <c r="E3" s="121"/>
      <c r="F3" s="121"/>
      <c r="G3" s="121"/>
      <c r="Q3" s="26" t="s">
        <v>5</v>
      </c>
      <c r="R3" s="29"/>
      <c r="S3" s="30"/>
      <c r="T3" s="30"/>
      <c r="U3" s="32"/>
    </row>
    <row r="4" spans="1:30" s="25" customFormat="1" ht="18" customHeight="1">
      <c r="B4" s="26" t="s">
        <v>6</v>
      </c>
      <c r="C4" s="33">
        <v>6</v>
      </c>
      <c r="D4" s="25" t="s">
        <v>7</v>
      </c>
      <c r="E4" s="26" t="s">
        <v>8</v>
      </c>
      <c r="F4" s="209" t="s">
        <v>83</v>
      </c>
      <c r="G4" s="30"/>
      <c r="H4" s="77"/>
      <c r="J4" s="26" t="s">
        <v>9</v>
      </c>
      <c r="K4" s="34" t="s">
        <v>58</v>
      </c>
      <c r="N4" s="26" t="s">
        <v>10</v>
      </c>
      <c r="O4" s="35"/>
    </row>
    <row r="5" spans="1:30" s="25" customFormat="1" ht="18" customHeight="1">
      <c r="C5" s="26" t="s">
        <v>11</v>
      </c>
      <c r="D5" s="27" t="s">
        <v>58</v>
      </c>
      <c r="E5" s="26" t="s">
        <v>12</v>
      </c>
      <c r="F5" s="36" t="s">
        <v>58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</row>
    <row r="6" spans="1:30" s="25" customFormat="1" ht="35.1" customHeight="1">
      <c r="C6" s="40" t="s">
        <v>18</v>
      </c>
      <c r="D6" s="175" t="s">
        <v>39</v>
      </c>
      <c r="E6" s="26" t="s">
        <v>19</v>
      </c>
      <c r="F6" s="181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</row>
    <row r="7" spans="1:30" s="25" customFormat="1" ht="15" customHeight="1">
      <c r="A7" s="26" t="s">
        <v>62</v>
      </c>
      <c r="B7" s="73" t="s">
        <v>0</v>
      </c>
      <c r="C7" s="76"/>
      <c r="D7" s="26" t="s">
        <v>63</v>
      </c>
      <c r="E7" s="74"/>
      <c r="F7" s="32"/>
      <c r="I7" s="26"/>
      <c r="J7" s="37"/>
      <c r="K7" s="32"/>
      <c r="L7" s="26"/>
      <c r="M7" s="32"/>
      <c r="N7" s="26"/>
      <c r="O7" s="42"/>
      <c r="Q7" s="26"/>
      <c r="R7" s="43"/>
    </row>
    <row r="8" spans="1:30" s="25" customFormat="1" ht="15" customHeight="1">
      <c r="A8" s="26" t="s">
        <v>64</v>
      </c>
      <c r="B8" s="73" t="s">
        <v>0</v>
      </c>
      <c r="C8" s="72"/>
      <c r="D8" s="26" t="s">
        <v>63</v>
      </c>
      <c r="E8" s="75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</row>
    <row r="9" spans="1:30" s="25" customFormat="1" ht="15" customHeight="1">
      <c r="A9" s="26" t="s">
        <v>65</v>
      </c>
      <c r="B9" s="73" t="s">
        <v>0</v>
      </c>
      <c r="C9" s="72"/>
      <c r="D9" s="26" t="s">
        <v>63</v>
      </c>
      <c r="E9" s="75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</row>
    <row r="10" spans="1:30" s="25" customFormat="1" ht="15" customHeight="1">
      <c r="A10" s="26" t="s">
        <v>66</v>
      </c>
      <c r="B10" s="73" t="s">
        <v>0</v>
      </c>
      <c r="C10" s="72"/>
      <c r="D10" s="26" t="s">
        <v>63</v>
      </c>
      <c r="E10" s="75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</row>
    <row r="11" spans="1:30" s="25" customFormat="1" ht="15" customHeight="1">
      <c r="A11" s="26" t="s">
        <v>67</v>
      </c>
      <c r="B11" s="73" t="s">
        <v>0</v>
      </c>
      <c r="C11" s="72"/>
      <c r="D11" s="26" t="s">
        <v>63</v>
      </c>
      <c r="E11" s="75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50</v>
      </c>
      <c r="W12" s="15" t="s">
        <v>51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176" t="s">
        <v>0</v>
      </c>
      <c r="E13" s="53" t="s">
        <v>27</v>
      </c>
      <c r="F13" s="176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56</v>
      </c>
      <c r="W13" s="15" t="s">
        <v>57</v>
      </c>
    </row>
    <row r="14" spans="1:30" s="67" customFormat="1" ht="18" customHeight="1">
      <c r="A14" s="60" t="s">
        <v>713</v>
      </c>
      <c r="B14" s="61">
        <v>1</v>
      </c>
      <c r="C14" s="118" t="s">
        <v>184</v>
      </c>
      <c r="D14" s="189">
        <v>23529</v>
      </c>
      <c r="E14" s="125" t="s">
        <v>186</v>
      </c>
      <c r="F14" s="189">
        <v>60944</v>
      </c>
      <c r="G14" s="122" t="s">
        <v>538</v>
      </c>
      <c r="H14" s="22"/>
      <c r="I14" s="22"/>
      <c r="J14" s="62" t="str">
        <f>IF(H14="","",H14+I14)</f>
        <v/>
      </c>
      <c r="K14" s="63"/>
      <c r="L14" s="63"/>
      <c r="M14" s="64" t="str">
        <f>IF(L14="","",K14+L14)</f>
        <v/>
      </c>
      <c r="N14" s="22"/>
      <c r="O14" s="22"/>
      <c r="P14" s="62" t="str">
        <f>IF(N14="","",N14+O14)</f>
        <v/>
      </c>
      <c r="Q14" s="63"/>
      <c r="R14" s="63"/>
      <c r="S14" s="64" t="str">
        <f>IF(R14="","",Q14+R14)</f>
        <v/>
      </c>
      <c r="T14" s="65"/>
      <c r="U14" s="66"/>
      <c r="V14" s="18" t="s">
        <v>68</v>
      </c>
      <c r="W14" s="69" t="s">
        <v>68</v>
      </c>
      <c r="Y14"/>
      <c r="Z14"/>
      <c r="AA14"/>
      <c r="AB14"/>
      <c r="AC14"/>
    </row>
    <row r="15" spans="1:30" s="67" customFormat="1" ht="18" customHeight="1">
      <c r="A15" s="60"/>
      <c r="B15" s="61">
        <v>2</v>
      </c>
      <c r="C15" s="100" t="s">
        <v>165</v>
      </c>
      <c r="D15" s="203">
        <v>12159</v>
      </c>
      <c r="E15" s="99" t="s">
        <v>545</v>
      </c>
      <c r="F15" s="197">
        <v>61134</v>
      </c>
      <c r="G15" s="89" t="s">
        <v>544</v>
      </c>
      <c r="H15" s="22"/>
      <c r="I15" s="22"/>
      <c r="J15" s="62" t="str">
        <f>IF(H15="","",H15+I15)</f>
        <v/>
      </c>
      <c r="K15" s="63"/>
      <c r="L15" s="63"/>
      <c r="M15" s="64" t="str">
        <f>IF(L15="","",K15+L15)</f>
        <v/>
      </c>
      <c r="N15" s="22"/>
      <c r="O15" s="22"/>
      <c r="P15" s="62" t="str">
        <f>IF(N15="","",N15+O15)</f>
        <v/>
      </c>
      <c r="Q15" s="63"/>
      <c r="R15" s="63"/>
      <c r="S15" s="64" t="str">
        <f>IF(R15="","",Q15+R15)</f>
        <v/>
      </c>
      <c r="T15" s="65"/>
      <c r="U15" s="66"/>
      <c r="V15" s="18" t="s">
        <v>233</v>
      </c>
      <c r="W15" s="69" t="e">
        <v>#N/A</v>
      </c>
      <c r="Y15" t="s">
        <v>165</v>
      </c>
      <c r="Z15">
        <v>12159</v>
      </c>
      <c r="AA15" t="s">
        <v>336</v>
      </c>
      <c r="AB15"/>
      <c r="AC15"/>
    </row>
    <row r="16" spans="1:30" s="67" customFormat="1" ht="18" customHeight="1">
      <c r="A16" s="60"/>
      <c r="B16" s="61">
        <v>3</v>
      </c>
      <c r="C16" s="100" t="s">
        <v>107</v>
      </c>
      <c r="D16" s="203">
        <v>18834</v>
      </c>
      <c r="E16" s="103" t="s">
        <v>609</v>
      </c>
      <c r="F16" s="197">
        <v>61895</v>
      </c>
      <c r="G16" s="98" t="s">
        <v>607</v>
      </c>
      <c r="H16" s="22"/>
      <c r="I16" s="22"/>
      <c r="J16" s="62" t="str">
        <f>IF(H16="","",H16+I16)</f>
        <v/>
      </c>
      <c r="K16" s="63"/>
      <c r="L16" s="63"/>
      <c r="M16" s="64" t="str">
        <f>IF(L16="","",K16+L16)</f>
        <v/>
      </c>
      <c r="N16" s="22"/>
      <c r="O16" s="22"/>
      <c r="P16" s="62" t="str">
        <f>IF(N16="","",N16+O16)</f>
        <v/>
      </c>
      <c r="Q16" s="63"/>
      <c r="R16" s="63"/>
      <c r="S16" s="64" t="str">
        <f>IF(R16="","",Q16+R16)</f>
        <v/>
      </c>
      <c r="T16" s="65"/>
      <c r="U16" s="66"/>
      <c r="V16" s="18" t="e">
        <v>#N/A</v>
      </c>
      <c r="W16" s="69" t="e">
        <v>#N/A</v>
      </c>
      <c r="Y16" t="s">
        <v>385</v>
      </c>
      <c r="Z16">
        <v>17349</v>
      </c>
      <c r="AA16" t="s">
        <v>384</v>
      </c>
      <c r="AB16" t="s">
        <v>136</v>
      </c>
      <c r="AC16">
        <v>56588</v>
      </c>
      <c r="AD16" s="67" t="s">
        <v>391</v>
      </c>
    </row>
    <row r="17" spans="1:30" s="67" customFormat="1" ht="18" customHeight="1">
      <c r="A17" s="60"/>
      <c r="B17" s="61">
        <v>4</v>
      </c>
      <c r="C17" s="100" t="s">
        <v>720</v>
      </c>
      <c r="D17" s="203" t="s">
        <v>125</v>
      </c>
      <c r="E17" s="99" t="s">
        <v>721</v>
      </c>
      <c r="F17" s="193">
        <v>58208</v>
      </c>
      <c r="G17" s="87" t="s">
        <v>680</v>
      </c>
      <c r="H17" s="22"/>
      <c r="I17" s="22"/>
      <c r="J17" s="62" t="str">
        <f>IF(H17="","",H17+I17)</f>
        <v/>
      </c>
      <c r="K17" s="63"/>
      <c r="L17" s="63"/>
      <c r="M17" s="64" t="str">
        <f>IF(L17="","",K17+L17)</f>
        <v/>
      </c>
      <c r="N17" s="22"/>
      <c r="O17" s="22"/>
      <c r="P17" s="62" t="str">
        <f>IF(N17="","",N17+O17)</f>
        <v/>
      </c>
      <c r="Q17" s="63"/>
      <c r="R17" s="63"/>
      <c r="S17" s="64" t="str">
        <f>IF(R17="","",Q17+R17)</f>
        <v/>
      </c>
      <c r="T17" s="65"/>
      <c r="U17" s="66"/>
      <c r="V17" s="18" t="e">
        <v>#N/A</v>
      </c>
      <c r="W17" s="69" t="e">
        <v>#N/A</v>
      </c>
      <c r="Y17"/>
      <c r="Z17"/>
      <c r="AA17"/>
      <c r="AB17" t="s">
        <v>212</v>
      </c>
      <c r="AC17">
        <v>60449</v>
      </c>
      <c r="AD17" s="67" t="s">
        <v>394</v>
      </c>
    </row>
    <row r="18" spans="1:30" s="67" customFormat="1" ht="18" customHeight="1">
      <c r="A18" s="60"/>
      <c r="B18" s="61">
        <v>5</v>
      </c>
      <c r="C18" s="96" t="s">
        <v>258</v>
      </c>
      <c r="D18" s="204">
        <v>13449</v>
      </c>
      <c r="E18" s="97" t="s">
        <v>186</v>
      </c>
      <c r="F18" s="208">
        <v>60944</v>
      </c>
      <c r="G18" s="131" t="s">
        <v>538</v>
      </c>
      <c r="H18" s="22"/>
      <c r="I18" s="22"/>
      <c r="J18" s="62" t="str">
        <f>IF(H18="","",H18+I18)</f>
        <v/>
      </c>
      <c r="K18" s="63"/>
      <c r="L18" s="63"/>
      <c r="M18" s="64" t="str">
        <f>IF(L18="","",K18+L18)</f>
        <v/>
      </c>
      <c r="N18" s="22"/>
      <c r="O18" s="22"/>
      <c r="P18" s="62" t="str">
        <f>IF(N18="","",N18+O18)</f>
        <v/>
      </c>
      <c r="Q18" s="63"/>
      <c r="R18" s="63"/>
      <c r="S18" s="64" t="str">
        <f>IF(R18="","",Q18+R18)</f>
        <v/>
      </c>
      <c r="T18" s="65"/>
      <c r="U18" s="66"/>
      <c r="V18" s="18" t="s">
        <v>68</v>
      </c>
      <c r="W18" s="69" t="s">
        <v>68</v>
      </c>
      <c r="Y18"/>
      <c r="Z18"/>
      <c r="AA18"/>
      <c r="AB18"/>
      <c r="AC18"/>
    </row>
    <row r="19" spans="1:30" s="67" customFormat="1" ht="18" customHeight="1">
      <c r="A19" s="60"/>
      <c r="B19" s="61">
        <v>6</v>
      </c>
      <c r="C19" s="100"/>
      <c r="D19" s="203"/>
      <c r="E19" s="131" ph="1"/>
      <c r="F19" s="208"/>
      <c r="G19" s="93"/>
      <c r="H19" s="22"/>
      <c r="I19" s="22"/>
      <c r="J19" s="62" t="str">
        <f t="shared" ref="J19:J23" si="0">IF(H19="","",H19+I19)</f>
        <v/>
      </c>
      <c r="K19" s="63"/>
      <c r="L19" s="63"/>
      <c r="M19" s="64" t="str">
        <f t="shared" ref="M19:M23" si="1">IF(L19="","",K19+L19)</f>
        <v/>
      </c>
      <c r="N19" s="22"/>
      <c r="O19" s="22"/>
      <c r="P19" s="62" t="str">
        <f t="shared" ref="P19:P23" si="2">IF(N19="","",N19+O19)</f>
        <v/>
      </c>
      <c r="Q19" s="63"/>
      <c r="R19" s="63"/>
      <c r="S19" s="64" t="str">
        <f t="shared" ref="S19:S23" si="3">IF(R19="","",Q19+R19)</f>
        <v/>
      </c>
      <c r="T19" s="65"/>
      <c r="U19" s="66"/>
      <c r="V19" s="18" t="e">
        <v>#N/A</v>
      </c>
      <c r="W19" s="69" t="e">
        <v>#N/A</v>
      </c>
      <c r="Y19"/>
      <c r="Z19"/>
      <c r="AA19"/>
      <c r="AB19" t="s">
        <v>229</v>
      </c>
      <c r="AC19">
        <v>61196</v>
      </c>
      <c r="AD19" s="67" t="s">
        <v>390</v>
      </c>
    </row>
    <row r="20" spans="1:30" s="67" customFormat="1" ht="18" customHeight="1">
      <c r="A20" s="60"/>
      <c r="B20" s="61">
        <v>7</v>
      </c>
      <c r="C20" s="96"/>
      <c r="D20" s="204"/>
      <c r="E20" s="97"/>
      <c r="F20" s="208"/>
      <c r="G20" s="131"/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s">
        <v>232</v>
      </c>
      <c r="W20" s="69" t="e">
        <v>#N/A</v>
      </c>
      <c r="Y20"/>
      <c r="Z20"/>
      <c r="AA20"/>
      <c r="AB20" t="s">
        <v>137</v>
      </c>
      <c r="AC20">
        <v>57166</v>
      </c>
      <c r="AD20" s="67" t="s">
        <v>392</v>
      </c>
    </row>
    <row r="21" spans="1:30" s="67" customFormat="1" ht="18" customHeight="1">
      <c r="A21" s="60"/>
      <c r="B21" s="61">
        <v>8</v>
      </c>
      <c r="C21" s="100"/>
      <c r="D21" s="203"/>
      <c r="E21" s="99"/>
      <c r="F21" s="197"/>
      <c r="G21" s="93"/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e">
        <v>#N/A</v>
      </c>
      <c r="W21" s="69" t="e">
        <v>#N/A</v>
      </c>
      <c r="Y21" t="s">
        <v>251</v>
      </c>
      <c r="Z21">
        <v>4416</v>
      </c>
      <c r="AA21" t="s">
        <v>250</v>
      </c>
      <c r="AB21" t="s">
        <v>156</v>
      </c>
      <c r="AC21">
        <v>60013</v>
      </c>
      <c r="AD21" s="67" t="s">
        <v>393</v>
      </c>
    </row>
    <row r="22" spans="1:30" s="67" customFormat="1" ht="18" customHeight="1">
      <c r="A22" s="60"/>
      <c r="B22" s="61">
        <v>9</v>
      </c>
      <c r="C22" s="100"/>
      <c r="D22" s="203"/>
      <c r="E22" s="99"/>
      <c r="F22" s="197"/>
      <c r="G22" s="88"/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e">
        <v>#N/A</v>
      </c>
      <c r="W22" s="69" t="e">
        <v>#N/A</v>
      </c>
      <c r="Y22" t="s">
        <v>387</v>
      </c>
      <c r="Z22">
        <v>29554</v>
      </c>
      <c r="AA22" t="s">
        <v>386</v>
      </c>
      <c r="AB22"/>
      <c r="AC22"/>
    </row>
    <row r="23" spans="1:30" s="67" customFormat="1" ht="18" customHeight="1">
      <c r="A23" s="60"/>
      <c r="B23" s="61">
        <v>10</v>
      </c>
      <c r="C23" s="95"/>
      <c r="D23" s="188"/>
      <c r="E23" s="92"/>
      <c r="F23" s="193"/>
      <c r="G23" s="112"/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e">
        <v>#N/A</v>
      </c>
      <c r="W23" s="69" t="e">
        <v>#N/A</v>
      </c>
      <c r="Y23" t="s">
        <v>389</v>
      </c>
      <c r="Z23">
        <v>26776</v>
      </c>
      <c r="AA23" t="s">
        <v>388</v>
      </c>
      <c r="AB23"/>
      <c r="AC23"/>
    </row>
    <row r="24" spans="1:30" s="67" customFormat="1" ht="18" customHeight="1">
      <c r="A24" s="60"/>
      <c r="B24" s="61">
        <v>11</v>
      </c>
      <c r="C24" s="87"/>
      <c r="D24" s="187"/>
      <c r="E24" s="90"/>
      <c r="F24" s="186"/>
      <c r="G24" s="87"/>
      <c r="H24" s="22"/>
      <c r="I24" s="22"/>
      <c r="J24" s="62" t="str">
        <f t="shared" ref="J24:J45" si="4">IF(H24="","",H24+I24)</f>
        <v/>
      </c>
      <c r="K24" s="63"/>
      <c r="L24" s="63"/>
      <c r="M24" s="64" t="str">
        <f t="shared" ref="M24:M45" si="5">IF(L24="","",K24+L24)</f>
        <v/>
      </c>
      <c r="N24" s="22"/>
      <c r="O24" s="22"/>
      <c r="P24" s="62" t="str">
        <f t="shared" ref="P24:P45" si="6">IF(N24="","",N24+O24)</f>
        <v/>
      </c>
      <c r="Q24" s="63"/>
      <c r="R24" s="63"/>
      <c r="S24" s="64" t="str">
        <f t="shared" ref="S24:S45" si="7">IF(R24="","",Q24+R24)</f>
        <v/>
      </c>
      <c r="T24" s="65"/>
      <c r="U24" s="66"/>
      <c r="V24" s="18" t="s">
        <v>68</v>
      </c>
      <c r="W24" s="69" t="s">
        <v>68</v>
      </c>
      <c r="Y24"/>
      <c r="Z24"/>
      <c r="AA24"/>
      <c r="AB24"/>
      <c r="AC24"/>
    </row>
    <row r="25" spans="1:30" s="67" customFormat="1" ht="18" customHeight="1">
      <c r="A25" s="60"/>
      <c r="B25" s="61">
        <v>12</v>
      </c>
      <c r="C25" s="21"/>
      <c r="D25" s="177"/>
      <c r="E25" s="21"/>
      <c r="F25" s="177"/>
      <c r="G25" s="23"/>
      <c r="H25" s="22"/>
      <c r="I25" s="22"/>
      <c r="J25" s="62" t="str">
        <f t="shared" si="4"/>
        <v/>
      </c>
      <c r="K25" s="63"/>
      <c r="L25" s="63"/>
      <c r="M25" s="64" t="str">
        <f t="shared" si="5"/>
        <v/>
      </c>
      <c r="N25" s="22"/>
      <c r="O25" s="22"/>
      <c r="P25" s="62" t="str">
        <f t="shared" si="6"/>
        <v/>
      </c>
      <c r="Q25" s="63"/>
      <c r="R25" s="63"/>
      <c r="S25" s="64" t="str">
        <f t="shared" si="7"/>
        <v/>
      </c>
      <c r="T25" s="65"/>
      <c r="U25" s="66"/>
      <c r="V25" s="18" t="s">
        <v>68</v>
      </c>
      <c r="W25" s="69" t="s">
        <v>68</v>
      </c>
      <c r="Y25"/>
      <c r="Z25"/>
      <c r="AA25"/>
      <c r="AB25"/>
      <c r="AC25"/>
    </row>
    <row r="26" spans="1:30" s="67" customFormat="1" ht="18" customHeight="1">
      <c r="A26" s="60"/>
      <c r="B26" s="61">
        <v>13</v>
      </c>
      <c r="C26" s="21"/>
      <c r="D26" s="177"/>
      <c r="E26" s="21"/>
      <c r="F26" s="177"/>
      <c r="G26" s="23"/>
      <c r="H26" s="22"/>
      <c r="I26" s="22"/>
      <c r="J26" s="62" t="str">
        <f t="shared" si="4"/>
        <v/>
      </c>
      <c r="K26" s="63"/>
      <c r="L26" s="63"/>
      <c r="M26" s="64" t="str">
        <f t="shared" si="5"/>
        <v/>
      </c>
      <c r="N26" s="22"/>
      <c r="O26" s="22"/>
      <c r="P26" s="62" t="str">
        <f t="shared" si="6"/>
        <v/>
      </c>
      <c r="Q26" s="63"/>
      <c r="R26" s="63"/>
      <c r="S26" s="64" t="str">
        <f t="shared" si="7"/>
        <v/>
      </c>
      <c r="T26" s="65"/>
      <c r="U26" s="66"/>
      <c r="V26" s="18" t="s">
        <v>68</v>
      </c>
      <c r="W26" s="69" t="s">
        <v>68</v>
      </c>
      <c r="Y26"/>
      <c r="Z26"/>
      <c r="AA26"/>
      <c r="AB26"/>
      <c r="AC26"/>
    </row>
    <row r="27" spans="1:30" s="67" customFormat="1" ht="18" customHeight="1">
      <c r="A27" s="60"/>
      <c r="B27" s="61">
        <v>14</v>
      </c>
      <c r="C27" s="21"/>
      <c r="D27" s="177"/>
      <c r="E27" s="21"/>
      <c r="F27" s="177"/>
      <c r="G27" s="23"/>
      <c r="H27" s="22"/>
      <c r="I27" s="22"/>
      <c r="J27" s="62" t="str">
        <f t="shared" si="4"/>
        <v/>
      </c>
      <c r="K27" s="63"/>
      <c r="L27" s="63"/>
      <c r="M27" s="64" t="str">
        <f t="shared" si="5"/>
        <v/>
      </c>
      <c r="N27" s="22"/>
      <c r="O27" s="22"/>
      <c r="P27" s="62" t="str">
        <f t="shared" si="6"/>
        <v/>
      </c>
      <c r="Q27" s="63"/>
      <c r="R27" s="63"/>
      <c r="S27" s="64" t="str">
        <f t="shared" si="7"/>
        <v/>
      </c>
      <c r="T27" s="65"/>
      <c r="U27" s="66"/>
      <c r="V27" s="18" t="s">
        <v>68</v>
      </c>
      <c r="W27" s="69" t="s">
        <v>68</v>
      </c>
      <c r="Y27"/>
      <c r="Z27"/>
      <c r="AA27"/>
      <c r="AB27"/>
      <c r="AC27"/>
    </row>
    <row r="28" spans="1:30" s="67" customFormat="1" ht="18" customHeight="1">
      <c r="A28" s="60"/>
      <c r="B28" s="61">
        <v>15</v>
      </c>
      <c r="C28" s="21"/>
      <c r="D28" s="177"/>
      <c r="E28" s="21"/>
      <c r="F28" s="177"/>
      <c r="G28" s="23"/>
      <c r="H28" s="22"/>
      <c r="I28" s="22"/>
      <c r="J28" s="62" t="str">
        <f t="shared" si="4"/>
        <v/>
      </c>
      <c r="K28" s="63"/>
      <c r="L28" s="63"/>
      <c r="M28" s="64" t="str">
        <f t="shared" si="5"/>
        <v/>
      </c>
      <c r="N28" s="22"/>
      <c r="O28" s="22"/>
      <c r="P28" s="62" t="str">
        <f t="shared" si="6"/>
        <v/>
      </c>
      <c r="Q28" s="63"/>
      <c r="R28" s="63"/>
      <c r="S28" s="64" t="str">
        <f t="shared" si="7"/>
        <v/>
      </c>
      <c r="T28" s="65"/>
      <c r="U28" s="66"/>
      <c r="V28" s="18" t="s">
        <v>68</v>
      </c>
      <c r="W28" s="69" t="s">
        <v>68</v>
      </c>
      <c r="Y28"/>
      <c r="Z28"/>
      <c r="AA28"/>
      <c r="AB28"/>
      <c r="AC28"/>
    </row>
    <row r="29" spans="1:30" s="67" customFormat="1" ht="18" customHeight="1">
      <c r="A29" s="60"/>
      <c r="B29" s="61">
        <v>16</v>
      </c>
      <c r="C29" s="21"/>
      <c r="D29" s="177"/>
      <c r="E29" s="21"/>
      <c r="F29" s="177"/>
      <c r="G29" s="23"/>
      <c r="H29" s="22"/>
      <c r="I29" s="22"/>
      <c r="J29" s="62" t="str">
        <f t="shared" si="4"/>
        <v/>
      </c>
      <c r="K29" s="63"/>
      <c r="L29" s="63"/>
      <c r="M29" s="64" t="str">
        <f t="shared" si="5"/>
        <v/>
      </c>
      <c r="N29" s="22"/>
      <c r="O29" s="22"/>
      <c r="P29" s="62" t="str">
        <f t="shared" si="6"/>
        <v/>
      </c>
      <c r="Q29" s="63"/>
      <c r="R29" s="63"/>
      <c r="S29" s="64" t="str">
        <f t="shared" si="7"/>
        <v/>
      </c>
      <c r="T29" s="65"/>
      <c r="U29" s="66"/>
      <c r="V29" s="18" t="s">
        <v>68</v>
      </c>
      <c r="W29" s="69" t="s">
        <v>68</v>
      </c>
      <c r="Y29"/>
      <c r="Z29"/>
      <c r="AA29"/>
      <c r="AB29"/>
      <c r="AC29"/>
    </row>
    <row r="30" spans="1:30" s="67" customFormat="1" ht="18" customHeight="1">
      <c r="A30" s="60"/>
      <c r="B30" s="61">
        <v>17</v>
      </c>
      <c r="C30" s="21"/>
      <c r="D30" s="177"/>
      <c r="E30" s="21"/>
      <c r="F30" s="177"/>
      <c r="G30" s="23"/>
      <c r="H30" s="22"/>
      <c r="I30" s="22"/>
      <c r="J30" s="62" t="str">
        <f t="shared" si="4"/>
        <v/>
      </c>
      <c r="K30" s="63"/>
      <c r="L30" s="63"/>
      <c r="M30" s="64" t="str">
        <f t="shared" si="5"/>
        <v/>
      </c>
      <c r="N30" s="22"/>
      <c r="O30" s="22"/>
      <c r="P30" s="62" t="str">
        <f t="shared" si="6"/>
        <v/>
      </c>
      <c r="Q30" s="63"/>
      <c r="R30" s="63"/>
      <c r="S30" s="64" t="str">
        <f t="shared" si="7"/>
        <v/>
      </c>
      <c r="T30" s="65"/>
      <c r="U30" s="66"/>
      <c r="V30" s="18" t="s">
        <v>68</v>
      </c>
      <c r="W30" s="69" t="s">
        <v>68</v>
      </c>
      <c r="Y30"/>
      <c r="Z30"/>
      <c r="AA30"/>
      <c r="AB30"/>
      <c r="AC30"/>
    </row>
    <row r="31" spans="1:30" s="67" customFormat="1" ht="18" customHeight="1">
      <c r="A31" s="60"/>
      <c r="B31" s="61">
        <v>18</v>
      </c>
      <c r="C31" s="21"/>
      <c r="D31" s="177"/>
      <c r="E31" s="21"/>
      <c r="F31" s="177"/>
      <c r="G31" s="23"/>
      <c r="H31" s="22"/>
      <c r="I31" s="22"/>
      <c r="J31" s="62" t="str">
        <f t="shared" si="4"/>
        <v/>
      </c>
      <c r="K31" s="63"/>
      <c r="L31" s="63"/>
      <c r="M31" s="64" t="str">
        <f t="shared" si="5"/>
        <v/>
      </c>
      <c r="N31" s="22"/>
      <c r="O31" s="22"/>
      <c r="P31" s="62" t="str">
        <f t="shared" si="6"/>
        <v/>
      </c>
      <c r="Q31" s="63"/>
      <c r="R31" s="63"/>
      <c r="S31" s="64" t="str">
        <f t="shared" si="7"/>
        <v/>
      </c>
      <c r="T31" s="65"/>
      <c r="U31" s="66"/>
      <c r="V31" s="18" t="s">
        <v>68</v>
      </c>
      <c r="W31" s="69" t="s">
        <v>68</v>
      </c>
      <c r="Y31"/>
      <c r="Z31"/>
      <c r="AA31"/>
      <c r="AB31"/>
      <c r="AC31"/>
    </row>
    <row r="32" spans="1:30" s="67" customFormat="1" ht="18" customHeight="1">
      <c r="A32" s="60"/>
      <c r="B32" s="61">
        <v>19</v>
      </c>
      <c r="C32" s="21"/>
      <c r="D32" s="177"/>
      <c r="E32" s="21"/>
      <c r="F32" s="177"/>
      <c r="G32" s="23"/>
      <c r="H32" s="22"/>
      <c r="I32" s="22"/>
      <c r="J32" s="62" t="str">
        <f t="shared" si="4"/>
        <v/>
      </c>
      <c r="K32" s="63"/>
      <c r="L32" s="63"/>
      <c r="M32" s="64" t="str">
        <f t="shared" si="5"/>
        <v/>
      </c>
      <c r="N32" s="22"/>
      <c r="O32" s="22"/>
      <c r="P32" s="62" t="str">
        <f t="shared" si="6"/>
        <v/>
      </c>
      <c r="Q32" s="63"/>
      <c r="R32" s="63"/>
      <c r="S32" s="64" t="str">
        <f t="shared" si="7"/>
        <v/>
      </c>
      <c r="T32" s="65"/>
      <c r="U32" s="66"/>
      <c r="V32" s="18" t="s">
        <v>68</v>
      </c>
      <c r="W32" s="69" t="s">
        <v>68</v>
      </c>
      <c r="Y32"/>
      <c r="Z32"/>
      <c r="AA32"/>
      <c r="AB32"/>
      <c r="AC32"/>
    </row>
    <row r="33" spans="1:29" s="67" customFormat="1" ht="18" customHeight="1">
      <c r="A33" s="60"/>
      <c r="B33" s="61">
        <v>20</v>
      </c>
      <c r="C33" s="21"/>
      <c r="D33" s="177"/>
      <c r="E33" s="21"/>
      <c r="F33" s="177"/>
      <c r="G33" s="23"/>
      <c r="H33" s="22"/>
      <c r="I33" s="22"/>
      <c r="J33" s="62" t="str">
        <f t="shared" si="4"/>
        <v/>
      </c>
      <c r="K33" s="63"/>
      <c r="L33" s="63"/>
      <c r="M33" s="64" t="str">
        <f t="shared" si="5"/>
        <v/>
      </c>
      <c r="N33" s="22"/>
      <c r="O33" s="22"/>
      <c r="P33" s="62" t="str">
        <f t="shared" si="6"/>
        <v/>
      </c>
      <c r="Q33" s="63"/>
      <c r="R33" s="63"/>
      <c r="S33" s="64" t="str">
        <f t="shared" si="7"/>
        <v/>
      </c>
      <c r="T33" s="65"/>
      <c r="U33" s="66"/>
      <c r="V33" s="18" t="s">
        <v>68</v>
      </c>
      <c r="W33" s="69" t="s">
        <v>68</v>
      </c>
      <c r="Y33"/>
      <c r="Z33"/>
      <c r="AA33"/>
      <c r="AB33"/>
      <c r="AC33"/>
    </row>
    <row r="34" spans="1:29" s="67" customFormat="1" ht="18" customHeight="1">
      <c r="A34" s="60"/>
      <c r="B34" s="61">
        <v>21</v>
      </c>
      <c r="C34" s="21"/>
      <c r="D34" s="180"/>
      <c r="E34" s="21"/>
      <c r="F34" s="195"/>
      <c r="G34" s="23"/>
      <c r="H34" s="22"/>
      <c r="I34" s="22"/>
      <c r="J34" s="62" t="str">
        <f t="shared" si="4"/>
        <v/>
      </c>
      <c r="K34" s="63"/>
      <c r="L34" s="63"/>
      <c r="M34" s="64" t="str">
        <f t="shared" si="5"/>
        <v/>
      </c>
      <c r="N34" s="22"/>
      <c r="O34" s="22"/>
      <c r="P34" s="62" t="str">
        <f t="shared" si="6"/>
        <v/>
      </c>
      <c r="Q34" s="63"/>
      <c r="R34" s="63"/>
      <c r="S34" s="64" t="str">
        <f t="shared" si="7"/>
        <v/>
      </c>
      <c r="T34" s="65"/>
      <c r="U34" s="66"/>
      <c r="V34" s="18" t="s">
        <v>68</v>
      </c>
      <c r="W34" s="69" t="s">
        <v>68</v>
      </c>
      <c r="Y34"/>
      <c r="Z34"/>
      <c r="AA34"/>
      <c r="AB34"/>
      <c r="AC34"/>
    </row>
    <row r="35" spans="1:29" s="67" customFormat="1" ht="18" customHeight="1">
      <c r="A35" s="60"/>
      <c r="B35" s="61">
        <v>22</v>
      </c>
      <c r="C35" s="21"/>
      <c r="D35" s="180"/>
      <c r="E35" s="21"/>
      <c r="F35" s="195"/>
      <c r="G35" s="23"/>
      <c r="H35" s="22"/>
      <c r="I35" s="22"/>
      <c r="J35" s="62" t="str">
        <f t="shared" si="4"/>
        <v/>
      </c>
      <c r="K35" s="63"/>
      <c r="L35" s="63"/>
      <c r="M35" s="64" t="str">
        <f t="shared" si="5"/>
        <v/>
      </c>
      <c r="N35" s="22"/>
      <c r="O35" s="22"/>
      <c r="P35" s="62" t="str">
        <f t="shared" si="6"/>
        <v/>
      </c>
      <c r="Q35" s="63"/>
      <c r="R35" s="63"/>
      <c r="S35" s="64" t="str">
        <f t="shared" si="7"/>
        <v/>
      </c>
      <c r="T35" s="65"/>
      <c r="U35" s="66"/>
      <c r="V35" s="18" t="s">
        <v>68</v>
      </c>
      <c r="W35" s="69" t="s">
        <v>68</v>
      </c>
      <c r="Y35"/>
      <c r="Z35"/>
      <c r="AA35"/>
      <c r="AB35"/>
      <c r="AC35"/>
    </row>
    <row r="36" spans="1:29" s="67" customFormat="1" ht="18" customHeight="1">
      <c r="A36" s="60"/>
      <c r="B36" s="61">
        <v>23</v>
      </c>
      <c r="C36" s="21"/>
      <c r="D36" s="180"/>
      <c r="E36" s="21"/>
      <c r="F36" s="195"/>
      <c r="G36" s="23"/>
      <c r="H36" s="22"/>
      <c r="I36" s="22"/>
      <c r="J36" s="62" t="str">
        <f t="shared" si="4"/>
        <v/>
      </c>
      <c r="K36" s="63"/>
      <c r="L36" s="63"/>
      <c r="M36" s="64" t="str">
        <f t="shared" si="5"/>
        <v/>
      </c>
      <c r="N36" s="22"/>
      <c r="O36" s="22"/>
      <c r="P36" s="62" t="str">
        <f t="shared" si="6"/>
        <v/>
      </c>
      <c r="Q36" s="63"/>
      <c r="R36" s="63"/>
      <c r="S36" s="64" t="str">
        <f t="shared" si="7"/>
        <v/>
      </c>
      <c r="T36" s="65"/>
      <c r="U36" s="66"/>
      <c r="V36" s="18" t="s">
        <v>68</v>
      </c>
      <c r="W36" s="69" t="s">
        <v>68</v>
      </c>
      <c r="Y36"/>
      <c r="Z36"/>
      <c r="AA36"/>
      <c r="AB36"/>
      <c r="AC36"/>
    </row>
    <row r="37" spans="1:29" s="67" customFormat="1" ht="18" customHeight="1">
      <c r="A37" s="60"/>
      <c r="B37" s="61">
        <v>24</v>
      </c>
      <c r="C37" s="21"/>
      <c r="D37" s="180"/>
      <c r="E37" s="21"/>
      <c r="F37" s="195"/>
      <c r="G37" s="23"/>
      <c r="H37" s="22"/>
      <c r="I37" s="22"/>
      <c r="J37" s="62" t="str">
        <f t="shared" si="4"/>
        <v/>
      </c>
      <c r="K37" s="63"/>
      <c r="L37" s="63"/>
      <c r="M37" s="64" t="str">
        <f t="shared" si="5"/>
        <v/>
      </c>
      <c r="N37" s="22"/>
      <c r="O37" s="22"/>
      <c r="P37" s="62" t="str">
        <f t="shared" si="6"/>
        <v/>
      </c>
      <c r="Q37" s="63"/>
      <c r="R37" s="63"/>
      <c r="S37" s="64" t="str">
        <f t="shared" si="7"/>
        <v/>
      </c>
      <c r="T37" s="65"/>
      <c r="U37" s="66"/>
      <c r="V37" s="18" t="s">
        <v>68</v>
      </c>
      <c r="W37" s="69" t="s">
        <v>68</v>
      </c>
      <c r="Y37"/>
      <c r="Z37"/>
      <c r="AA37"/>
      <c r="AB37"/>
      <c r="AC37"/>
    </row>
    <row r="38" spans="1:29" s="67" customFormat="1" ht="18" customHeight="1">
      <c r="A38" s="60"/>
      <c r="B38" s="61">
        <v>25</v>
      </c>
      <c r="C38" s="21"/>
      <c r="D38" s="180" t="s">
        <v>68</v>
      </c>
      <c r="E38" s="21"/>
      <c r="F38" s="195" t="s">
        <v>68</v>
      </c>
      <c r="G38" s="23"/>
      <c r="H38" s="22"/>
      <c r="I38" s="22"/>
      <c r="J38" s="62" t="str">
        <f t="shared" si="4"/>
        <v/>
      </c>
      <c r="K38" s="63"/>
      <c r="L38" s="63"/>
      <c r="M38" s="64" t="str">
        <f t="shared" si="5"/>
        <v/>
      </c>
      <c r="N38" s="22"/>
      <c r="O38" s="22"/>
      <c r="P38" s="62" t="str">
        <f t="shared" si="6"/>
        <v/>
      </c>
      <c r="Q38" s="63"/>
      <c r="R38" s="63"/>
      <c r="S38" s="64" t="str">
        <f t="shared" si="7"/>
        <v/>
      </c>
      <c r="T38" s="65"/>
      <c r="U38" s="66"/>
      <c r="V38" s="18" t="s">
        <v>68</v>
      </c>
      <c r="W38" s="69" t="s">
        <v>68</v>
      </c>
      <c r="Y38"/>
      <c r="Z38"/>
      <c r="AA38"/>
      <c r="AB38"/>
      <c r="AC38"/>
    </row>
    <row r="39" spans="1:29" s="67" customFormat="1" ht="18" customHeight="1">
      <c r="A39" s="60"/>
      <c r="B39" s="61">
        <v>26</v>
      </c>
      <c r="C39" s="21"/>
      <c r="D39" s="180" t="s">
        <v>68</v>
      </c>
      <c r="E39" s="21"/>
      <c r="F39" s="195" t="s">
        <v>68</v>
      </c>
      <c r="G39" s="23"/>
      <c r="H39" s="22"/>
      <c r="I39" s="22"/>
      <c r="J39" s="62" t="str">
        <f t="shared" si="4"/>
        <v/>
      </c>
      <c r="K39" s="63"/>
      <c r="L39" s="63"/>
      <c r="M39" s="64" t="str">
        <f t="shared" si="5"/>
        <v/>
      </c>
      <c r="N39" s="22"/>
      <c r="O39" s="22"/>
      <c r="P39" s="62" t="str">
        <f t="shared" si="6"/>
        <v/>
      </c>
      <c r="Q39" s="63"/>
      <c r="R39" s="63"/>
      <c r="S39" s="64" t="str">
        <f t="shared" si="7"/>
        <v/>
      </c>
      <c r="T39" s="65"/>
      <c r="U39" s="66"/>
      <c r="V39" s="18" t="s">
        <v>68</v>
      </c>
      <c r="W39" s="69" t="s">
        <v>68</v>
      </c>
      <c r="Y39"/>
      <c r="Z39"/>
      <c r="AA39"/>
      <c r="AB39"/>
      <c r="AC39"/>
    </row>
    <row r="40" spans="1:29" s="67" customFormat="1" ht="18" customHeight="1">
      <c r="A40" s="60"/>
      <c r="B40" s="61">
        <v>27</v>
      </c>
      <c r="C40" s="21"/>
      <c r="D40" s="180" t="s">
        <v>68</v>
      </c>
      <c r="E40" s="21"/>
      <c r="F40" s="195" t="s">
        <v>68</v>
      </c>
      <c r="G40" s="23"/>
      <c r="H40" s="22"/>
      <c r="I40" s="22"/>
      <c r="J40" s="62" t="str">
        <f t="shared" si="4"/>
        <v/>
      </c>
      <c r="K40" s="63"/>
      <c r="L40" s="63"/>
      <c r="M40" s="64" t="str">
        <f t="shared" si="5"/>
        <v/>
      </c>
      <c r="N40" s="22"/>
      <c r="O40" s="22"/>
      <c r="P40" s="62" t="str">
        <f t="shared" si="6"/>
        <v/>
      </c>
      <c r="Q40" s="63"/>
      <c r="R40" s="63"/>
      <c r="S40" s="64" t="str">
        <f t="shared" si="7"/>
        <v/>
      </c>
      <c r="T40" s="65"/>
      <c r="U40" s="66"/>
      <c r="V40" s="18" t="s">
        <v>68</v>
      </c>
      <c r="W40" s="69" t="s">
        <v>68</v>
      </c>
      <c r="Y40"/>
      <c r="Z40"/>
      <c r="AA40"/>
      <c r="AB40"/>
      <c r="AC40"/>
    </row>
    <row r="41" spans="1:29" s="67" customFormat="1" ht="18" customHeight="1">
      <c r="A41" s="60"/>
      <c r="B41" s="61">
        <v>28</v>
      </c>
      <c r="C41" s="21"/>
      <c r="D41" s="180" t="s">
        <v>68</v>
      </c>
      <c r="E41" s="21"/>
      <c r="F41" s="195" t="s">
        <v>68</v>
      </c>
      <c r="G41" s="23"/>
      <c r="H41" s="22"/>
      <c r="I41" s="22"/>
      <c r="J41" s="62" t="str">
        <f t="shared" si="4"/>
        <v/>
      </c>
      <c r="K41" s="63"/>
      <c r="L41" s="63"/>
      <c r="M41" s="64" t="str">
        <f t="shared" si="5"/>
        <v/>
      </c>
      <c r="N41" s="22"/>
      <c r="O41" s="22"/>
      <c r="P41" s="62" t="str">
        <f t="shared" si="6"/>
        <v/>
      </c>
      <c r="Q41" s="63"/>
      <c r="R41" s="63"/>
      <c r="S41" s="64" t="str">
        <f t="shared" si="7"/>
        <v/>
      </c>
      <c r="T41" s="65"/>
      <c r="U41" s="66"/>
      <c r="V41" s="18" t="s">
        <v>68</v>
      </c>
      <c r="W41" s="69" t="s">
        <v>68</v>
      </c>
      <c r="Y41"/>
      <c r="Z41"/>
      <c r="AA41"/>
      <c r="AB41"/>
      <c r="AC41"/>
    </row>
    <row r="42" spans="1:29" s="67" customFormat="1" ht="18" customHeight="1">
      <c r="A42" s="60"/>
      <c r="B42" s="61">
        <v>29</v>
      </c>
      <c r="C42" s="21"/>
      <c r="D42" s="180" t="s">
        <v>68</v>
      </c>
      <c r="E42" s="21"/>
      <c r="F42" s="195" t="s">
        <v>68</v>
      </c>
      <c r="G42" s="23"/>
      <c r="H42" s="22"/>
      <c r="I42" s="22"/>
      <c r="J42" s="62" t="str">
        <f t="shared" si="4"/>
        <v/>
      </c>
      <c r="K42" s="63"/>
      <c r="L42" s="63"/>
      <c r="M42" s="64" t="str">
        <f t="shared" si="5"/>
        <v/>
      </c>
      <c r="N42" s="22"/>
      <c r="O42" s="22"/>
      <c r="P42" s="62" t="str">
        <f t="shared" si="6"/>
        <v/>
      </c>
      <c r="Q42" s="63"/>
      <c r="R42" s="63"/>
      <c r="S42" s="64" t="str">
        <f t="shared" si="7"/>
        <v/>
      </c>
      <c r="T42" s="65"/>
      <c r="U42" s="66"/>
      <c r="V42" s="18" t="s">
        <v>68</v>
      </c>
      <c r="W42" s="69" t="s">
        <v>68</v>
      </c>
      <c r="Y42"/>
      <c r="Z42"/>
      <c r="AA42"/>
      <c r="AB42"/>
      <c r="AC42"/>
    </row>
    <row r="43" spans="1:29" s="67" customFormat="1" ht="18" customHeight="1">
      <c r="A43" s="60"/>
      <c r="B43" s="61">
        <v>30</v>
      </c>
      <c r="C43" s="21"/>
      <c r="D43" s="180" t="s">
        <v>68</v>
      </c>
      <c r="E43" s="21"/>
      <c r="F43" s="195" t="s">
        <v>68</v>
      </c>
      <c r="G43" s="23"/>
      <c r="H43" s="22"/>
      <c r="I43" s="22"/>
      <c r="J43" s="62" t="str">
        <f t="shared" si="4"/>
        <v/>
      </c>
      <c r="K43" s="63"/>
      <c r="L43" s="63"/>
      <c r="M43" s="64" t="str">
        <f t="shared" si="5"/>
        <v/>
      </c>
      <c r="N43" s="22"/>
      <c r="O43" s="22"/>
      <c r="P43" s="62" t="str">
        <f t="shared" si="6"/>
        <v/>
      </c>
      <c r="Q43" s="63"/>
      <c r="R43" s="63"/>
      <c r="S43" s="64" t="str">
        <f t="shared" si="7"/>
        <v/>
      </c>
      <c r="T43" s="65"/>
      <c r="U43" s="66"/>
      <c r="V43" s="18" t="s">
        <v>68</v>
      </c>
      <c r="W43" s="69" t="s">
        <v>68</v>
      </c>
      <c r="Y43"/>
      <c r="Z43"/>
      <c r="AA43"/>
      <c r="AB43"/>
      <c r="AC43"/>
    </row>
    <row r="44" spans="1:29" s="67" customFormat="1" ht="18" customHeight="1">
      <c r="A44" s="60"/>
      <c r="B44" s="61"/>
      <c r="C44" s="21"/>
      <c r="D44" s="180" t="s">
        <v>68</v>
      </c>
      <c r="E44" s="21"/>
      <c r="F44" s="195" t="s">
        <v>68</v>
      </c>
      <c r="G44" s="23"/>
      <c r="H44" s="22"/>
      <c r="I44" s="22"/>
      <c r="J44" s="62" t="str">
        <f t="shared" si="4"/>
        <v/>
      </c>
      <c r="K44" s="63"/>
      <c r="L44" s="63"/>
      <c r="M44" s="64" t="str">
        <f t="shared" si="5"/>
        <v/>
      </c>
      <c r="N44" s="22"/>
      <c r="O44" s="22"/>
      <c r="P44" s="62" t="str">
        <f t="shared" si="6"/>
        <v/>
      </c>
      <c r="Q44" s="63"/>
      <c r="R44" s="63"/>
      <c r="S44" s="64" t="str">
        <f t="shared" si="7"/>
        <v/>
      </c>
      <c r="T44" s="65"/>
      <c r="U44" s="66"/>
      <c r="V44" s="18" t="s">
        <v>68</v>
      </c>
      <c r="W44" s="69" t="s">
        <v>68</v>
      </c>
      <c r="Y44"/>
      <c r="Z44"/>
      <c r="AA44"/>
      <c r="AB44"/>
      <c r="AC44"/>
    </row>
    <row r="45" spans="1:29" s="67" customFormat="1" ht="18" customHeight="1">
      <c r="A45" s="60"/>
      <c r="B45" s="61"/>
      <c r="C45" s="21"/>
      <c r="D45" s="180" t="s">
        <v>68</v>
      </c>
      <c r="E45" s="21"/>
      <c r="F45" s="195" t="s">
        <v>68</v>
      </c>
      <c r="G45" s="23"/>
      <c r="H45" s="22"/>
      <c r="I45" s="22"/>
      <c r="J45" s="62" t="str">
        <f t="shared" si="4"/>
        <v/>
      </c>
      <c r="K45" s="63"/>
      <c r="L45" s="63"/>
      <c r="M45" s="64" t="str">
        <f t="shared" si="5"/>
        <v/>
      </c>
      <c r="N45" s="22"/>
      <c r="O45" s="22"/>
      <c r="P45" s="62" t="str">
        <f t="shared" si="6"/>
        <v/>
      </c>
      <c r="Q45" s="63"/>
      <c r="R45" s="63"/>
      <c r="S45" s="64" t="str">
        <f t="shared" si="7"/>
        <v/>
      </c>
      <c r="T45" s="65"/>
      <c r="U45" s="66"/>
      <c r="V45" s="18" t="s">
        <v>68</v>
      </c>
      <c r="W45" s="69" t="s">
        <v>68</v>
      </c>
      <c r="Y45"/>
      <c r="Z45"/>
      <c r="AA45"/>
      <c r="AB45"/>
      <c r="AC45"/>
    </row>
    <row r="46" spans="1:29" s="67" customFormat="1" ht="18" customHeight="1">
      <c r="A46" s="60"/>
      <c r="B46" s="61"/>
      <c r="C46" s="21"/>
      <c r="D46" s="180" t="s">
        <v>68</v>
      </c>
      <c r="E46" s="21"/>
      <c r="F46" s="195" t="s">
        <v>68</v>
      </c>
      <c r="G46" s="23"/>
      <c r="H46" s="22"/>
      <c r="I46" s="22"/>
      <c r="J46" s="62" t="str">
        <f t="shared" ref="J46:J72" si="8">IF(H46="","",H46+I46)</f>
        <v/>
      </c>
      <c r="K46" s="63"/>
      <c r="L46" s="63"/>
      <c r="M46" s="64" t="str">
        <f t="shared" ref="M46:M72" si="9">IF(L46="","",K46+L46)</f>
        <v/>
      </c>
      <c r="N46" s="22"/>
      <c r="O46" s="22"/>
      <c r="P46" s="62" t="str">
        <f t="shared" ref="P46:P72" si="10">IF(N46="","",N46+O46)</f>
        <v/>
      </c>
      <c r="Q46" s="63"/>
      <c r="R46" s="63"/>
      <c r="S46" s="64" t="str">
        <f t="shared" ref="S46:S72" si="11">IF(R46="","",Q46+R46)</f>
        <v/>
      </c>
      <c r="T46" s="65"/>
      <c r="U46" s="66"/>
      <c r="V46" s="18" t="s">
        <v>68</v>
      </c>
      <c r="W46" s="69" t="s">
        <v>68</v>
      </c>
      <c r="Y46"/>
      <c r="Z46"/>
      <c r="AA46"/>
      <c r="AB46"/>
      <c r="AC46"/>
    </row>
    <row r="47" spans="1:29" s="67" customFormat="1" ht="18" customHeight="1">
      <c r="A47" s="60"/>
      <c r="B47" s="61"/>
      <c r="C47" s="21"/>
      <c r="D47" s="180" t="s">
        <v>68</v>
      </c>
      <c r="E47" s="21"/>
      <c r="F47" s="195" t="s">
        <v>68</v>
      </c>
      <c r="G47" s="23"/>
      <c r="H47" s="22"/>
      <c r="I47" s="22"/>
      <c r="J47" s="62" t="str">
        <f t="shared" si="8"/>
        <v/>
      </c>
      <c r="K47" s="63"/>
      <c r="L47" s="63"/>
      <c r="M47" s="64" t="str">
        <f t="shared" si="9"/>
        <v/>
      </c>
      <c r="N47" s="22"/>
      <c r="O47" s="22"/>
      <c r="P47" s="62" t="str">
        <f t="shared" si="10"/>
        <v/>
      </c>
      <c r="Q47" s="63"/>
      <c r="R47" s="63"/>
      <c r="S47" s="64" t="str">
        <f t="shared" si="11"/>
        <v/>
      </c>
      <c r="T47" s="65"/>
      <c r="U47" s="66"/>
      <c r="V47" s="18" t="s">
        <v>68</v>
      </c>
      <c r="W47" s="69" t="s">
        <v>68</v>
      </c>
      <c r="Y47"/>
      <c r="Z47"/>
      <c r="AA47"/>
      <c r="AB47"/>
      <c r="AC47"/>
    </row>
    <row r="48" spans="1:29" s="67" customFormat="1" ht="18" customHeight="1">
      <c r="A48" s="60"/>
      <c r="B48" s="61"/>
      <c r="C48" s="21"/>
      <c r="D48" s="180" t="s">
        <v>68</v>
      </c>
      <c r="E48" s="21"/>
      <c r="F48" s="195" t="s">
        <v>68</v>
      </c>
      <c r="G48" s="23"/>
      <c r="H48" s="22"/>
      <c r="I48" s="22"/>
      <c r="J48" s="62" t="str">
        <f t="shared" si="8"/>
        <v/>
      </c>
      <c r="K48" s="63"/>
      <c r="L48" s="63"/>
      <c r="M48" s="64" t="str">
        <f t="shared" si="9"/>
        <v/>
      </c>
      <c r="N48" s="22"/>
      <c r="O48" s="22"/>
      <c r="P48" s="62" t="str">
        <f t="shared" si="10"/>
        <v/>
      </c>
      <c r="Q48" s="63"/>
      <c r="R48" s="63"/>
      <c r="S48" s="64" t="str">
        <f t="shared" si="11"/>
        <v/>
      </c>
      <c r="T48" s="65"/>
      <c r="U48" s="66"/>
      <c r="V48" s="18" t="s">
        <v>68</v>
      </c>
      <c r="W48" s="69" t="s">
        <v>68</v>
      </c>
      <c r="Y48"/>
      <c r="Z48"/>
      <c r="AA48"/>
      <c r="AB48"/>
      <c r="AC48"/>
    </row>
    <row r="49" spans="1:29" s="67" customFormat="1" ht="18" customHeight="1">
      <c r="A49" s="60"/>
      <c r="B49" s="61"/>
      <c r="C49" s="21"/>
      <c r="D49" s="180" t="s">
        <v>68</v>
      </c>
      <c r="E49" s="21"/>
      <c r="F49" s="195" t="s">
        <v>68</v>
      </c>
      <c r="G49" s="23"/>
      <c r="H49" s="22"/>
      <c r="I49" s="22"/>
      <c r="J49" s="62" t="str">
        <f t="shared" si="8"/>
        <v/>
      </c>
      <c r="K49" s="63"/>
      <c r="L49" s="63"/>
      <c r="M49" s="64" t="str">
        <f t="shared" si="9"/>
        <v/>
      </c>
      <c r="N49" s="22"/>
      <c r="O49" s="22"/>
      <c r="P49" s="62" t="str">
        <f t="shared" si="10"/>
        <v/>
      </c>
      <c r="Q49" s="63"/>
      <c r="R49" s="63"/>
      <c r="S49" s="64" t="str">
        <f t="shared" si="11"/>
        <v/>
      </c>
      <c r="T49" s="65"/>
      <c r="U49" s="66"/>
      <c r="V49" s="18" t="s">
        <v>68</v>
      </c>
      <c r="W49" s="69" t="s">
        <v>68</v>
      </c>
      <c r="Y49"/>
      <c r="Z49"/>
      <c r="AA49"/>
      <c r="AB49"/>
      <c r="AC49"/>
    </row>
    <row r="50" spans="1:29" s="67" customFormat="1" ht="18" customHeight="1">
      <c r="A50" s="60"/>
      <c r="B50" s="61"/>
      <c r="C50" s="21"/>
      <c r="D50" s="180" t="s">
        <v>68</v>
      </c>
      <c r="E50" s="21"/>
      <c r="F50" s="195" t="s">
        <v>68</v>
      </c>
      <c r="G50" s="23"/>
      <c r="H50" s="22"/>
      <c r="I50" s="22"/>
      <c r="J50" s="62" t="str">
        <f t="shared" si="8"/>
        <v/>
      </c>
      <c r="K50" s="63"/>
      <c r="L50" s="63"/>
      <c r="M50" s="64" t="str">
        <f t="shared" si="9"/>
        <v/>
      </c>
      <c r="N50" s="22"/>
      <c r="O50" s="22"/>
      <c r="P50" s="62" t="str">
        <f t="shared" si="10"/>
        <v/>
      </c>
      <c r="Q50" s="63"/>
      <c r="R50" s="63"/>
      <c r="S50" s="64" t="str">
        <f t="shared" si="11"/>
        <v/>
      </c>
      <c r="T50" s="65"/>
      <c r="U50" s="66"/>
      <c r="V50" s="18" t="s">
        <v>68</v>
      </c>
      <c r="W50" s="69" t="s">
        <v>68</v>
      </c>
      <c r="Y50"/>
      <c r="Z50"/>
      <c r="AA50"/>
      <c r="AB50"/>
      <c r="AC50"/>
    </row>
    <row r="51" spans="1:29" s="67" customFormat="1" ht="18" customHeight="1">
      <c r="A51" s="60"/>
      <c r="B51" s="61"/>
      <c r="C51" s="21"/>
      <c r="D51" s="180" t="s">
        <v>68</v>
      </c>
      <c r="E51" s="21"/>
      <c r="F51" s="195" t="s">
        <v>68</v>
      </c>
      <c r="G51" s="23"/>
      <c r="H51" s="22"/>
      <c r="I51" s="22"/>
      <c r="J51" s="62" t="str">
        <f t="shared" si="8"/>
        <v/>
      </c>
      <c r="K51" s="63"/>
      <c r="L51" s="63"/>
      <c r="M51" s="64" t="str">
        <f t="shared" si="9"/>
        <v/>
      </c>
      <c r="N51" s="22"/>
      <c r="O51" s="22"/>
      <c r="P51" s="62" t="str">
        <f t="shared" si="10"/>
        <v/>
      </c>
      <c r="Q51" s="63"/>
      <c r="R51" s="63"/>
      <c r="S51" s="64" t="str">
        <f t="shared" si="11"/>
        <v/>
      </c>
      <c r="T51" s="65"/>
      <c r="U51" s="66"/>
      <c r="V51" s="18" t="s">
        <v>68</v>
      </c>
      <c r="W51" s="69" t="s">
        <v>68</v>
      </c>
      <c r="Y51"/>
      <c r="Z51"/>
      <c r="AA51"/>
      <c r="AB51"/>
      <c r="AC51"/>
    </row>
    <row r="52" spans="1:29" s="67" customFormat="1" ht="18" customHeight="1">
      <c r="A52" s="60"/>
      <c r="B52" s="61"/>
      <c r="C52" s="21"/>
      <c r="D52" s="180" t="s">
        <v>68</v>
      </c>
      <c r="E52" s="21"/>
      <c r="F52" s="195" t="s">
        <v>68</v>
      </c>
      <c r="G52" s="23"/>
      <c r="H52" s="22"/>
      <c r="I52" s="22"/>
      <c r="J52" s="62" t="str">
        <f t="shared" si="8"/>
        <v/>
      </c>
      <c r="K52" s="63"/>
      <c r="L52" s="63"/>
      <c r="M52" s="64" t="str">
        <f t="shared" si="9"/>
        <v/>
      </c>
      <c r="N52" s="22"/>
      <c r="O52" s="22"/>
      <c r="P52" s="62" t="str">
        <f t="shared" si="10"/>
        <v/>
      </c>
      <c r="Q52" s="63"/>
      <c r="R52" s="63"/>
      <c r="S52" s="64" t="str">
        <f t="shared" si="11"/>
        <v/>
      </c>
      <c r="T52" s="65"/>
      <c r="U52" s="66"/>
      <c r="V52" s="18" t="s">
        <v>68</v>
      </c>
      <c r="W52" s="69" t="s">
        <v>68</v>
      </c>
      <c r="Y52"/>
      <c r="Z52"/>
      <c r="AA52"/>
      <c r="AB52"/>
      <c r="AC52"/>
    </row>
    <row r="53" spans="1:29" s="67" customFormat="1" ht="18" customHeight="1">
      <c r="A53" s="60"/>
      <c r="B53" s="61"/>
      <c r="C53" s="21"/>
      <c r="D53" s="180" t="s">
        <v>68</v>
      </c>
      <c r="E53" s="21"/>
      <c r="F53" s="195" t="s">
        <v>68</v>
      </c>
      <c r="G53" s="23"/>
      <c r="H53" s="22"/>
      <c r="I53" s="22"/>
      <c r="J53" s="62" t="str">
        <f t="shared" si="8"/>
        <v/>
      </c>
      <c r="K53" s="63"/>
      <c r="L53" s="63"/>
      <c r="M53" s="64" t="str">
        <f t="shared" si="9"/>
        <v/>
      </c>
      <c r="N53" s="22"/>
      <c r="O53" s="22"/>
      <c r="P53" s="62" t="str">
        <f t="shared" si="10"/>
        <v/>
      </c>
      <c r="Q53" s="63"/>
      <c r="R53" s="63"/>
      <c r="S53" s="64" t="str">
        <f t="shared" si="11"/>
        <v/>
      </c>
      <c r="T53" s="65"/>
      <c r="U53" s="66"/>
      <c r="V53" s="18" t="s">
        <v>68</v>
      </c>
      <c r="W53" s="69" t="s">
        <v>68</v>
      </c>
      <c r="Y53"/>
      <c r="Z53"/>
      <c r="AA53"/>
      <c r="AB53"/>
      <c r="AC53"/>
    </row>
    <row r="54" spans="1:29" s="67" customFormat="1" ht="18" customHeight="1">
      <c r="A54" s="60"/>
      <c r="B54" s="61"/>
      <c r="C54" s="21"/>
      <c r="D54" s="180" t="s">
        <v>68</v>
      </c>
      <c r="E54" s="21"/>
      <c r="F54" s="195" t="s">
        <v>68</v>
      </c>
      <c r="G54" s="23"/>
      <c r="H54" s="22"/>
      <c r="I54" s="22"/>
      <c r="J54" s="62" t="str">
        <f t="shared" si="8"/>
        <v/>
      </c>
      <c r="K54" s="63"/>
      <c r="L54" s="63"/>
      <c r="M54" s="64" t="str">
        <f t="shared" si="9"/>
        <v/>
      </c>
      <c r="N54" s="22"/>
      <c r="O54" s="22"/>
      <c r="P54" s="62" t="str">
        <f t="shared" si="10"/>
        <v/>
      </c>
      <c r="Q54" s="63"/>
      <c r="R54" s="63"/>
      <c r="S54" s="64" t="str">
        <f t="shared" si="11"/>
        <v/>
      </c>
      <c r="T54" s="65"/>
      <c r="U54" s="66"/>
      <c r="V54" s="18" t="s">
        <v>68</v>
      </c>
      <c r="W54" s="69" t="s">
        <v>68</v>
      </c>
      <c r="Y54"/>
      <c r="Z54"/>
      <c r="AA54"/>
      <c r="AB54"/>
      <c r="AC54"/>
    </row>
    <row r="55" spans="1:29" s="67" customFormat="1" ht="18" customHeight="1">
      <c r="A55" s="60"/>
      <c r="B55" s="61"/>
      <c r="C55" s="21"/>
      <c r="D55" s="180" t="s">
        <v>68</v>
      </c>
      <c r="E55" s="21"/>
      <c r="F55" s="195" t="s">
        <v>68</v>
      </c>
      <c r="G55" s="23"/>
      <c r="H55" s="22"/>
      <c r="I55" s="22"/>
      <c r="J55" s="62" t="str">
        <f t="shared" si="8"/>
        <v/>
      </c>
      <c r="K55" s="63"/>
      <c r="L55" s="63"/>
      <c r="M55" s="64" t="str">
        <f t="shared" si="9"/>
        <v/>
      </c>
      <c r="N55" s="22"/>
      <c r="O55" s="22"/>
      <c r="P55" s="62" t="str">
        <f t="shared" si="10"/>
        <v/>
      </c>
      <c r="Q55" s="63"/>
      <c r="R55" s="63"/>
      <c r="S55" s="64" t="str">
        <f t="shared" si="11"/>
        <v/>
      </c>
      <c r="T55" s="65"/>
      <c r="U55" s="66"/>
      <c r="V55" s="18" t="s">
        <v>68</v>
      </c>
      <c r="W55" s="69" t="s">
        <v>68</v>
      </c>
      <c r="Y55"/>
      <c r="Z55"/>
      <c r="AA55"/>
      <c r="AB55"/>
      <c r="AC55"/>
    </row>
    <row r="56" spans="1:29" s="67" customFormat="1" ht="18" customHeight="1">
      <c r="A56" s="60"/>
      <c r="B56" s="61"/>
      <c r="C56" s="21"/>
      <c r="D56" s="180" t="s">
        <v>68</v>
      </c>
      <c r="E56" s="21"/>
      <c r="F56" s="195" t="s">
        <v>68</v>
      </c>
      <c r="G56" s="23"/>
      <c r="H56" s="22"/>
      <c r="I56" s="22"/>
      <c r="J56" s="62" t="str">
        <f t="shared" si="8"/>
        <v/>
      </c>
      <c r="K56" s="63"/>
      <c r="L56" s="63"/>
      <c r="M56" s="64" t="str">
        <f t="shared" si="9"/>
        <v/>
      </c>
      <c r="N56" s="22"/>
      <c r="O56" s="22"/>
      <c r="P56" s="62" t="str">
        <f t="shared" si="10"/>
        <v/>
      </c>
      <c r="Q56" s="63"/>
      <c r="R56" s="63"/>
      <c r="S56" s="64" t="str">
        <f t="shared" si="11"/>
        <v/>
      </c>
      <c r="T56" s="65"/>
      <c r="U56" s="66"/>
      <c r="V56" s="18" t="s">
        <v>68</v>
      </c>
      <c r="W56" s="69" t="s">
        <v>68</v>
      </c>
      <c r="Y56"/>
      <c r="Z56"/>
      <c r="AA56"/>
      <c r="AB56"/>
      <c r="AC56"/>
    </row>
    <row r="57" spans="1:29" s="67" customFormat="1" ht="18" customHeight="1">
      <c r="A57" s="60"/>
      <c r="B57" s="61"/>
      <c r="C57" s="21"/>
      <c r="D57" s="180" t="s">
        <v>68</v>
      </c>
      <c r="E57" s="21"/>
      <c r="F57" s="195" t="s">
        <v>68</v>
      </c>
      <c r="G57" s="23"/>
      <c r="H57" s="22"/>
      <c r="I57" s="22"/>
      <c r="J57" s="62" t="str">
        <f t="shared" si="8"/>
        <v/>
      </c>
      <c r="K57" s="63"/>
      <c r="L57" s="63"/>
      <c r="M57" s="64" t="str">
        <f t="shared" si="9"/>
        <v/>
      </c>
      <c r="N57" s="22"/>
      <c r="O57" s="22"/>
      <c r="P57" s="62" t="str">
        <f t="shared" si="10"/>
        <v/>
      </c>
      <c r="Q57" s="63"/>
      <c r="R57" s="63"/>
      <c r="S57" s="64" t="str">
        <f t="shared" si="11"/>
        <v/>
      </c>
      <c r="T57" s="65"/>
      <c r="U57" s="66"/>
      <c r="V57" s="18" t="s">
        <v>68</v>
      </c>
      <c r="W57" s="69" t="s">
        <v>68</v>
      </c>
      <c r="Y57"/>
      <c r="Z57"/>
      <c r="AA57"/>
      <c r="AB57"/>
      <c r="AC57"/>
    </row>
    <row r="58" spans="1:29" s="67" customFormat="1" ht="18" customHeight="1">
      <c r="A58" s="60"/>
      <c r="B58" s="61"/>
      <c r="C58" s="21"/>
      <c r="D58" s="180" t="s">
        <v>68</v>
      </c>
      <c r="E58" s="21"/>
      <c r="F58" s="195" t="s">
        <v>68</v>
      </c>
      <c r="G58" s="23"/>
      <c r="H58" s="22"/>
      <c r="I58" s="22"/>
      <c r="J58" s="62" t="str">
        <f t="shared" si="8"/>
        <v/>
      </c>
      <c r="K58" s="63"/>
      <c r="L58" s="63"/>
      <c r="M58" s="64" t="str">
        <f t="shared" si="9"/>
        <v/>
      </c>
      <c r="N58" s="22"/>
      <c r="O58" s="22"/>
      <c r="P58" s="62" t="str">
        <f t="shared" si="10"/>
        <v/>
      </c>
      <c r="Q58" s="63"/>
      <c r="R58" s="63"/>
      <c r="S58" s="64" t="str">
        <f t="shared" si="11"/>
        <v/>
      </c>
      <c r="T58" s="65"/>
      <c r="U58" s="66"/>
      <c r="V58" s="18" t="s">
        <v>68</v>
      </c>
      <c r="W58" s="69" t="s">
        <v>68</v>
      </c>
      <c r="Y58"/>
      <c r="Z58"/>
      <c r="AA58"/>
      <c r="AB58"/>
      <c r="AC58"/>
    </row>
    <row r="59" spans="1:29" s="67" customFormat="1" ht="18" customHeight="1">
      <c r="A59" s="60"/>
      <c r="B59" s="61"/>
      <c r="C59" s="21"/>
      <c r="D59" s="180" t="s">
        <v>68</v>
      </c>
      <c r="E59" s="21"/>
      <c r="F59" s="195" t="s">
        <v>68</v>
      </c>
      <c r="G59" s="23"/>
      <c r="H59" s="22"/>
      <c r="I59" s="22"/>
      <c r="J59" s="62" t="str">
        <f t="shared" si="8"/>
        <v/>
      </c>
      <c r="K59" s="63"/>
      <c r="L59" s="63"/>
      <c r="M59" s="64" t="str">
        <f t="shared" si="9"/>
        <v/>
      </c>
      <c r="N59" s="22"/>
      <c r="O59" s="22"/>
      <c r="P59" s="62" t="str">
        <f t="shared" si="10"/>
        <v/>
      </c>
      <c r="Q59" s="63"/>
      <c r="R59" s="63"/>
      <c r="S59" s="64" t="str">
        <f t="shared" si="11"/>
        <v/>
      </c>
      <c r="T59" s="65"/>
      <c r="U59" s="66"/>
      <c r="V59" s="18" t="s">
        <v>68</v>
      </c>
      <c r="W59" s="69" t="s">
        <v>68</v>
      </c>
      <c r="Y59"/>
      <c r="Z59"/>
      <c r="AA59"/>
      <c r="AB59"/>
      <c r="AC59"/>
    </row>
    <row r="60" spans="1:29" s="67" customFormat="1" ht="18" customHeight="1">
      <c r="A60" s="60"/>
      <c r="B60" s="61"/>
      <c r="C60" s="21"/>
      <c r="D60" s="180" t="s">
        <v>68</v>
      </c>
      <c r="E60" s="21"/>
      <c r="F60" s="195" t="s">
        <v>68</v>
      </c>
      <c r="G60" s="23"/>
      <c r="H60" s="22"/>
      <c r="I60" s="22"/>
      <c r="J60" s="62" t="str">
        <f t="shared" si="8"/>
        <v/>
      </c>
      <c r="K60" s="63"/>
      <c r="L60" s="63"/>
      <c r="M60" s="64" t="str">
        <f t="shared" si="9"/>
        <v/>
      </c>
      <c r="N60" s="22"/>
      <c r="O60" s="22"/>
      <c r="P60" s="62" t="str">
        <f t="shared" si="10"/>
        <v/>
      </c>
      <c r="Q60" s="63"/>
      <c r="R60" s="63"/>
      <c r="S60" s="64" t="str">
        <f t="shared" si="11"/>
        <v/>
      </c>
      <c r="T60" s="65"/>
      <c r="U60" s="66"/>
      <c r="V60" s="18" t="s">
        <v>68</v>
      </c>
      <c r="W60" s="69" t="s">
        <v>68</v>
      </c>
      <c r="Y60"/>
      <c r="Z60"/>
      <c r="AA60"/>
      <c r="AB60"/>
      <c r="AC60"/>
    </row>
    <row r="61" spans="1:29" s="67" customFormat="1" ht="18" customHeight="1">
      <c r="A61" s="60"/>
      <c r="B61" s="61"/>
      <c r="C61" s="21"/>
      <c r="D61" s="180" t="s">
        <v>68</v>
      </c>
      <c r="E61" s="21"/>
      <c r="F61" s="195" t="s">
        <v>68</v>
      </c>
      <c r="G61" s="23"/>
      <c r="H61" s="22"/>
      <c r="I61" s="22"/>
      <c r="J61" s="62" t="str">
        <f t="shared" si="8"/>
        <v/>
      </c>
      <c r="K61" s="63"/>
      <c r="L61" s="63"/>
      <c r="M61" s="64" t="str">
        <f t="shared" si="9"/>
        <v/>
      </c>
      <c r="N61" s="22"/>
      <c r="O61" s="22"/>
      <c r="P61" s="62" t="str">
        <f t="shared" si="10"/>
        <v/>
      </c>
      <c r="Q61" s="63"/>
      <c r="R61" s="63"/>
      <c r="S61" s="64" t="str">
        <f t="shared" si="11"/>
        <v/>
      </c>
      <c r="T61" s="65"/>
      <c r="U61" s="66"/>
      <c r="V61" s="18" t="s">
        <v>68</v>
      </c>
      <c r="W61" s="69" t="s">
        <v>68</v>
      </c>
      <c r="Y61"/>
      <c r="Z61"/>
      <c r="AA61"/>
      <c r="AB61"/>
      <c r="AC61"/>
    </row>
    <row r="62" spans="1:29" s="67" customFormat="1" ht="18" customHeight="1">
      <c r="A62" s="60"/>
      <c r="B62" s="61"/>
      <c r="C62" s="21"/>
      <c r="D62" s="180" t="s">
        <v>68</v>
      </c>
      <c r="E62" s="21"/>
      <c r="F62" s="195" t="s">
        <v>68</v>
      </c>
      <c r="G62" s="23"/>
      <c r="H62" s="22"/>
      <c r="I62" s="22"/>
      <c r="J62" s="62" t="str">
        <f t="shared" si="8"/>
        <v/>
      </c>
      <c r="K62" s="63"/>
      <c r="L62" s="63"/>
      <c r="M62" s="64" t="str">
        <f t="shared" si="9"/>
        <v/>
      </c>
      <c r="N62" s="22"/>
      <c r="O62" s="22"/>
      <c r="P62" s="62" t="str">
        <f t="shared" si="10"/>
        <v/>
      </c>
      <c r="Q62" s="63"/>
      <c r="R62" s="63"/>
      <c r="S62" s="64" t="str">
        <f t="shared" si="11"/>
        <v/>
      </c>
      <c r="T62" s="65"/>
      <c r="U62" s="66"/>
      <c r="V62" s="18" t="s">
        <v>68</v>
      </c>
      <c r="W62" s="69" t="s">
        <v>68</v>
      </c>
      <c r="Y62"/>
      <c r="Z62"/>
      <c r="AA62"/>
      <c r="AB62"/>
      <c r="AC62"/>
    </row>
    <row r="63" spans="1:29" s="67" customFormat="1" ht="18" customHeight="1">
      <c r="A63" s="60"/>
      <c r="B63" s="61"/>
      <c r="C63" s="21"/>
      <c r="D63" s="180" t="s">
        <v>68</v>
      </c>
      <c r="E63" s="21"/>
      <c r="F63" s="195" t="s">
        <v>68</v>
      </c>
      <c r="G63" s="23"/>
      <c r="H63" s="22"/>
      <c r="I63" s="22"/>
      <c r="J63" s="62" t="str">
        <f t="shared" si="8"/>
        <v/>
      </c>
      <c r="K63" s="63"/>
      <c r="L63" s="63"/>
      <c r="M63" s="64" t="str">
        <f t="shared" si="9"/>
        <v/>
      </c>
      <c r="N63" s="22"/>
      <c r="O63" s="22"/>
      <c r="P63" s="62" t="str">
        <f t="shared" si="10"/>
        <v/>
      </c>
      <c r="Q63" s="63"/>
      <c r="R63" s="63"/>
      <c r="S63" s="64" t="str">
        <f t="shared" si="11"/>
        <v/>
      </c>
      <c r="T63" s="65"/>
      <c r="U63" s="66"/>
      <c r="V63" s="18" t="s">
        <v>68</v>
      </c>
      <c r="W63" s="69" t="s">
        <v>68</v>
      </c>
      <c r="Y63"/>
      <c r="Z63"/>
      <c r="AA63"/>
      <c r="AB63"/>
      <c r="AC63"/>
    </row>
    <row r="64" spans="1:29" s="67" customFormat="1" ht="18" customHeight="1">
      <c r="A64" s="60"/>
      <c r="B64" s="61"/>
      <c r="C64" s="21"/>
      <c r="D64" s="180" t="s">
        <v>68</v>
      </c>
      <c r="E64" s="21"/>
      <c r="F64" s="195" t="s">
        <v>68</v>
      </c>
      <c r="G64" s="23"/>
      <c r="H64" s="22"/>
      <c r="I64" s="22"/>
      <c r="J64" s="62" t="str">
        <f t="shared" si="8"/>
        <v/>
      </c>
      <c r="K64" s="63"/>
      <c r="L64" s="63"/>
      <c r="M64" s="64" t="str">
        <f t="shared" si="9"/>
        <v/>
      </c>
      <c r="N64" s="22"/>
      <c r="O64" s="22"/>
      <c r="P64" s="62" t="str">
        <f t="shared" si="10"/>
        <v/>
      </c>
      <c r="Q64" s="63"/>
      <c r="R64" s="63"/>
      <c r="S64" s="64" t="str">
        <f t="shared" si="11"/>
        <v/>
      </c>
      <c r="T64" s="65"/>
      <c r="U64" s="66"/>
      <c r="V64" s="18" t="s">
        <v>68</v>
      </c>
      <c r="W64" s="69" t="s">
        <v>68</v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180" t="s">
        <v>68</v>
      </c>
      <c r="E65" s="21"/>
      <c r="F65" s="195" t="s">
        <v>68</v>
      </c>
      <c r="G65" s="23"/>
      <c r="H65" s="22"/>
      <c r="I65" s="22"/>
      <c r="J65" s="62" t="str">
        <f t="shared" si="8"/>
        <v/>
      </c>
      <c r="K65" s="63"/>
      <c r="L65" s="63"/>
      <c r="M65" s="64" t="str">
        <f t="shared" si="9"/>
        <v/>
      </c>
      <c r="N65" s="22"/>
      <c r="O65" s="22"/>
      <c r="P65" s="62" t="str">
        <f t="shared" si="10"/>
        <v/>
      </c>
      <c r="Q65" s="63"/>
      <c r="R65" s="63"/>
      <c r="S65" s="64" t="str">
        <f t="shared" si="11"/>
        <v/>
      </c>
      <c r="T65" s="65"/>
      <c r="U65" s="66"/>
      <c r="V65" s="18" t="s">
        <v>68</v>
      </c>
      <c r="W65" s="69" t="s">
        <v>68</v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180" t="s">
        <v>68</v>
      </c>
      <c r="E66" s="21"/>
      <c r="F66" s="195" t="s">
        <v>68</v>
      </c>
      <c r="G66" s="23"/>
      <c r="H66" s="22"/>
      <c r="I66" s="22"/>
      <c r="J66" s="62" t="str">
        <f t="shared" si="8"/>
        <v/>
      </c>
      <c r="K66" s="63"/>
      <c r="L66" s="63"/>
      <c r="M66" s="64" t="str">
        <f t="shared" si="9"/>
        <v/>
      </c>
      <c r="N66" s="22"/>
      <c r="O66" s="22"/>
      <c r="P66" s="62" t="str">
        <f t="shared" si="10"/>
        <v/>
      </c>
      <c r="Q66" s="63"/>
      <c r="R66" s="63"/>
      <c r="S66" s="64" t="str">
        <f t="shared" si="11"/>
        <v/>
      </c>
      <c r="T66" s="65"/>
      <c r="U66" s="66"/>
      <c r="V66" s="18" t="s">
        <v>68</v>
      </c>
      <c r="W66" s="69" t="s">
        <v>68</v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180" t="s">
        <v>68</v>
      </c>
      <c r="E67" s="21"/>
      <c r="F67" s="195" t="s">
        <v>68</v>
      </c>
      <c r="G67" s="23"/>
      <c r="H67" s="22"/>
      <c r="I67" s="22"/>
      <c r="J67" s="62" t="str">
        <f t="shared" si="8"/>
        <v/>
      </c>
      <c r="K67" s="63"/>
      <c r="L67" s="63"/>
      <c r="M67" s="64" t="str">
        <f t="shared" si="9"/>
        <v/>
      </c>
      <c r="N67" s="22"/>
      <c r="O67" s="22"/>
      <c r="P67" s="62" t="str">
        <f t="shared" si="10"/>
        <v/>
      </c>
      <c r="Q67" s="63"/>
      <c r="R67" s="63"/>
      <c r="S67" s="64" t="str">
        <f t="shared" si="11"/>
        <v/>
      </c>
      <c r="T67" s="65"/>
      <c r="U67" s="66"/>
      <c r="V67" s="18" t="s">
        <v>68</v>
      </c>
      <c r="W67" s="69" t="s">
        <v>68</v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180" t="s">
        <v>68</v>
      </c>
      <c r="E68" s="21"/>
      <c r="F68" s="195" t="s">
        <v>68</v>
      </c>
      <c r="G68" s="23"/>
      <c r="H68" s="22"/>
      <c r="I68" s="22"/>
      <c r="J68" s="62" t="str">
        <f t="shared" si="8"/>
        <v/>
      </c>
      <c r="K68" s="63"/>
      <c r="L68" s="63"/>
      <c r="M68" s="64" t="str">
        <f t="shared" si="9"/>
        <v/>
      </c>
      <c r="N68" s="22"/>
      <c r="O68" s="22"/>
      <c r="P68" s="62" t="str">
        <f t="shared" si="10"/>
        <v/>
      </c>
      <c r="Q68" s="63"/>
      <c r="R68" s="63"/>
      <c r="S68" s="64" t="str">
        <f t="shared" si="11"/>
        <v/>
      </c>
      <c r="T68" s="65"/>
      <c r="U68" s="66"/>
      <c r="V68" s="18" t="s">
        <v>68</v>
      </c>
      <c r="W68" s="69" t="s">
        <v>68</v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180" t="s">
        <v>68</v>
      </c>
      <c r="E69" s="21"/>
      <c r="F69" s="195" t="s">
        <v>68</v>
      </c>
      <c r="G69" s="23"/>
      <c r="H69" s="22"/>
      <c r="I69" s="22"/>
      <c r="J69" s="62" t="str">
        <f t="shared" si="8"/>
        <v/>
      </c>
      <c r="K69" s="63"/>
      <c r="L69" s="63"/>
      <c r="M69" s="64" t="str">
        <f t="shared" si="9"/>
        <v/>
      </c>
      <c r="N69" s="22"/>
      <c r="O69" s="22"/>
      <c r="P69" s="62" t="str">
        <f t="shared" si="10"/>
        <v/>
      </c>
      <c r="Q69" s="63"/>
      <c r="R69" s="63"/>
      <c r="S69" s="64" t="str">
        <f t="shared" si="11"/>
        <v/>
      </c>
      <c r="T69" s="65"/>
      <c r="U69" s="66"/>
      <c r="V69" s="18" t="s">
        <v>68</v>
      </c>
      <c r="W69" s="69" t="s">
        <v>68</v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180" t="s">
        <v>68</v>
      </c>
      <c r="E70" s="21"/>
      <c r="F70" s="195" t="s">
        <v>68</v>
      </c>
      <c r="G70" s="23"/>
      <c r="H70" s="22"/>
      <c r="I70" s="22"/>
      <c r="J70" s="62" t="str">
        <f t="shared" si="8"/>
        <v/>
      </c>
      <c r="K70" s="63"/>
      <c r="L70" s="63"/>
      <c r="M70" s="64" t="str">
        <f t="shared" si="9"/>
        <v/>
      </c>
      <c r="N70" s="22"/>
      <c r="O70" s="22"/>
      <c r="P70" s="62" t="str">
        <f t="shared" si="10"/>
        <v/>
      </c>
      <c r="Q70" s="63"/>
      <c r="R70" s="63"/>
      <c r="S70" s="64" t="str">
        <f t="shared" si="11"/>
        <v/>
      </c>
      <c r="T70" s="65"/>
      <c r="U70" s="66"/>
      <c r="V70" s="18" t="s">
        <v>68</v>
      </c>
      <c r="W70" s="69" t="s">
        <v>68</v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180" t="s">
        <v>68</v>
      </c>
      <c r="E71" s="21"/>
      <c r="F71" s="195" t="s">
        <v>68</v>
      </c>
      <c r="G71" s="23"/>
      <c r="H71" s="22"/>
      <c r="I71" s="22"/>
      <c r="J71" s="62" t="str">
        <f t="shared" si="8"/>
        <v/>
      </c>
      <c r="K71" s="63"/>
      <c r="L71" s="63"/>
      <c r="M71" s="64" t="str">
        <f t="shared" si="9"/>
        <v/>
      </c>
      <c r="N71" s="22"/>
      <c r="O71" s="22"/>
      <c r="P71" s="62" t="str">
        <f t="shared" si="10"/>
        <v/>
      </c>
      <c r="Q71" s="63"/>
      <c r="R71" s="63"/>
      <c r="S71" s="64" t="str">
        <f t="shared" si="11"/>
        <v/>
      </c>
      <c r="T71" s="65"/>
      <c r="U71" s="66"/>
      <c r="V71" s="18" t="s">
        <v>68</v>
      </c>
      <c r="W71" s="69" t="s">
        <v>68</v>
      </c>
      <c r="Y71"/>
      <c r="Z71"/>
      <c r="AA71"/>
      <c r="AB71"/>
      <c r="AC71"/>
    </row>
    <row r="72" spans="1:29" s="67" customFormat="1" ht="18" customHeight="1">
      <c r="A72" s="60"/>
      <c r="B72" s="61"/>
      <c r="C72" s="21"/>
      <c r="D72" s="180" t="s">
        <v>68</v>
      </c>
      <c r="E72" s="21"/>
      <c r="F72" s="195" t="s">
        <v>68</v>
      </c>
      <c r="G72" s="23"/>
      <c r="H72" s="22"/>
      <c r="I72" s="22"/>
      <c r="J72" s="62" t="str">
        <f t="shared" si="8"/>
        <v/>
      </c>
      <c r="K72" s="63"/>
      <c r="L72" s="63"/>
      <c r="M72" s="64" t="str">
        <f t="shared" si="9"/>
        <v/>
      </c>
      <c r="N72" s="22"/>
      <c r="O72" s="22"/>
      <c r="P72" s="62" t="str">
        <f t="shared" si="10"/>
        <v/>
      </c>
      <c r="Q72" s="63"/>
      <c r="R72" s="63"/>
      <c r="S72" s="64" t="str">
        <f t="shared" si="11"/>
        <v/>
      </c>
      <c r="T72" s="65"/>
      <c r="U72" s="66"/>
      <c r="V72" s="18" t="s">
        <v>68</v>
      </c>
      <c r="W72" s="69" t="s">
        <v>68</v>
      </c>
      <c r="Y72"/>
      <c r="Z72"/>
      <c r="AA72"/>
      <c r="AB72"/>
      <c r="AC72"/>
    </row>
    <row r="73" spans="1:29" ht="18" customHeight="1">
      <c r="Y73"/>
      <c r="Z73"/>
      <c r="AA73"/>
      <c r="AB73"/>
      <c r="AC73"/>
    </row>
    <row r="125" spans="5:5" ht="18" customHeight="1">
      <c r="E125" s="20" ph="1"/>
    </row>
    <row r="136" spans="5:5" ht="18" customHeight="1">
      <c r="E136" s="20" ph="1"/>
    </row>
    <row r="152" spans="5:5" ht="18" customHeight="1">
      <c r="E152" s="20" ph="1"/>
    </row>
    <row r="153" spans="5:5" ht="18" customHeight="1">
      <c r="E153" s="20" ph="1"/>
    </row>
    <row r="172" spans="5:5" ht="18" customHeight="1">
      <c r="E172" s="20" ph="1"/>
    </row>
    <row r="180" spans="5:5" ht="18" customHeight="1">
      <c r="E180" s="20" ph="1"/>
    </row>
    <row r="181" spans="5:5" ht="18" customHeight="1">
      <c r="E181" s="20" ph="1"/>
    </row>
    <row r="195" spans="5:5" ht="18" customHeight="1">
      <c r="E195" s="20" ph="1"/>
    </row>
    <row r="197" spans="5:5" ht="18" customHeight="1">
      <c r="E197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</sheetData>
  <autoFilter ref="A13:W13" xr:uid="{00000000-0001-0000-1000-000000000000}">
    <sortState xmlns:xlrd2="http://schemas.microsoft.com/office/spreadsheetml/2017/richdata2" ref="A14:W72">
      <sortCondition ref="B13"/>
    </sortState>
  </autoFilter>
  <sortState xmlns:xlrd2="http://schemas.microsoft.com/office/spreadsheetml/2017/richdata2" ref="A14:AD18">
    <sortCondition ref="B14:B18"/>
  </sortState>
  <phoneticPr fontId="7"/>
  <conditionalFormatting sqref="V14:V72">
    <cfRule type="cellIs" dxfId="19" priority="4" stopIfTrue="1" operator="notBetween">
      <formula>"A"</formula>
      <formula>"Ｂ"</formula>
    </cfRule>
  </conditionalFormatting>
  <conditionalFormatting sqref="W14:W72">
    <cfRule type="cellIs" dxfId="18" priority="3" stopIfTrue="1" operator="between">
      <formula>"-"</formula>
      <formula>"申請中"</formula>
    </cfRule>
  </conditionalFormatting>
  <conditionalFormatting sqref="Y14:Z73">
    <cfRule type="expression" dxfId="17" priority="2">
      <formula>Y14&lt;&gt;C14</formula>
    </cfRule>
  </conditionalFormatting>
  <conditionalFormatting sqref="AB14:AC73">
    <cfRule type="expression" dxfId="16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228600</xdr:colOff>
                    <xdr:row>5</xdr:row>
                    <xdr:rowOff>304800</xdr:rowOff>
                  </from>
                  <to>
                    <xdr:col>27</xdr:col>
                    <xdr:colOff>403860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3">
    <tabColor rgb="FFFFC000"/>
  </sheetPr>
  <dimension ref="A1:AD201"/>
  <sheetViews>
    <sheetView workbookViewId="0">
      <selection activeCell="A14" sqref="A14:G25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30" s="25" customFormat="1" ht="18" customHeight="1">
      <c r="B2" s="26" t="s">
        <v>1</v>
      </c>
      <c r="C2" s="27"/>
      <c r="E2" s="26" t="s">
        <v>2</v>
      </c>
      <c r="F2" s="30"/>
      <c r="G2" s="132">
        <v>46276</v>
      </c>
      <c r="L2" s="28"/>
      <c r="N2" s="26" t="s">
        <v>3</v>
      </c>
      <c r="O2" s="29"/>
      <c r="P2" s="30"/>
      <c r="Q2" s="30"/>
      <c r="R2" s="30"/>
      <c r="S2" s="30"/>
      <c r="T2" s="30"/>
    </row>
    <row r="3" spans="1:30" s="25" customFormat="1" ht="18" customHeight="1">
      <c r="A3" s="31"/>
      <c r="B3" s="26" t="s">
        <v>4</v>
      </c>
      <c r="C3" s="120" t="s">
        <v>516</v>
      </c>
      <c r="D3" s="121"/>
      <c r="E3" s="121"/>
      <c r="F3" s="121"/>
      <c r="G3" s="121"/>
      <c r="Q3" s="26" t="s">
        <v>5</v>
      </c>
      <c r="R3" s="29"/>
      <c r="S3" s="30"/>
      <c r="T3" s="30"/>
      <c r="U3" s="32"/>
    </row>
    <row r="4" spans="1:30" s="25" customFormat="1" ht="18" customHeight="1">
      <c r="B4" s="26" t="s">
        <v>6</v>
      </c>
      <c r="C4" s="33">
        <v>7</v>
      </c>
      <c r="D4" s="25" t="s">
        <v>7</v>
      </c>
      <c r="E4" s="26" t="s">
        <v>8</v>
      </c>
      <c r="F4" s="191" t="s">
        <v>82</v>
      </c>
      <c r="G4" s="30"/>
      <c r="H4" s="30"/>
      <c r="J4" s="26" t="s">
        <v>9</v>
      </c>
      <c r="K4" s="34" t="s">
        <v>77</v>
      </c>
      <c r="N4" s="26" t="s">
        <v>10</v>
      </c>
      <c r="O4" s="35"/>
    </row>
    <row r="5" spans="1:30" s="25" customFormat="1" ht="18" customHeight="1">
      <c r="C5" s="26" t="s">
        <v>11</v>
      </c>
      <c r="D5" s="27">
        <v>2</v>
      </c>
      <c r="E5" s="26" t="s">
        <v>12</v>
      </c>
      <c r="F5" s="29" t="s">
        <v>517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</row>
    <row r="6" spans="1:30" s="25" customFormat="1" ht="35.1" customHeight="1">
      <c r="C6" s="40" t="s">
        <v>18</v>
      </c>
      <c r="D6" s="175" t="s">
        <v>39</v>
      </c>
      <c r="E6" s="26" t="s">
        <v>19</v>
      </c>
      <c r="F6" s="181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</row>
    <row r="7" spans="1:30" s="25" customFormat="1" ht="15" customHeight="1">
      <c r="A7" s="26" t="s">
        <v>62</v>
      </c>
      <c r="B7" s="73" t="s">
        <v>0</v>
      </c>
      <c r="C7" s="76"/>
      <c r="D7" s="26" t="s">
        <v>63</v>
      </c>
      <c r="E7" s="74"/>
      <c r="F7" s="32"/>
      <c r="I7" s="26"/>
      <c r="J7" s="37"/>
      <c r="K7" s="32"/>
      <c r="L7" s="26"/>
      <c r="M7" s="32"/>
      <c r="N7" s="26"/>
      <c r="O7" s="42"/>
      <c r="Q7" s="26"/>
      <c r="R7" s="43"/>
    </row>
    <row r="8" spans="1:30" s="25" customFormat="1" ht="15" customHeight="1">
      <c r="A8" s="26" t="s">
        <v>64</v>
      </c>
      <c r="B8" s="73" t="s">
        <v>0</v>
      </c>
      <c r="C8" s="72"/>
      <c r="D8" s="26" t="s">
        <v>63</v>
      </c>
      <c r="E8" s="75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</row>
    <row r="9" spans="1:30" s="25" customFormat="1" ht="15" customHeight="1">
      <c r="A9" s="26" t="s">
        <v>65</v>
      </c>
      <c r="B9" s="73" t="s">
        <v>0</v>
      </c>
      <c r="C9" s="72"/>
      <c r="D9" s="26" t="s">
        <v>63</v>
      </c>
      <c r="E9" s="75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</row>
    <row r="10" spans="1:30" s="25" customFormat="1" ht="15" customHeight="1">
      <c r="A10" s="26" t="s">
        <v>66</v>
      </c>
      <c r="B10" s="73" t="s">
        <v>0</v>
      </c>
      <c r="C10" s="72"/>
      <c r="D10" s="26" t="s">
        <v>63</v>
      </c>
      <c r="E10" s="75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</row>
    <row r="11" spans="1:30" s="25" customFormat="1" ht="15" customHeight="1">
      <c r="A11" s="26" t="s">
        <v>67</v>
      </c>
      <c r="B11" s="73" t="s">
        <v>0</v>
      </c>
      <c r="C11" s="72"/>
      <c r="D11" s="26" t="s">
        <v>63</v>
      </c>
      <c r="E11" s="75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50</v>
      </c>
      <c r="W12" s="15" t="s">
        <v>51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176" t="s">
        <v>0</v>
      </c>
      <c r="E13" s="53" t="s">
        <v>27</v>
      </c>
      <c r="F13" s="176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56</v>
      </c>
      <c r="W13" s="15" t="s">
        <v>57</v>
      </c>
    </row>
    <row r="14" spans="1:30" s="67" customFormat="1" ht="18" customHeight="1">
      <c r="A14" s="60"/>
      <c r="B14" s="61">
        <v>1</v>
      </c>
      <c r="C14" s="137" t="s">
        <v>567</v>
      </c>
      <c r="D14" s="201">
        <v>20115</v>
      </c>
      <c r="E14" s="103" t="s">
        <v>565</v>
      </c>
      <c r="F14" s="193">
        <v>59063</v>
      </c>
      <c r="G14" s="100" t="s">
        <v>566</v>
      </c>
      <c r="H14" s="22"/>
      <c r="I14" s="22"/>
      <c r="J14" s="62" t="str">
        <f t="shared" ref="J14:J21" si="0">IF(H14="","",H14+I14)</f>
        <v/>
      </c>
      <c r="K14" s="63"/>
      <c r="L14" s="63"/>
      <c r="M14" s="64" t="str">
        <f t="shared" ref="M14:M21" si="1">IF(L14="","",K14+L14)</f>
        <v/>
      </c>
      <c r="N14" s="22"/>
      <c r="O14" s="22"/>
      <c r="P14" s="62" t="str">
        <f t="shared" ref="P14:P21" si="2">IF(N14="","",N14+O14)</f>
        <v/>
      </c>
      <c r="Q14" s="63"/>
      <c r="R14" s="63"/>
      <c r="S14" s="64" t="str">
        <f t="shared" ref="S14:S21" si="3">IF(R14="","",Q14+R14)</f>
        <v/>
      </c>
      <c r="T14" s="65"/>
      <c r="U14" s="66"/>
      <c r="V14" s="18" t="s">
        <v>68</v>
      </c>
      <c r="W14" s="69" t="s">
        <v>68</v>
      </c>
      <c r="Y14" t="s">
        <v>321</v>
      </c>
      <c r="Z14">
        <v>14856</v>
      </c>
      <c r="AA14" t="s">
        <v>320</v>
      </c>
      <c r="AB14" t="s">
        <v>425</v>
      </c>
      <c r="AC14">
        <v>60081</v>
      </c>
      <c r="AD14" s="67" t="s">
        <v>424</v>
      </c>
    </row>
    <row r="15" spans="1:30" s="67" customFormat="1" ht="18" customHeight="1">
      <c r="A15" s="60"/>
      <c r="B15" s="61">
        <v>2</v>
      </c>
      <c r="C15" s="118" t="s">
        <v>617</v>
      </c>
      <c r="D15" s="190">
        <v>32390</v>
      </c>
      <c r="E15" s="118" t="s">
        <v>615</v>
      </c>
      <c r="F15" s="192">
        <v>59574</v>
      </c>
      <c r="G15" s="124" t="s">
        <v>616</v>
      </c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s">
        <v>233</v>
      </c>
      <c r="W15" s="69" t="e">
        <v>#N/A</v>
      </c>
      <c r="Y15" t="s">
        <v>401</v>
      </c>
      <c r="Z15">
        <v>21946</v>
      </c>
      <c r="AA15" t="s">
        <v>400</v>
      </c>
      <c r="AB15" t="s">
        <v>138</v>
      </c>
      <c r="AC15">
        <v>60322</v>
      </c>
      <c r="AD15" s="67" t="s">
        <v>419</v>
      </c>
    </row>
    <row r="16" spans="1:30" s="67" customFormat="1" ht="18" customHeight="1">
      <c r="A16" s="60"/>
      <c r="B16" s="61">
        <v>3</v>
      </c>
      <c r="C16" s="93" t="s">
        <v>674</v>
      </c>
      <c r="D16" s="202">
        <v>27498</v>
      </c>
      <c r="E16" s="170" t="s">
        <v>227</v>
      </c>
      <c r="F16" s="193">
        <v>56296</v>
      </c>
      <c r="G16" s="112" t="s">
        <v>673</v>
      </c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s">
        <v>233</v>
      </c>
      <c r="W16" s="69" t="s">
        <v>236</v>
      </c>
      <c r="Y16" t="s">
        <v>107</v>
      </c>
      <c r="Z16">
        <v>18834</v>
      </c>
      <c r="AA16" t="s">
        <v>397</v>
      </c>
      <c r="AB16" t="s">
        <v>106</v>
      </c>
      <c r="AC16">
        <v>56066</v>
      </c>
      <c r="AD16" s="67" t="s">
        <v>417</v>
      </c>
    </row>
    <row r="17" spans="1:30" s="67" customFormat="1" ht="18" customHeight="1">
      <c r="A17" s="60"/>
      <c r="B17" s="61">
        <v>4</v>
      </c>
      <c r="C17" s="118" t="s">
        <v>647</v>
      </c>
      <c r="D17" s="189">
        <v>18386</v>
      </c>
      <c r="E17" s="125" t="s">
        <v>650</v>
      </c>
      <c r="F17" s="189">
        <v>60895</v>
      </c>
      <c r="G17" s="124" t="s">
        <v>649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s">
        <v>233</v>
      </c>
      <c r="W17" s="69" t="e">
        <v>#N/A</v>
      </c>
      <c r="Y17"/>
      <c r="Z17"/>
      <c r="AA17"/>
      <c r="AB17"/>
      <c r="AC17"/>
    </row>
    <row r="18" spans="1:30" s="67" customFormat="1" ht="18" customHeight="1">
      <c r="A18" s="60"/>
      <c r="B18" s="61">
        <v>5</v>
      </c>
      <c r="C18" s="100" t="s">
        <v>655</v>
      </c>
      <c r="D18" s="203">
        <v>14221</v>
      </c>
      <c r="E18" s="99" t="s">
        <v>132</v>
      </c>
      <c r="F18" s="186">
        <v>58330</v>
      </c>
      <c r="G18" s="139" t="s">
        <v>652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s">
        <v>68</v>
      </c>
      <c r="W18" s="69" t="s">
        <v>68</v>
      </c>
      <c r="Y18" t="s">
        <v>405</v>
      </c>
      <c r="Z18">
        <v>30996</v>
      </c>
      <c r="AA18" t="s">
        <v>404</v>
      </c>
      <c r="AB18" t="s">
        <v>220</v>
      </c>
      <c r="AC18">
        <v>59710</v>
      </c>
      <c r="AD18" s="67" t="s">
        <v>422</v>
      </c>
    </row>
    <row r="19" spans="1:30" s="67" customFormat="1" ht="18" customHeight="1">
      <c r="A19" s="60"/>
      <c r="B19" s="61">
        <v>6</v>
      </c>
      <c r="C19" s="136" t="s">
        <v>571</v>
      </c>
      <c r="D19" s="196">
        <v>11693</v>
      </c>
      <c r="E19" s="171" t="s">
        <v>199</v>
      </c>
      <c r="F19" s="206">
        <v>58584</v>
      </c>
      <c r="G19" s="172" t="s">
        <v>575</v>
      </c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v>#N/A</v>
      </c>
      <c r="W19" s="69" t="e">
        <v>#N/A</v>
      </c>
      <c r="Y19"/>
      <c r="Z19"/>
      <c r="AA19"/>
      <c r="AB19"/>
      <c r="AC19"/>
    </row>
    <row r="20" spans="1:30" s="67" customFormat="1" ht="18" customHeight="1">
      <c r="A20" s="60"/>
      <c r="B20" s="61">
        <v>7</v>
      </c>
      <c r="C20" s="118" t="s">
        <v>569</v>
      </c>
      <c r="D20" s="185">
        <v>28809</v>
      </c>
      <c r="E20" s="125" t="s">
        <v>570</v>
      </c>
      <c r="F20" s="192">
        <v>58733</v>
      </c>
      <c r="G20" s="124" t="s">
        <v>566</v>
      </c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v>#N/A</v>
      </c>
      <c r="W20" s="69" t="e">
        <v>#N/A</v>
      </c>
      <c r="Y20" t="s">
        <v>307</v>
      </c>
      <c r="Z20">
        <v>27056</v>
      </c>
      <c r="AA20" t="s">
        <v>306</v>
      </c>
      <c r="AB20"/>
      <c r="AC20"/>
    </row>
    <row r="21" spans="1:30" s="67" customFormat="1" ht="18" customHeight="1">
      <c r="A21" s="60"/>
      <c r="B21" s="61">
        <v>8</v>
      </c>
      <c r="C21" s="100" t="s">
        <v>603</v>
      </c>
      <c r="D21" s="203">
        <v>18834</v>
      </c>
      <c r="E21" s="103" t="s">
        <v>106</v>
      </c>
      <c r="F21" s="197">
        <v>56066</v>
      </c>
      <c r="G21" s="98" t="s">
        <v>604</v>
      </c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s">
        <v>68</v>
      </c>
      <c r="W21" s="69" t="s">
        <v>68</v>
      </c>
      <c r="Y21" t="s">
        <v>110</v>
      </c>
      <c r="Z21">
        <v>23448</v>
      </c>
      <c r="AA21" t="s">
        <v>414</v>
      </c>
      <c r="AB21" t="s">
        <v>109</v>
      </c>
      <c r="AC21">
        <v>60229</v>
      </c>
      <c r="AD21" s="67" t="s">
        <v>428</v>
      </c>
    </row>
    <row r="22" spans="1:30" s="67" customFormat="1" ht="18" customHeight="1">
      <c r="A22" s="60"/>
      <c r="B22" s="61">
        <v>9</v>
      </c>
      <c r="C22" s="118" t="s">
        <v>653</v>
      </c>
      <c r="D22" s="185">
        <v>8082</v>
      </c>
      <c r="E22" s="125" t="s">
        <v>134</v>
      </c>
      <c r="F22" s="192">
        <v>59855</v>
      </c>
      <c r="G22" s="124" t="s">
        <v>652</v>
      </c>
      <c r="H22" s="22"/>
      <c r="I22" s="22"/>
      <c r="J22" s="62" t="str">
        <f>IF(H22="","",H22+I22)</f>
        <v/>
      </c>
      <c r="K22" s="63"/>
      <c r="L22" s="63"/>
      <c r="M22" s="64" t="str">
        <f>IF(L22="","",K22+L22)</f>
        <v/>
      </c>
      <c r="N22" s="22"/>
      <c r="O22" s="22"/>
      <c r="P22" s="62" t="str">
        <f>IF(N22="","",N22+O22)</f>
        <v/>
      </c>
      <c r="Q22" s="63"/>
      <c r="R22" s="63"/>
      <c r="S22" s="64" t="str">
        <f>IF(R22="","",Q22+R22)</f>
        <v/>
      </c>
      <c r="T22" s="65"/>
      <c r="U22" s="66"/>
      <c r="V22" s="18" t="e">
        <v>#N/A</v>
      </c>
      <c r="W22" s="69" t="e">
        <v>#N/A</v>
      </c>
      <c r="Y22" t="s">
        <v>396</v>
      </c>
      <c r="Z22">
        <v>27696</v>
      </c>
      <c r="AA22" t="s">
        <v>395</v>
      </c>
      <c r="AB22" t="s">
        <v>192</v>
      </c>
      <c r="AC22">
        <v>60923</v>
      </c>
      <c r="AD22" s="67" t="s">
        <v>415</v>
      </c>
    </row>
    <row r="23" spans="1:30" s="67" customFormat="1" ht="18" customHeight="1">
      <c r="A23" s="60"/>
      <c r="B23" s="61">
        <v>10</v>
      </c>
      <c r="C23" s="100" t="s">
        <v>668</v>
      </c>
      <c r="D23" s="203">
        <v>11976</v>
      </c>
      <c r="E23" s="102" t="s">
        <v>669</v>
      </c>
      <c r="F23" s="206">
        <v>61272</v>
      </c>
      <c r="G23" s="138" t="s">
        <v>670</v>
      </c>
      <c r="H23" s="22"/>
      <c r="I23" s="22"/>
      <c r="J23" s="62" t="str">
        <f>IF(H23="","",H23+I23)</f>
        <v/>
      </c>
      <c r="K23" s="63"/>
      <c r="L23" s="63"/>
      <c r="M23" s="64" t="str">
        <f>IF(L23="","",K23+L23)</f>
        <v/>
      </c>
      <c r="N23" s="22"/>
      <c r="O23" s="22"/>
      <c r="P23" s="62" t="str">
        <f>IF(N23="","",N23+O23)</f>
        <v/>
      </c>
      <c r="Q23" s="63"/>
      <c r="R23" s="63"/>
      <c r="S23" s="64" t="str">
        <f>IF(R23="","",Q23+R23)</f>
        <v/>
      </c>
      <c r="T23" s="65"/>
      <c r="U23" s="66"/>
      <c r="V23" s="18" t="e">
        <v>#N/A</v>
      </c>
      <c r="W23" s="69" t="e">
        <v>#N/A</v>
      </c>
      <c r="Y23" t="s">
        <v>112</v>
      </c>
      <c r="Z23">
        <v>1541</v>
      </c>
      <c r="AA23" t="s">
        <v>282</v>
      </c>
      <c r="AB23"/>
      <c r="AC23"/>
    </row>
    <row r="24" spans="1:30" s="67" customFormat="1" ht="18" customHeight="1">
      <c r="A24" s="60"/>
      <c r="B24" s="61">
        <v>11</v>
      </c>
      <c r="C24" s="100" t="s">
        <v>224</v>
      </c>
      <c r="D24" s="203">
        <v>13141</v>
      </c>
      <c r="E24" s="103" t="s">
        <v>226</v>
      </c>
      <c r="F24" s="197">
        <v>60517</v>
      </c>
      <c r="G24" s="100" t="s">
        <v>673</v>
      </c>
      <c r="H24" s="22"/>
      <c r="I24" s="22"/>
      <c r="J24" s="62" t="str">
        <f>IF(H24="","",H24+I24)</f>
        <v/>
      </c>
      <c r="K24" s="63"/>
      <c r="L24" s="63"/>
      <c r="M24" s="64" t="str">
        <f>IF(L24="","",K24+L24)</f>
        <v/>
      </c>
      <c r="N24" s="22"/>
      <c r="O24" s="22"/>
      <c r="P24" s="62" t="str">
        <f>IF(N24="","",N24+O24)</f>
        <v/>
      </c>
      <c r="Q24" s="63"/>
      <c r="R24" s="63"/>
      <c r="S24" s="64" t="str">
        <f>IF(R24="","",Q24+R24)</f>
        <v/>
      </c>
      <c r="T24" s="65"/>
      <c r="U24" s="66"/>
      <c r="V24" s="18" t="e">
        <v>#N/A</v>
      </c>
      <c r="W24" s="69" t="e">
        <v>#N/A</v>
      </c>
      <c r="Y24" t="s">
        <v>403</v>
      </c>
      <c r="Z24">
        <v>27610</v>
      </c>
      <c r="AA24" t="s">
        <v>402</v>
      </c>
      <c r="AB24" t="s">
        <v>187</v>
      </c>
      <c r="AC24">
        <v>56199</v>
      </c>
      <c r="AD24" s="67" t="s">
        <v>420</v>
      </c>
    </row>
    <row r="25" spans="1:30" s="67" customFormat="1" ht="18" customHeight="1">
      <c r="A25" s="60"/>
      <c r="B25" s="61">
        <v>12</v>
      </c>
      <c r="C25" s="128" t="s">
        <v>663</v>
      </c>
      <c r="D25" s="189">
        <v>12188</v>
      </c>
      <c r="E25" s="123" t="s">
        <v>664</v>
      </c>
      <c r="F25" s="189">
        <v>60249</v>
      </c>
      <c r="G25" s="140" t="s">
        <v>665</v>
      </c>
      <c r="H25" s="22"/>
      <c r="I25" s="22"/>
      <c r="J25" s="62" t="str">
        <f>IF(H25="","",H25+I25)</f>
        <v/>
      </c>
      <c r="K25" s="63"/>
      <c r="L25" s="63"/>
      <c r="M25" s="64" t="str">
        <f>IF(L25="","",K25+L25)</f>
        <v/>
      </c>
      <c r="N25" s="22"/>
      <c r="O25" s="22"/>
      <c r="P25" s="62" t="str">
        <f>IF(N25="","",N25+O25)</f>
        <v/>
      </c>
      <c r="Q25" s="63"/>
      <c r="R25" s="63"/>
      <c r="S25" s="64" t="str">
        <f>IF(R25="","",Q25+R25)</f>
        <v/>
      </c>
      <c r="T25" s="65"/>
      <c r="U25" s="66"/>
      <c r="V25" s="18" t="s">
        <v>232</v>
      </c>
      <c r="W25" s="69" t="e">
        <v>#N/A</v>
      </c>
      <c r="Y25" t="s">
        <v>344</v>
      </c>
      <c r="Z25">
        <v>20200</v>
      </c>
      <c r="AA25" t="s">
        <v>343</v>
      </c>
      <c r="AB25" t="s">
        <v>118</v>
      </c>
      <c r="AC25">
        <v>60355</v>
      </c>
      <c r="AD25" s="67" t="s">
        <v>430</v>
      </c>
    </row>
    <row r="26" spans="1:30" s="67" customFormat="1" ht="18" customHeight="1">
      <c r="A26" s="60"/>
      <c r="B26" s="61">
        <v>13</v>
      </c>
      <c r="C26" s="96"/>
      <c r="D26" s="204"/>
      <c r="E26" s="97"/>
      <c r="F26" s="193"/>
      <c r="G26" s="112"/>
      <c r="H26" s="22"/>
      <c r="I26" s="22"/>
      <c r="J26" s="62" t="str">
        <f t="shared" ref="J26:J45" si="4">IF(H26="","",H26+I26)</f>
        <v/>
      </c>
      <c r="K26" s="63"/>
      <c r="L26" s="63"/>
      <c r="M26" s="64" t="str">
        <f t="shared" ref="M26:M45" si="5">IF(L26="","",K26+L26)</f>
        <v/>
      </c>
      <c r="N26" s="22"/>
      <c r="O26" s="22"/>
      <c r="P26" s="62" t="str">
        <f t="shared" ref="P26:P45" si="6">IF(N26="","",N26+O26)</f>
        <v/>
      </c>
      <c r="Q26" s="63"/>
      <c r="R26" s="63"/>
      <c r="S26" s="64" t="str">
        <f t="shared" ref="S26:S45" si="7">IF(R26="","",Q26+R26)</f>
        <v/>
      </c>
      <c r="T26" s="65"/>
      <c r="U26" s="66"/>
      <c r="V26" s="18" t="s">
        <v>233</v>
      </c>
      <c r="W26" s="69" t="s">
        <v>235</v>
      </c>
      <c r="Y26"/>
      <c r="Z26"/>
      <c r="AA26"/>
      <c r="AB26"/>
      <c r="AC26"/>
    </row>
    <row r="27" spans="1:30" s="67" customFormat="1" ht="18" customHeight="1">
      <c r="A27" s="60"/>
      <c r="B27" s="61">
        <v>14</v>
      </c>
      <c r="C27" s="118"/>
      <c r="D27" s="185"/>
      <c r="E27" s="118"/>
      <c r="F27" s="192"/>
      <c r="G27" s="122"/>
      <c r="H27" s="22"/>
      <c r="I27" s="22"/>
      <c r="J27" s="62" t="str">
        <f t="shared" si="4"/>
        <v/>
      </c>
      <c r="K27" s="63"/>
      <c r="L27" s="63"/>
      <c r="M27" s="64" t="str">
        <f t="shared" si="5"/>
        <v/>
      </c>
      <c r="N27" s="22"/>
      <c r="O27" s="22"/>
      <c r="P27" s="62" t="str">
        <f t="shared" si="6"/>
        <v/>
      </c>
      <c r="Q27" s="63"/>
      <c r="R27" s="63"/>
      <c r="S27" s="64" t="str">
        <f t="shared" si="7"/>
        <v/>
      </c>
      <c r="T27" s="65"/>
      <c r="U27" s="66"/>
      <c r="V27" s="18" t="s">
        <v>68</v>
      </c>
      <c r="W27" s="69" t="s">
        <v>68</v>
      </c>
      <c r="Y27" t="s">
        <v>411</v>
      </c>
      <c r="Z27">
        <v>14867</v>
      </c>
      <c r="AA27" t="s">
        <v>410</v>
      </c>
      <c r="AB27" t="s">
        <v>189</v>
      </c>
      <c r="AC27">
        <v>58326</v>
      </c>
      <c r="AD27" s="67" t="s">
        <v>426</v>
      </c>
    </row>
    <row r="28" spans="1:30" s="67" customFormat="1" ht="18" customHeight="1">
      <c r="A28" s="60"/>
      <c r="B28" s="61">
        <v>15</v>
      </c>
      <c r="C28" s="87"/>
      <c r="D28" s="187"/>
      <c r="E28" s="102"/>
      <c r="F28" s="207"/>
      <c r="G28" s="89"/>
      <c r="H28" s="22"/>
      <c r="I28" s="22"/>
      <c r="J28" s="62" t="str">
        <f t="shared" si="4"/>
        <v/>
      </c>
      <c r="K28" s="63"/>
      <c r="L28" s="63"/>
      <c r="M28" s="64" t="str">
        <f t="shared" si="5"/>
        <v/>
      </c>
      <c r="N28" s="22"/>
      <c r="O28" s="22"/>
      <c r="P28" s="62" t="str">
        <f t="shared" si="6"/>
        <v/>
      </c>
      <c r="Q28" s="63"/>
      <c r="R28" s="63"/>
      <c r="S28" s="64" t="str">
        <f t="shared" si="7"/>
        <v/>
      </c>
      <c r="T28" s="65"/>
      <c r="U28" s="66"/>
      <c r="V28" s="18" t="e">
        <v>#N/A</v>
      </c>
      <c r="W28" s="69" t="e">
        <v>#N/A</v>
      </c>
      <c r="Y28" t="s">
        <v>407</v>
      </c>
      <c r="Z28">
        <v>14221</v>
      </c>
      <c r="AA28" t="s">
        <v>406</v>
      </c>
      <c r="AB28" t="s">
        <v>132</v>
      </c>
      <c r="AC28">
        <v>58330</v>
      </c>
      <c r="AD28" s="67" t="s">
        <v>423</v>
      </c>
    </row>
    <row r="29" spans="1:30" s="67" customFormat="1" ht="18" customHeight="1">
      <c r="A29" s="60"/>
      <c r="B29" s="61">
        <v>16</v>
      </c>
      <c r="C29" s="118"/>
      <c r="D29" s="185"/>
      <c r="E29" s="118"/>
      <c r="F29" s="192"/>
      <c r="G29" s="124"/>
      <c r="H29" s="22"/>
      <c r="I29" s="22"/>
      <c r="J29" s="62" t="str">
        <f t="shared" si="4"/>
        <v/>
      </c>
      <c r="K29" s="63"/>
      <c r="L29" s="63"/>
      <c r="M29" s="64" t="str">
        <f t="shared" si="5"/>
        <v/>
      </c>
      <c r="N29" s="22"/>
      <c r="O29" s="22"/>
      <c r="P29" s="62" t="str">
        <f t="shared" si="6"/>
        <v/>
      </c>
      <c r="Q29" s="63"/>
      <c r="R29" s="63"/>
      <c r="S29" s="64" t="str">
        <f t="shared" si="7"/>
        <v/>
      </c>
      <c r="T29" s="65"/>
      <c r="U29" s="66"/>
      <c r="V29" s="18" t="e">
        <v>#N/A</v>
      </c>
      <c r="W29" s="69" t="s">
        <v>237</v>
      </c>
      <c r="Y29" t="s">
        <v>338</v>
      </c>
      <c r="Z29">
        <v>27853</v>
      </c>
      <c r="AA29" t="s">
        <v>337</v>
      </c>
      <c r="AB29" t="s">
        <v>210</v>
      </c>
      <c r="AC29">
        <v>57526</v>
      </c>
      <c r="AD29" s="67" t="s">
        <v>421</v>
      </c>
    </row>
    <row r="30" spans="1:30" s="67" customFormat="1" ht="18" customHeight="1">
      <c r="A30" s="60"/>
      <c r="B30" s="61">
        <v>17</v>
      </c>
      <c r="C30" s="119"/>
      <c r="D30" s="190"/>
      <c r="E30" s="118"/>
      <c r="F30" s="192"/>
      <c r="G30" s="124"/>
      <c r="H30" s="22"/>
      <c r="I30" s="22"/>
      <c r="J30" s="62" t="str">
        <f t="shared" si="4"/>
        <v/>
      </c>
      <c r="K30" s="63"/>
      <c r="L30" s="63"/>
      <c r="M30" s="64" t="str">
        <f t="shared" si="5"/>
        <v/>
      </c>
      <c r="N30" s="22"/>
      <c r="O30" s="22"/>
      <c r="P30" s="62" t="str">
        <f t="shared" si="6"/>
        <v/>
      </c>
      <c r="Q30" s="63"/>
      <c r="R30" s="63"/>
      <c r="S30" s="64" t="str">
        <f t="shared" si="7"/>
        <v/>
      </c>
      <c r="T30" s="65"/>
      <c r="U30" s="66"/>
      <c r="V30" s="18" t="e">
        <v>#N/A</v>
      </c>
      <c r="W30" s="69" t="e">
        <v>#N/A</v>
      </c>
      <c r="Y30" t="s">
        <v>399</v>
      </c>
      <c r="Z30">
        <v>27113</v>
      </c>
      <c r="AA30" t="s">
        <v>398</v>
      </c>
      <c r="AB30" t="s">
        <v>169</v>
      </c>
      <c r="AC30">
        <v>56578</v>
      </c>
      <c r="AD30" s="67" t="s">
        <v>418</v>
      </c>
    </row>
    <row r="31" spans="1:30" s="67" customFormat="1" ht="18" customHeight="1">
      <c r="A31" s="60"/>
      <c r="B31" s="61">
        <v>18</v>
      </c>
      <c r="C31" s="96"/>
      <c r="D31" s="204"/>
      <c r="E31" s="131"/>
      <c r="F31" s="208"/>
      <c r="G31" s="93"/>
      <c r="H31" s="22"/>
      <c r="I31" s="22"/>
      <c r="J31" s="62" t="str">
        <f t="shared" si="4"/>
        <v/>
      </c>
      <c r="K31" s="63"/>
      <c r="L31" s="63"/>
      <c r="M31" s="64" t="str">
        <f t="shared" si="5"/>
        <v/>
      </c>
      <c r="N31" s="22"/>
      <c r="O31" s="22"/>
      <c r="P31" s="62" t="str">
        <f t="shared" si="6"/>
        <v/>
      </c>
      <c r="Q31" s="63"/>
      <c r="R31" s="63"/>
      <c r="S31" s="64" t="str">
        <f t="shared" si="7"/>
        <v/>
      </c>
      <c r="T31" s="65"/>
      <c r="U31" s="66"/>
      <c r="V31" s="18" t="s">
        <v>233</v>
      </c>
      <c r="W31" s="69" t="e">
        <v>#N/A</v>
      </c>
      <c r="Y31" t="s">
        <v>413</v>
      </c>
      <c r="Z31">
        <v>13305</v>
      </c>
      <c r="AA31" t="s">
        <v>412</v>
      </c>
      <c r="AB31" t="s">
        <v>178</v>
      </c>
      <c r="AC31">
        <v>56286</v>
      </c>
      <c r="AD31" s="67" t="s">
        <v>427</v>
      </c>
    </row>
    <row r="32" spans="1:30" s="67" customFormat="1" ht="18" customHeight="1">
      <c r="A32" s="60"/>
      <c r="B32" s="61">
        <v>19</v>
      </c>
      <c r="C32" s="100"/>
      <c r="D32" s="203"/>
      <c r="E32" s="99"/>
      <c r="F32" s="197"/>
      <c r="G32" s="100"/>
      <c r="H32" s="22"/>
      <c r="I32" s="22"/>
      <c r="J32" s="62" t="str">
        <f t="shared" si="4"/>
        <v/>
      </c>
      <c r="K32" s="63"/>
      <c r="L32" s="63"/>
      <c r="M32" s="64" t="str">
        <f t="shared" si="5"/>
        <v/>
      </c>
      <c r="N32" s="22"/>
      <c r="O32" s="22"/>
      <c r="P32" s="62" t="str">
        <f t="shared" si="6"/>
        <v/>
      </c>
      <c r="Q32" s="63"/>
      <c r="R32" s="63"/>
      <c r="S32" s="64" t="str">
        <f t="shared" si="7"/>
        <v/>
      </c>
      <c r="T32" s="65"/>
      <c r="U32" s="66"/>
      <c r="V32" s="18" t="s">
        <v>68</v>
      </c>
      <c r="W32" s="69" t="s">
        <v>68</v>
      </c>
      <c r="Y32" t="s">
        <v>224</v>
      </c>
      <c r="Z32">
        <v>13141</v>
      </c>
      <c r="AA32" t="s">
        <v>333</v>
      </c>
      <c r="AB32" t="s">
        <v>226</v>
      </c>
      <c r="AC32">
        <v>60517</v>
      </c>
      <c r="AD32" s="67" t="s">
        <v>429</v>
      </c>
    </row>
    <row r="33" spans="1:30" s="67" customFormat="1" ht="18" customHeight="1">
      <c r="A33" s="60"/>
      <c r="B33" s="61">
        <v>20</v>
      </c>
      <c r="C33" s="87"/>
      <c r="D33" s="188"/>
      <c r="E33" s="90"/>
      <c r="F33" s="186"/>
      <c r="G33" s="88"/>
      <c r="H33" s="22"/>
      <c r="I33" s="22"/>
      <c r="J33" s="62" t="str">
        <f t="shared" si="4"/>
        <v/>
      </c>
      <c r="K33" s="63"/>
      <c r="L33" s="63"/>
      <c r="M33" s="64" t="str">
        <f t="shared" si="5"/>
        <v/>
      </c>
      <c r="N33" s="22"/>
      <c r="O33" s="22"/>
      <c r="P33" s="62" t="str">
        <f t="shared" si="6"/>
        <v/>
      </c>
      <c r="Q33" s="63"/>
      <c r="R33" s="63"/>
      <c r="S33" s="64" t="str">
        <f t="shared" si="7"/>
        <v/>
      </c>
      <c r="T33" s="65"/>
      <c r="U33" s="66"/>
      <c r="V33" s="18" t="e">
        <v>#N/A</v>
      </c>
      <c r="W33" s="69" t="e">
        <v>#N/A</v>
      </c>
      <c r="Y33"/>
      <c r="Z33"/>
      <c r="AA33"/>
      <c r="AB33"/>
      <c r="AC33"/>
    </row>
    <row r="34" spans="1:30" s="67" customFormat="1" ht="18" customHeight="1">
      <c r="A34" s="60"/>
      <c r="B34" s="61">
        <v>21</v>
      </c>
      <c r="C34" s="94"/>
      <c r="D34" s="205"/>
      <c r="E34" s="92"/>
      <c r="F34" s="193"/>
      <c r="G34" s="112"/>
      <c r="H34" s="22"/>
      <c r="I34" s="22"/>
      <c r="J34" s="62" t="str">
        <f t="shared" si="4"/>
        <v/>
      </c>
      <c r="K34" s="63"/>
      <c r="L34" s="63"/>
      <c r="M34" s="64" t="str">
        <f t="shared" si="5"/>
        <v/>
      </c>
      <c r="N34" s="22"/>
      <c r="O34" s="22"/>
      <c r="P34" s="62" t="str">
        <f t="shared" si="6"/>
        <v/>
      </c>
      <c r="Q34" s="63"/>
      <c r="R34" s="63"/>
      <c r="S34" s="64" t="str">
        <f t="shared" si="7"/>
        <v/>
      </c>
      <c r="T34" s="65"/>
      <c r="U34" s="66"/>
      <c r="V34" s="18" t="e">
        <v>#N/A</v>
      </c>
      <c r="W34" s="69" t="e">
        <v>#N/A</v>
      </c>
      <c r="Y34" t="s">
        <v>409</v>
      </c>
      <c r="Z34">
        <v>21643</v>
      </c>
      <c r="AA34" t="s">
        <v>408</v>
      </c>
      <c r="AB34"/>
      <c r="AC34"/>
    </row>
    <row r="35" spans="1:30" s="67" customFormat="1" ht="18" customHeight="1">
      <c r="A35" s="60"/>
      <c r="B35" s="61">
        <v>22</v>
      </c>
      <c r="C35" s="94"/>
      <c r="D35" s="205"/>
      <c r="E35" s="92"/>
      <c r="F35" s="193"/>
      <c r="G35" s="112"/>
      <c r="H35" s="22"/>
      <c r="I35" s="22"/>
      <c r="J35" s="62" t="str">
        <f t="shared" si="4"/>
        <v/>
      </c>
      <c r="K35" s="63"/>
      <c r="L35" s="63"/>
      <c r="M35" s="64" t="str">
        <f t="shared" si="5"/>
        <v/>
      </c>
      <c r="N35" s="22"/>
      <c r="O35" s="22"/>
      <c r="P35" s="62" t="str">
        <f t="shared" si="6"/>
        <v/>
      </c>
      <c r="Q35" s="63"/>
      <c r="R35" s="63"/>
      <c r="S35" s="64" t="str">
        <f t="shared" si="7"/>
        <v/>
      </c>
      <c r="T35" s="65"/>
      <c r="U35" s="66"/>
      <c r="V35" s="18" t="s">
        <v>68</v>
      </c>
      <c r="W35" s="69" t="s">
        <v>68</v>
      </c>
      <c r="Y35" t="s">
        <v>344</v>
      </c>
      <c r="Z35">
        <v>20200</v>
      </c>
      <c r="AA35" t="s">
        <v>343</v>
      </c>
      <c r="AB35" t="s">
        <v>119</v>
      </c>
      <c r="AC35">
        <v>58521</v>
      </c>
      <c r="AD35" s="67" t="s">
        <v>416</v>
      </c>
    </row>
    <row r="36" spans="1:30" s="67" customFormat="1" ht="18" customHeight="1">
      <c r="A36" s="60"/>
      <c r="B36" s="61">
        <v>23</v>
      </c>
      <c r="C36" s="87"/>
      <c r="D36" s="187"/>
      <c r="E36" s="90"/>
      <c r="F36" s="194"/>
      <c r="G36" s="87"/>
      <c r="H36" s="22"/>
      <c r="I36" s="22"/>
      <c r="J36" s="62" t="str">
        <f t="shared" si="4"/>
        <v/>
      </c>
      <c r="K36" s="63"/>
      <c r="L36" s="63"/>
      <c r="M36" s="64" t="str">
        <f t="shared" si="5"/>
        <v/>
      </c>
      <c r="N36" s="22"/>
      <c r="O36" s="22"/>
      <c r="P36" s="62" t="str">
        <f t="shared" si="6"/>
        <v/>
      </c>
      <c r="Q36" s="63"/>
      <c r="R36" s="63"/>
      <c r="S36" s="64" t="str">
        <f t="shared" si="7"/>
        <v/>
      </c>
      <c r="T36" s="65"/>
      <c r="U36" s="66"/>
      <c r="V36" s="18" t="e">
        <v>#N/A</v>
      </c>
      <c r="W36" s="69" t="s">
        <v>237</v>
      </c>
      <c r="Y36"/>
      <c r="Z36"/>
      <c r="AA36"/>
      <c r="AB36"/>
      <c r="AC36"/>
    </row>
    <row r="37" spans="1:30" s="67" customFormat="1" ht="18" customHeight="1">
      <c r="A37" s="60"/>
      <c r="B37" s="61">
        <v>24</v>
      </c>
      <c r="C37" s="87"/>
      <c r="D37" s="187"/>
      <c r="E37" s="90"/>
      <c r="F37" s="183"/>
      <c r="G37" s="87"/>
      <c r="H37" s="22"/>
      <c r="I37" s="22"/>
      <c r="J37" s="62" t="str">
        <f t="shared" si="4"/>
        <v/>
      </c>
      <c r="K37" s="63"/>
      <c r="L37" s="63"/>
      <c r="M37" s="64" t="str">
        <f t="shared" si="5"/>
        <v/>
      </c>
      <c r="N37" s="22"/>
      <c r="O37" s="22"/>
      <c r="P37" s="62" t="str">
        <f t="shared" si="6"/>
        <v/>
      </c>
      <c r="Q37" s="63"/>
      <c r="R37" s="63"/>
      <c r="S37" s="64" t="str">
        <f t="shared" si="7"/>
        <v/>
      </c>
      <c r="T37" s="65"/>
      <c r="U37" s="66"/>
      <c r="V37" s="18" t="s">
        <v>232</v>
      </c>
      <c r="W37" s="69" t="s">
        <v>234</v>
      </c>
      <c r="Y37"/>
      <c r="Z37"/>
      <c r="AA37"/>
      <c r="AB37"/>
      <c r="AC37"/>
    </row>
    <row r="38" spans="1:30" s="67" customFormat="1" ht="18" customHeight="1">
      <c r="A38" s="60"/>
      <c r="B38" s="61">
        <v>25</v>
      </c>
      <c r="C38" s="119"/>
      <c r="D38" s="190"/>
      <c r="E38" s="119"/>
      <c r="F38" s="194"/>
      <c r="G38" s="122"/>
      <c r="H38" s="22"/>
      <c r="I38" s="22"/>
      <c r="J38" s="62" t="str">
        <f t="shared" si="4"/>
        <v/>
      </c>
      <c r="K38" s="63"/>
      <c r="L38" s="63"/>
      <c r="M38" s="64" t="str">
        <f t="shared" si="5"/>
        <v/>
      </c>
      <c r="N38" s="22"/>
      <c r="O38" s="22"/>
      <c r="P38" s="62" t="str">
        <f t="shared" si="6"/>
        <v/>
      </c>
      <c r="Q38" s="63"/>
      <c r="R38" s="63"/>
      <c r="S38" s="64" t="str">
        <f t="shared" si="7"/>
        <v/>
      </c>
      <c r="T38" s="65"/>
      <c r="U38" s="66"/>
      <c r="V38" s="18" t="s">
        <v>68</v>
      </c>
      <c r="W38" s="69" t="s">
        <v>68</v>
      </c>
      <c r="Y38"/>
      <c r="Z38"/>
      <c r="AA38"/>
      <c r="AB38"/>
      <c r="AC38"/>
    </row>
    <row r="39" spans="1:30" s="67" customFormat="1" ht="18" customHeight="1">
      <c r="A39" s="60"/>
      <c r="B39" s="61">
        <v>26</v>
      </c>
      <c r="C39" s="87"/>
      <c r="D39" s="187"/>
      <c r="E39" s="90"/>
      <c r="F39" s="186"/>
      <c r="G39" s="87"/>
      <c r="H39" s="22"/>
      <c r="I39" s="22"/>
      <c r="J39" s="62" t="str">
        <f t="shared" si="4"/>
        <v/>
      </c>
      <c r="K39" s="63"/>
      <c r="L39" s="63"/>
      <c r="M39" s="64" t="str">
        <f t="shared" si="5"/>
        <v/>
      </c>
      <c r="N39" s="22"/>
      <c r="O39" s="22"/>
      <c r="P39" s="62" t="str">
        <f t="shared" si="6"/>
        <v/>
      </c>
      <c r="Q39" s="63"/>
      <c r="R39" s="63"/>
      <c r="S39" s="64" t="str">
        <f t="shared" si="7"/>
        <v/>
      </c>
      <c r="T39" s="65"/>
      <c r="U39" s="66"/>
      <c r="V39" s="18" t="s">
        <v>68</v>
      </c>
      <c r="W39" s="69" t="s">
        <v>68</v>
      </c>
      <c r="Y39"/>
      <c r="Z39"/>
      <c r="AA39"/>
      <c r="AB39"/>
      <c r="AC39"/>
    </row>
    <row r="40" spans="1:30" s="67" customFormat="1" ht="18" customHeight="1">
      <c r="A40" s="60"/>
      <c r="B40" s="61">
        <v>27</v>
      </c>
      <c r="C40" s="87"/>
      <c r="D40" s="187"/>
      <c r="E40" s="90"/>
      <c r="F40" s="186"/>
      <c r="G40" s="104"/>
      <c r="H40" s="22"/>
      <c r="I40" s="22"/>
      <c r="J40" s="62" t="str">
        <f t="shared" si="4"/>
        <v/>
      </c>
      <c r="K40" s="63"/>
      <c r="L40" s="63"/>
      <c r="M40" s="64" t="str">
        <f t="shared" si="5"/>
        <v/>
      </c>
      <c r="N40" s="22"/>
      <c r="O40" s="22"/>
      <c r="P40" s="62" t="str">
        <f t="shared" si="6"/>
        <v/>
      </c>
      <c r="Q40" s="63"/>
      <c r="R40" s="63"/>
      <c r="S40" s="64" t="str">
        <f t="shared" si="7"/>
        <v/>
      </c>
      <c r="T40" s="65"/>
      <c r="U40" s="66"/>
      <c r="V40" s="18" t="s">
        <v>68</v>
      </c>
      <c r="W40" s="69" t="s">
        <v>68</v>
      </c>
      <c r="Y40"/>
      <c r="Z40"/>
      <c r="AA40"/>
      <c r="AB40"/>
      <c r="AC40"/>
    </row>
    <row r="41" spans="1:30" s="67" customFormat="1" ht="18" customHeight="1">
      <c r="A41" s="60"/>
      <c r="B41" s="61">
        <v>28</v>
      </c>
      <c r="C41" s="119"/>
      <c r="D41" s="190"/>
      <c r="E41" s="119"/>
      <c r="F41" s="194"/>
      <c r="G41" s="122"/>
      <c r="H41" s="22"/>
      <c r="I41" s="22"/>
      <c r="J41" s="62" t="str">
        <f t="shared" si="4"/>
        <v/>
      </c>
      <c r="K41" s="63"/>
      <c r="L41" s="63"/>
      <c r="M41" s="64" t="str">
        <f t="shared" si="5"/>
        <v/>
      </c>
      <c r="N41" s="22"/>
      <c r="O41" s="22"/>
      <c r="P41" s="62" t="str">
        <f t="shared" si="6"/>
        <v/>
      </c>
      <c r="Q41" s="63"/>
      <c r="R41" s="63"/>
      <c r="S41" s="64" t="str">
        <f t="shared" si="7"/>
        <v/>
      </c>
      <c r="T41" s="65"/>
      <c r="U41" s="66"/>
      <c r="V41" s="18" t="s">
        <v>68</v>
      </c>
      <c r="W41" s="69" t="s">
        <v>68</v>
      </c>
      <c r="Y41"/>
      <c r="Z41"/>
      <c r="AA41"/>
      <c r="AB41"/>
      <c r="AC41"/>
    </row>
    <row r="42" spans="1:30" s="67" customFormat="1" ht="18" customHeight="1">
      <c r="A42" s="60"/>
      <c r="B42" s="61">
        <v>29</v>
      </c>
      <c r="C42" s="119"/>
      <c r="D42" s="190"/>
      <c r="E42" s="119"/>
      <c r="F42" s="194"/>
      <c r="G42" s="122"/>
      <c r="H42" s="22"/>
      <c r="I42" s="22"/>
      <c r="J42" s="62" t="str">
        <f t="shared" si="4"/>
        <v/>
      </c>
      <c r="K42" s="63"/>
      <c r="L42" s="63"/>
      <c r="M42" s="64" t="str">
        <f t="shared" si="5"/>
        <v/>
      </c>
      <c r="N42" s="22"/>
      <c r="O42" s="22"/>
      <c r="P42" s="62" t="str">
        <f t="shared" si="6"/>
        <v/>
      </c>
      <c r="Q42" s="63"/>
      <c r="R42" s="63"/>
      <c r="S42" s="64" t="str">
        <f t="shared" si="7"/>
        <v/>
      </c>
      <c r="T42" s="65"/>
      <c r="U42" s="66"/>
      <c r="V42" s="18" t="s">
        <v>68</v>
      </c>
      <c r="W42" s="69" t="s">
        <v>68</v>
      </c>
      <c r="Y42"/>
      <c r="Z42"/>
      <c r="AA42"/>
      <c r="AB42"/>
      <c r="AC42"/>
    </row>
    <row r="43" spans="1:30" s="67" customFormat="1" ht="18" customHeight="1">
      <c r="A43" s="60"/>
      <c r="B43" s="61">
        <v>30</v>
      </c>
      <c r="C43" s="100"/>
      <c r="D43" s="203"/>
      <c r="E43" s="99"/>
      <c r="F43" s="197"/>
      <c r="G43" s="88"/>
      <c r="H43" s="22"/>
      <c r="I43" s="22"/>
      <c r="J43" s="62" t="str">
        <f t="shared" si="4"/>
        <v/>
      </c>
      <c r="K43" s="63"/>
      <c r="L43" s="63"/>
      <c r="M43" s="64" t="str">
        <f t="shared" si="5"/>
        <v/>
      </c>
      <c r="N43" s="22"/>
      <c r="O43" s="22"/>
      <c r="P43" s="62" t="str">
        <f t="shared" si="6"/>
        <v/>
      </c>
      <c r="Q43" s="63"/>
      <c r="R43" s="63"/>
      <c r="S43" s="64" t="str">
        <f t="shared" si="7"/>
        <v/>
      </c>
      <c r="T43" s="65"/>
      <c r="U43" s="66"/>
      <c r="V43" s="18" t="s">
        <v>68</v>
      </c>
      <c r="W43" s="69" t="s">
        <v>68</v>
      </c>
      <c r="Y43"/>
      <c r="Z43"/>
      <c r="AA43"/>
      <c r="AB43"/>
      <c r="AC43"/>
    </row>
    <row r="44" spans="1:30" s="67" customFormat="1" ht="18" customHeight="1">
      <c r="A44" s="60"/>
      <c r="B44" s="61"/>
      <c r="C44" s="119"/>
      <c r="D44" s="190"/>
      <c r="E44" s="119"/>
      <c r="F44" s="194"/>
      <c r="G44" s="122"/>
      <c r="H44" s="22"/>
      <c r="I44" s="22"/>
      <c r="J44" s="62" t="str">
        <f t="shared" si="4"/>
        <v/>
      </c>
      <c r="K44" s="63"/>
      <c r="L44" s="63"/>
      <c r="M44" s="64" t="str">
        <f t="shared" si="5"/>
        <v/>
      </c>
      <c r="N44" s="22"/>
      <c r="O44" s="22"/>
      <c r="P44" s="62" t="str">
        <f t="shared" si="6"/>
        <v/>
      </c>
      <c r="Q44" s="63"/>
      <c r="R44" s="63"/>
      <c r="S44" s="64" t="str">
        <f t="shared" si="7"/>
        <v/>
      </c>
      <c r="T44" s="65"/>
      <c r="U44" s="66"/>
      <c r="V44" s="18" t="s">
        <v>68</v>
      </c>
      <c r="W44" s="69" t="s">
        <v>68</v>
      </c>
      <c r="Y44"/>
      <c r="Z44"/>
      <c r="AA44"/>
      <c r="AB44"/>
      <c r="AC44"/>
    </row>
    <row r="45" spans="1:30" s="67" customFormat="1" ht="18" customHeight="1">
      <c r="A45" s="60"/>
      <c r="B45" s="61"/>
      <c r="C45" s="119"/>
      <c r="D45" s="190"/>
      <c r="E45" s="119"/>
      <c r="F45" s="194"/>
      <c r="G45" s="122"/>
      <c r="H45" s="22"/>
      <c r="I45" s="22"/>
      <c r="J45" s="62" t="str">
        <f t="shared" si="4"/>
        <v/>
      </c>
      <c r="K45" s="63"/>
      <c r="L45" s="63"/>
      <c r="M45" s="64" t="str">
        <f t="shared" si="5"/>
        <v/>
      </c>
      <c r="N45" s="22"/>
      <c r="O45" s="22"/>
      <c r="P45" s="62" t="str">
        <f t="shared" si="6"/>
        <v/>
      </c>
      <c r="Q45" s="63"/>
      <c r="R45" s="63"/>
      <c r="S45" s="64" t="str">
        <f t="shared" si="7"/>
        <v/>
      </c>
      <c r="T45" s="65"/>
      <c r="U45" s="66"/>
      <c r="V45" s="18" t="s">
        <v>68</v>
      </c>
      <c r="W45" s="69" t="s">
        <v>68</v>
      </c>
      <c r="Y45"/>
      <c r="Z45"/>
      <c r="AA45"/>
      <c r="AB45"/>
      <c r="AC45"/>
    </row>
    <row r="46" spans="1:30" s="67" customFormat="1" ht="18" customHeight="1">
      <c r="A46" s="60"/>
      <c r="B46" s="61"/>
      <c r="C46" s="119"/>
      <c r="D46" s="190"/>
      <c r="E46" s="119"/>
      <c r="F46" s="194"/>
      <c r="G46" s="122"/>
      <c r="H46" s="22"/>
      <c r="I46" s="22"/>
      <c r="J46" s="62" t="str">
        <f t="shared" ref="J46:J73" si="8">IF(H46="","",H46+I46)</f>
        <v/>
      </c>
      <c r="K46" s="63"/>
      <c r="L46" s="63"/>
      <c r="M46" s="64" t="str">
        <f t="shared" ref="M46:M73" si="9">IF(L46="","",K46+L46)</f>
        <v/>
      </c>
      <c r="N46" s="22"/>
      <c r="O46" s="22"/>
      <c r="P46" s="62" t="str">
        <f t="shared" ref="P46:P73" si="10">IF(N46="","",N46+O46)</f>
        <v/>
      </c>
      <c r="Q46" s="63"/>
      <c r="R46" s="63"/>
      <c r="S46" s="64" t="str">
        <f t="shared" ref="S46:S73" si="11">IF(R46="","",Q46+R46)</f>
        <v/>
      </c>
      <c r="T46" s="65"/>
      <c r="U46" s="66"/>
      <c r="V46" s="18" t="s">
        <v>68</v>
      </c>
      <c r="W46" s="69" t="s">
        <v>68</v>
      </c>
      <c r="Y46"/>
      <c r="Z46"/>
      <c r="AA46"/>
      <c r="AB46"/>
      <c r="AC46"/>
    </row>
    <row r="47" spans="1:30" s="67" customFormat="1" ht="18" customHeight="1">
      <c r="A47" s="60"/>
      <c r="B47" s="61"/>
      <c r="C47" s="119"/>
      <c r="D47" s="190"/>
      <c r="E47" s="119"/>
      <c r="F47" s="194"/>
      <c r="G47" s="122"/>
      <c r="H47" s="22"/>
      <c r="I47" s="22"/>
      <c r="J47" s="62" t="str">
        <f t="shared" si="8"/>
        <v/>
      </c>
      <c r="K47" s="63"/>
      <c r="L47" s="63"/>
      <c r="M47" s="64" t="str">
        <f t="shared" si="9"/>
        <v/>
      </c>
      <c r="N47" s="22"/>
      <c r="O47" s="22"/>
      <c r="P47" s="62" t="str">
        <f t="shared" si="10"/>
        <v/>
      </c>
      <c r="Q47" s="63"/>
      <c r="R47" s="63"/>
      <c r="S47" s="64" t="str">
        <f t="shared" si="11"/>
        <v/>
      </c>
      <c r="T47" s="65"/>
      <c r="U47" s="66"/>
      <c r="V47" s="18" t="s">
        <v>68</v>
      </c>
      <c r="W47" s="69" t="s">
        <v>68</v>
      </c>
      <c r="Y47"/>
      <c r="Z47"/>
      <c r="AA47"/>
      <c r="AB47"/>
      <c r="AC47"/>
    </row>
    <row r="48" spans="1:30" s="67" customFormat="1" ht="18" customHeight="1">
      <c r="A48" s="60"/>
      <c r="B48" s="61"/>
      <c r="C48" s="100"/>
      <c r="D48" s="203"/>
      <c r="E48" s="99"/>
      <c r="F48" s="197"/>
      <c r="G48" s="88"/>
      <c r="H48" s="22"/>
      <c r="I48" s="22"/>
      <c r="J48" s="62" t="str">
        <f t="shared" si="8"/>
        <v/>
      </c>
      <c r="K48" s="63"/>
      <c r="L48" s="63"/>
      <c r="M48" s="64" t="str">
        <f t="shared" si="9"/>
        <v/>
      </c>
      <c r="N48" s="22"/>
      <c r="O48" s="22"/>
      <c r="P48" s="62" t="str">
        <f t="shared" si="10"/>
        <v/>
      </c>
      <c r="Q48" s="63"/>
      <c r="R48" s="63"/>
      <c r="S48" s="64" t="str">
        <f t="shared" si="11"/>
        <v/>
      </c>
      <c r="T48" s="65"/>
      <c r="U48" s="66"/>
      <c r="V48" s="18" t="s">
        <v>68</v>
      </c>
      <c r="W48" s="69" t="s">
        <v>68</v>
      </c>
      <c r="Y48"/>
      <c r="Z48"/>
      <c r="AA48"/>
      <c r="AB48"/>
      <c r="AC48"/>
    </row>
    <row r="49" spans="1:29" s="67" customFormat="1" ht="18" customHeight="1">
      <c r="A49" s="60"/>
      <c r="B49" s="61"/>
      <c r="C49" s="119"/>
      <c r="D49" s="190"/>
      <c r="E49" s="119"/>
      <c r="F49" s="194"/>
      <c r="G49" s="122"/>
      <c r="H49" s="22"/>
      <c r="I49" s="22"/>
      <c r="J49" s="62" t="str">
        <f t="shared" si="8"/>
        <v/>
      </c>
      <c r="K49" s="63"/>
      <c r="L49" s="63"/>
      <c r="M49" s="64" t="str">
        <f t="shared" si="9"/>
        <v/>
      </c>
      <c r="N49" s="22"/>
      <c r="O49" s="22"/>
      <c r="P49" s="62" t="str">
        <f t="shared" si="10"/>
        <v/>
      </c>
      <c r="Q49" s="63"/>
      <c r="R49" s="63"/>
      <c r="S49" s="64" t="str">
        <f t="shared" si="11"/>
        <v/>
      </c>
      <c r="T49" s="65"/>
      <c r="U49" s="66"/>
      <c r="V49" s="18" t="s">
        <v>68</v>
      </c>
      <c r="W49" s="69" t="s">
        <v>68</v>
      </c>
      <c r="Y49"/>
      <c r="Z49"/>
      <c r="AA49"/>
      <c r="AB49"/>
      <c r="AC49"/>
    </row>
    <row r="50" spans="1:29" s="67" customFormat="1" ht="18" customHeight="1">
      <c r="A50" s="60"/>
      <c r="B50" s="61"/>
      <c r="C50" s="119"/>
      <c r="D50" s="190"/>
      <c r="E50" s="119"/>
      <c r="F50" s="194"/>
      <c r="G50" s="122"/>
      <c r="H50" s="22"/>
      <c r="I50" s="22"/>
      <c r="J50" s="62" t="str">
        <f t="shared" si="8"/>
        <v/>
      </c>
      <c r="K50" s="63"/>
      <c r="L50" s="63"/>
      <c r="M50" s="64" t="str">
        <f t="shared" si="9"/>
        <v/>
      </c>
      <c r="N50" s="22"/>
      <c r="O50" s="22"/>
      <c r="P50" s="62" t="str">
        <f t="shared" si="10"/>
        <v/>
      </c>
      <c r="Q50" s="63"/>
      <c r="R50" s="63"/>
      <c r="S50" s="64" t="str">
        <f t="shared" si="11"/>
        <v/>
      </c>
      <c r="T50" s="65"/>
      <c r="U50" s="66"/>
      <c r="V50" s="18" t="s">
        <v>68</v>
      </c>
      <c r="W50" s="69" t="s">
        <v>68</v>
      </c>
      <c r="Y50"/>
      <c r="Z50"/>
      <c r="AA50"/>
      <c r="AB50"/>
      <c r="AC50"/>
    </row>
    <row r="51" spans="1:29" s="67" customFormat="1" ht="18" customHeight="1">
      <c r="A51" s="60"/>
      <c r="B51" s="61"/>
      <c r="C51" s="119"/>
      <c r="D51" s="190"/>
      <c r="E51" s="119"/>
      <c r="F51" s="194"/>
      <c r="G51" s="122"/>
      <c r="H51" s="22"/>
      <c r="I51" s="22"/>
      <c r="J51" s="62" t="str">
        <f t="shared" si="8"/>
        <v/>
      </c>
      <c r="K51" s="63"/>
      <c r="L51" s="63"/>
      <c r="M51" s="64" t="str">
        <f t="shared" si="9"/>
        <v/>
      </c>
      <c r="N51" s="22"/>
      <c r="O51" s="22"/>
      <c r="P51" s="62" t="str">
        <f t="shared" si="10"/>
        <v/>
      </c>
      <c r="Q51" s="63"/>
      <c r="R51" s="63"/>
      <c r="S51" s="64" t="str">
        <f t="shared" si="11"/>
        <v/>
      </c>
      <c r="T51" s="65"/>
      <c r="U51" s="66"/>
      <c r="V51" s="18" t="s">
        <v>68</v>
      </c>
      <c r="W51" s="69" t="s">
        <v>68</v>
      </c>
      <c r="Y51"/>
      <c r="Z51"/>
      <c r="AA51"/>
      <c r="AB51"/>
      <c r="AC51"/>
    </row>
    <row r="52" spans="1:29" s="67" customFormat="1" ht="18" customHeight="1">
      <c r="A52" s="60"/>
      <c r="B52" s="61"/>
      <c r="C52" s="119"/>
      <c r="D52" s="190"/>
      <c r="E52" s="119"/>
      <c r="F52" s="194"/>
      <c r="G52" s="122"/>
      <c r="H52" s="22"/>
      <c r="I52" s="22"/>
      <c r="J52" s="62" t="str">
        <f t="shared" si="8"/>
        <v/>
      </c>
      <c r="K52" s="63"/>
      <c r="L52" s="63"/>
      <c r="M52" s="64" t="str">
        <f t="shared" si="9"/>
        <v/>
      </c>
      <c r="N52" s="22"/>
      <c r="O52" s="22"/>
      <c r="P52" s="62" t="str">
        <f t="shared" si="10"/>
        <v/>
      </c>
      <c r="Q52" s="63"/>
      <c r="R52" s="63"/>
      <c r="S52" s="64" t="str">
        <f t="shared" si="11"/>
        <v/>
      </c>
      <c r="T52" s="65"/>
      <c r="U52" s="66"/>
      <c r="V52" s="18" t="s">
        <v>68</v>
      </c>
      <c r="W52" s="69" t="s">
        <v>68</v>
      </c>
      <c r="Y52"/>
      <c r="Z52"/>
      <c r="AA52"/>
      <c r="AB52"/>
      <c r="AC52"/>
    </row>
    <row r="53" spans="1:29" s="67" customFormat="1" ht="18" customHeight="1">
      <c r="A53" s="60"/>
      <c r="B53" s="61"/>
      <c r="C53" s="119"/>
      <c r="D53" s="180" t="s">
        <v>68</v>
      </c>
      <c r="E53" s="21"/>
      <c r="F53" s="195" t="s">
        <v>68</v>
      </c>
      <c r="G53" s="23"/>
      <c r="H53" s="22"/>
      <c r="I53" s="22"/>
      <c r="J53" s="62" t="str">
        <f t="shared" si="8"/>
        <v/>
      </c>
      <c r="K53" s="63"/>
      <c r="L53" s="63"/>
      <c r="M53" s="64" t="str">
        <f t="shared" si="9"/>
        <v/>
      </c>
      <c r="N53" s="22"/>
      <c r="O53" s="22"/>
      <c r="P53" s="62" t="str">
        <f t="shared" si="10"/>
        <v/>
      </c>
      <c r="Q53" s="63"/>
      <c r="R53" s="63"/>
      <c r="S53" s="64" t="str">
        <f t="shared" si="11"/>
        <v/>
      </c>
      <c r="T53" s="65"/>
      <c r="U53" s="66"/>
      <c r="V53" s="18" t="s">
        <v>68</v>
      </c>
      <c r="W53" s="69" t="s">
        <v>68</v>
      </c>
      <c r="Y53"/>
      <c r="Z53"/>
      <c r="AA53"/>
      <c r="AB53"/>
      <c r="AC53"/>
    </row>
    <row r="54" spans="1:29" s="67" customFormat="1" ht="18" customHeight="1">
      <c r="A54" s="60"/>
      <c r="B54" s="61"/>
      <c r="C54" s="21"/>
      <c r="D54" s="180" t="s">
        <v>68</v>
      </c>
      <c r="E54" s="21"/>
      <c r="F54" s="195" t="s">
        <v>68</v>
      </c>
      <c r="G54" s="23"/>
      <c r="H54" s="22"/>
      <c r="I54" s="22"/>
      <c r="J54" s="62" t="str">
        <f t="shared" si="8"/>
        <v/>
      </c>
      <c r="K54" s="63"/>
      <c r="L54" s="63"/>
      <c r="M54" s="64" t="str">
        <f t="shared" si="9"/>
        <v/>
      </c>
      <c r="N54" s="22"/>
      <c r="O54" s="22"/>
      <c r="P54" s="62" t="str">
        <f t="shared" si="10"/>
        <v/>
      </c>
      <c r="Q54" s="63"/>
      <c r="R54" s="63"/>
      <c r="S54" s="64" t="str">
        <f t="shared" si="11"/>
        <v/>
      </c>
      <c r="T54" s="65"/>
      <c r="U54" s="66"/>
      <c r="V54" s="18" t="s">
        <v>68</v>
      </c>
      <c r="W54" s="69" t="s">
        <v>68</v>
      </c>
      <c r="Y54"/>
      <c r="Z54"/>
      <c r="AA54"/>
      <c r="AB54"/>
      <c r="AC54"/>
    </row>
    <row r="55" spans="1:29" s="67" customFormat="1" ht="18" customHeight="1">
      <c r="A55" s="60"/>
      <c r="B55" s="61"/>
      <c r="C55" s="21"/>
      <c r="D55" s="180" t="s">
        <v>68</v>
      </c>
      <c r="E55" s="21"/>
      <c r="F55" s="195" t="s">
        <v>68</v>
      </c>
      <c r="G55" s="23"/>
      <c r="H55" s="22"/>
      <c r="I55" s="22"/>
      <c r="J55" s="62" t="str">
        <f t="shared" si="8"/>
        <v/>
      </c>
      <c r="K55" s="63"/>
      <c r="L55" s="63"/>
      <c r="M55" s="64" t="str">
        <f t="shared" si="9"/>
        <v/>
      </c>
      <c r="N55" s="22"/>
      <c r="O55" s="22"/>
      <c r="P55" s="62" t="str">
        <f t="shared" si="10"/>
        <v/>
      </c>
      <c r="Q55" s="63"/>
      <c r="R55" s="63"/>
      <c r="S55" s="64" t="str">
        <f t="shared" si="11"/>
        <v/>
      </c>
      <c r="T55" s="65"/>
      <c r="U55" s="66"/>
      <c r="V55" s="18" t="s">
        <v>68</v>
      </c>
      <c r="W55" s="69" t="s">
        <v>68</v>
      </c>
      <c r="Y55"/>
      <c r="Z55"/>
      <c r="AA55"/>
      <c r="AB55"/>
      <c r="AC55"/>
    </row>
    <row r="56" spans="1:29" s="67" customFormat="1" ht="18" customHeight="1">
      <c r="A56" s="60"/>
      <c r="B56" s="61"/>
      <c r="C56" s="21"/>
      <c r="D56" s="180" t="s">
        <v>68</v>
      </c>
      <c r="E56" s="21"/>
      <c r="F56" s="195" t="s">
        <v>68</v>
      </c>
      <c r="G56" s="23"/>
      <c r="H56" s="22"/>
      <c r="I56" s="22"/>
      <c r="J56" s="62" t="str">
        <f t="shared" si="8"/>
        <v/>
      </c>
      <c r="K56" s="63"/>
      <c r="L56" s="63"/>
      <c r="M56" s="64" t="str">
        <f t="shared" si="9"/>
        <v/>
      </c>
      <c r="N56" s="22"/>
      <c r="O56" s="22"/>
      <c r="P56" s="62" t="str">
        <f t="shared" si="10"/>
        <v/>
      </c>
      <c r="Q56" s="63"/>
      <c r="R56" s="63"/>
      <c r="S56" s="64" t="str">
        <f t="shared" si="11"/>
        <v/>
      </c>
      <c r="T56" s="65"/>
      <c r="U56" s="66"/>
      <c r="V56" s="18" t="s">
        <v>68</v>
      </c>
      <c r="W56" s="69" t="s">
        <v>68</v>
      </c>
      <c r="Y56"/>
      <c r="Z56"/>
      <c r="AA56"/>
      <c r="AB56"/>
      <c r="AC56"/>
    </row>
    <row r="57" spans="1:29" s="67" customFormat="1" ht="18" customHeight="1">
      <c r="A57" s="60"/>
      <c r="B57" s="61"/>
      <c r="C57" s="21"/>
      <c r="D57" s="180" t="s">
        <v>68</v>
      </c>
      <c r="E57" s="21"/>
      <c r="F57" s="195" t="s">
        <v>68</v>
      </c>
      <c r="G57" s="23"/>
      <c r="H57" s="22"/>
      <c r="I57" s="22"/>
      <c r="J57" s="62" t="str">
        <f t="shared" si="8"/>
        <v/>
      </c>
      <c r="K57" s="63"/>
      <c r="L57" s="63"/>
      <c r="M57" s="64" t="str">
        <f t="shared" si="9"/>
        <v/>
      </c>
      <c r="N57" s="22"/>
      <c r="O57" s="22"/>
      <c r="P57" s="62" t="str">
        <f t="shared" si="10"/>
        <v/>
      </c>
      <c r="Q57" s="63"/>
      <c r="R57" s="63"/>
      <c r="S57" s="64" t="str">
        <f t="shared" si="11"/>
        <v/>
      </c>
      <c r="T57" s="65"/>
      <c r="U57" s="66"/>
      <c r="V57" s="18" t="s">
        <v>68</v>
      </c>
      <c r="W57" s="69" t="s">
        <v>68</v>
      </c>
      <c r="Y57"/>
      <c r="Z57"/>
      <c r="AA57"/>
      <c r="AB57"/>
      <c r="AC57"/>
    </row>
    <row r="58" spans="1:29" s="67" customFormat="1" ht="18" customHeight="1">
      <c r="A58" s="60"/>
      <c r="B58" s="61"/>
      <c r="C58" s="21"/>
      <c r="D58" s="180" t="s">
        <v>68</v>
      </c>
      <c r="E58" s="21"/>
      <c r="F58" s="195" t="s">
        <v>68</v>
      </c>
      <c r="G58" s="23"/>
      <c r="H58" s="22"/>
      <c r="I58" s="22"/>
      <c r="J58" s="62" t="str">
        <f t="shared" si="8"/>
        <v/>
      </c>
      <c r="K58" s="63"/>
      <c r="L58" s="63"/>
      <c r="M58" s="64" t="str">
        <f t="shared" si="9"/>
        <v/>
      </c>
      <c r="N58" s="22"/>
      <c r="O58" s="22"/>
      <c r="P58" s="62" t="str">
        <f t="shared" si="10"/>
        <v/>
      </c>
      <c r="Q58" s="63"/>
      <c r="R58" s="63"/>
      <c r="S58" s="64" t="str">
        <f t="shared" si="11"/>
        <v/>
      </c>
      <c r="T58" s="65"/>
      <c r="U58" s="66"/>
      <c r="V58" s="18" t="s">
        <v>68</v>
      </c>
      <c r="W58" s="69" t="s">
        <v>68</v>
      </c>
      <c r="Y58"/>
      <c r="Z58"/>
      <c r="AA58"/>
      <c r="AB58"/>
      <c r="AC58"/>
    </row>
    <row r="59" spans="1:29" s="67" customFormat="1" ht="18" customHeight="1">
      <c r="A59" s="60"/>
      <c r="B59" s="61"/>
      <c r="C59" s="21"/>
      <c r="D59" s="180" t="s">
        <v>68</v>
      </c>
      <c r="E59" s="21"/>
      <c r="F59" s="195" t="s">
        <v>68</v>
      </c>
      <c r="G59" s="23"/>
      <c r="H59" s="22"/>
      <c r="I59" s="22"/>
      <c r="J59" s="62" t="str">
        <f t="shared" si="8"/>
        <v/>
      </c>
      <c r="K59" s="63"/>
      <c r="L59" s="63"/>
      <c r="M59" s="64" t="str">
        <f t="shared" si="9"/>
        <v/>
      </c>
      <c r="N59" s="22"/>
      <c r="O59" s="22"/>
      <c r="P59" s="62" t="str">
        <f t="shared" si="10"/>
        <v/>
      </c>
      <c r="Q59" s="63"/>
      <c r="R59" s="63"/>
      <c r="S59" s="64" t="str">
        <f t="shared" si="11"/>
        <v/>
      </c>
      <c r="T59" s="65"/>
      <c r="U59" s="66"/>
      <c r="V59" s="18" t="s">
        <v>68</v>
      </c>
      <c r="W59" s="69" t="s">
        <v>68</v>
      </c>
      <c r="Y59"/>
      <c r="Z59"/>
      <c r="AA59"/>
      <c r="AB59"/>
      <c r="AC59"/>
    </row>
    <row r="60" spans="1:29" s="67" customFormat="1" ht="18" customHeight="1">
      <c r="A60" s="60"/>
      <c r="B60" s="61"/>
      <c r="C60" s="21"/>
      <c r="D60" s="180" t="s">
        <v>68</v>
      </c>
      <c r="E60" s="21"/>
      <c r="F60" s="195" t="s">
        <v>68</v>
      </c>
      <c r="G60" s="23"/>
      <c r="H60" s="22"/>
      <c r="I60" s="22"/>
      <c r="J60" s="62" t="str">
        <f t="shared" si="8"/>
        <v/>
      </c>
      <c r="K60" s="63"/>
      <c r="L60" s="63"/>
      <c r="M60" s="64" t="str">
        <f t="shared" si="9"/>
        <v/>
      </c>
      <c r="N60" s="22"/>
      <c r="O60" s="22"/>
      <c r="P60" s="62" t="str">
        <f t="shared" si="10"/>
        <v/>
      </c>
      <c r="Q60" s="63"/>
      <c r="R60" s="63"/>
      <c r="S60" s="64" t="str">
        <f t="shared" si="11"/>
        <v/>
      </c>
      <c r="T60" s="65"/>
      <c r="U60" s="66"/>
      <c r="V60" s="18" t="s">
        <v>68</v>
      </c>
      <c r="W60" s="69" t="s">
        <v>68</v>
      </c>
      <c r="Y60"/>
      <c r="Z60"/>
      <c r="AA60"/>
      <c r="AB60"/>
      <c r="AC60"/>
    </row>
    <row r="61" spans="1:29" s="67" customFormat="1" ht="18" customHeight="1">
      <c r="A61" s="60"/>
      <c r="B61" s="61"/>
      <c r="C61" s="21"/>
      <c r="D61" s="180" t="s">
        <v>68</v>
      </c>
      <c r="E61" s="21"/>
      <c r="F61" s="195" t="s">
        <v>68</v>
      </c>
      <c r="G61" s="23"/>
      <c r="H61" s="22"/>
      <c r="I61" s="22"/>
      <c r="J61" s="62" t="str">
        <f t="shared" si="8"/>
        <v/>
      </c>
      <c r="K61" s="63"/>
      <c r="L61" s="63"/>
      <c r="M61" s="64" t="str">
        <f t="shared" si="9"/>
        <v/>
      </c>
      <c r="N61" s="22"/>
      <c r="O61" s="22"/>
      <c r="P61" s="62" t="str">
        <f t="shared" si="10"/>
        <v/>
      </c>
      <c r="Q61" s="63"/>
      <c r="R61" s="63"/>
      <c r="S61" s="64" t="str">
        <f t="shared" si="11"/>
        <v/>
      </c>
      <c r="T61" s="65"/>
      <c r="U61" s="66"/>
      <c r="V61" s="18" t="s">
        <v>68</v>
      </c>
      <c r="W61" s="69" t="s">
        <v>68</v>
      </c>
      <c r="Y61"/>
      <c r="Z61"/>
      <c r="AA61"/>
      <c r="AB61"/>
      <c r="AC61"/>
    </row>
    <row r="62" spans="1:29" s="67" customFormat="1" ht="18" customHeight="1">
      <c r="A62" s="60"/>
      <c r="B62" s="61"/>
      <c r="C62" s="21"/>
      <c r="D62" s="180" t="s">
        <v>68</v>
      </c>
      <c r="E62" s="21"/>
      <c r="F62" s="195" t="s">
        <v>68</v>
      </c>
      <c r="G62" s="23"/>
      <c r="H62" s="22"/>
      <c r="I62" s="22"/>
      <c r="J62" s="62" t="str">
        <f t="shared" si="8"/>
        <v/>
      </c>
      <c r="K62" s="63"/>
      <c r="L62" s="63"/>
      <c r="M62" s="64" t="str">
        <f t="shared" si="9"/>
        <v/>
      </c>
      <c r="N62" s="22"/>
      <c r="O62" s="22"/>
      <c r="P62" s="62" t="str">
        <f t="shared" si="10"/>
        <v/>
      </c>
      <c r="Q62" s="63"/>
      <c r="R62" s="63"/>
      <c r="S62" s="64" t="str">
        <f t="shared" si="11"/>
        <v/>
      </c>
      <c r="T62" s="65"/>
      <c r="U62" s="66"/>
      <c r="V62" s="18" t="s">
        <v>68</v>
      </c>
      <c r="W62" s="69" t="s">
        <v>68</v>
      </c>
      <c r="Y62"/>
      <c r="Z62"/>
      <c r="AA62"/>
      <c r="AB62"/>
      <c r="AC62"/>
    </row>
    <row r="63" spans="1:29" s="67" customFormat="1" ht="18" customHeight="1">
      <c r="A63" s="60"/>
      <c r="B63" s="61"/>
      <c r="C63" s="21"/>
      <c r="D63" s="180" t="s">
        <v>68</v>
      </c>
      <c r="E63" s="21"/>
      <c r="F63" s="195" t="s">
        <v>68</v>
      </c>
      <c r="G63" s="23"/>
      <c r="H63" s="22"/>
      <c r="I63" s="22"/>
      <c r="J63" s="62" t="str">
        <f t="shared" si="8"/>
        <v/>
      </c>
      <c r="K63" s="63"/>
      <c r="L63" s="63"/>
      <c r="M63" s="64" t="str">
        <f t="shared" si="9"/>
        <v/>
      </c>
      <c r="N63" s="22"/>
      <c r="O63" s="22"/>
      <c r="P63" s="62" t="str">
        <f t="shared" si="10"/>
        <v/>
      </c>
      <c r="Q63" s="63"/>
      <c r="R63" s="63"/>
      <c r="S63" s="64" t="str">
        <f t="shared" si="11"/>
        <v/>
      </c>
      <c r="T63" s="65"/>
      <c r="U63" s="66"/>
      <c r="V63" s="18" t="s">
        <v>68</v>
      </c>
      <c r="W63" s="69" t="s">
        <v>68</v>
      </c>
      <c r="Y63"/>
      <c r="Z63"/>
      <c r="AA63"/>
      <c r="AB63"/>
      <c r="AC63"/>
    </row>
    <row r="64" spans="1:29" s="67" customFormat="1" ht="18" customHeight="1">
      <c r="A64" s="60"/>
      <c r="B64" s="61"/>
      <c r="C64" s="21"/>
      <c r="D64" s="180" t="s">
        <v>68</v>
      </c>
      <c r="E64" s="21"/>
      <c r="F64" s="195" t="s">
        <v>68</v>
      </c>
      <c r="G64" s="23"/>
      <c r="H64" s="22"/>
      <c r="I64" s="22"/>
      <c r="J64" s="62" t="str">
        <f t="shared" si="8"/>
        <v/>
      </c>
      <c r="K64" s="63"/>
      <c r="L64" s="63"/>
      <c r="M64" s="64" t="str">
        <f t="shared" si="9"/>
        <v/>
      </c>
      <c r="N64" s="22"/>
      <c r="O64" s="22"/>
      <c r="P64" s="62" t="str">
        <f t="shared" si="10"/>
        <v/>
      </c>
      <c r="Q64" s="63"/>
      <c r="R64" s="63"/>
      <c r="S64" s="64" t="str">
        <f t="shared" si="11"/>
        <v/>
      </c>
      <c r="T64" s="65"/>
      <c r="U64" s="66"/>
      <c r="V64" s="18" t="s">
        <v>68</v>
      </c>
      <c r="W64" s="69" t="s">
        <v>68</v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180" t="s">
        <v>68</v>
      </c>
      <c r="E65" s="21"/>
      <c r="F65" s="195" t="s">
        <v>68</v>
      </c>
      <c r="G65" s="23"/>
      <c r="H65" s="22"/>
      <c r="I65" s="22"/>
      <c r="J65" s="62" t="str">
        <f t="shared" si="8"/>
        <v/>
      </c>
      <c r="K65" s="63"/>
      <c r="L65" s="63"/>
      <c r="M65" s="64" t="str">
        <f t="shared" si="9"/>
        <v/>
      </c>
      <c r="N65" s="22"/>
      <c r="O65" s="22"/>
      <c r="P65" s="62" t="str">
        <f t="shared" si="10"/>
        <v/>
      </c>
      <c r="Q65" s="63"/>
      <c r="R65" s="63"/>
      <c r="S65" s="64" t="str">
        <f t="shared" si="11"/>
        <v/>
      </c>
      <c r="T65" s="65"/>
      <c r="U65" s="66"/>
      <c r="V65" s="18" t="s">
        <v>68</v>
      </c>
      <c r="W65" s="69" t="s">
        <v>68</v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180" t="s">
        <v>68</v>
      </c>
      <c r="E66" s="21"/>
      <c r="F66" s="195" t="s">
        <v>68</v>
      </c>
      <c r="G66" s="23"/>
      <c r="H66" s="22"/>
      <c r="I66" s="22"/>
      <c r="J66" s="62" t="str">
        <f t="shared" si="8"/>
        <v/>
      </c>
      <c r="K66" s="63"/>
      <c r="L66" s="63"/>
      <c r="M66" s="64" t="str">
        <f t="shared" si="9"/>
        <v/>
      </c>
      <c r="N66" s="22"/>
      <c r="O66" s="22"/>
      <c r="P66" s="62" t="str">
        <f t="shared" si="10"/>
        <v/>
      </c>
      <c r="Q66" s="63"/>
      <c r="R66" s="63"/>
      <c r="S66" s="64" t="str">
        <f t="shared" si="11"/>
        <v/>
      </c>
      <c r="T66" s="65"/>
      <c r="U66" s="66"/>
      <c r="V66" s="18" t="s">
        <v>68</v>
      </c>
      <c r="W66" s="69" t="s">
        <v>68</v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180" t="s">
        <v>68</v>
      </c>
      <c r="E67" s="21"/>
      <c r="F67" s="195" t="s">
        <v>68</v>
      </c>
      <c r="G67" s="23"/>
      <c r="H67" s="22"/>
      <c r="I67" s="22"/>
      <c r="J67" s="62" t="str">
        <f t="shared" si="8"/>
        <v/>
      </c>
      <c r="K67" s="63"/>
      <c r="L67" s="63"/>
      <c r="M67" s="64" t="str">
        <f t="shared" si="9"/>
        <v/>
      </c>
      <c r="N67" s="22"/>
      <c r="O67" s="22"/>
      <c r="P67" s="62" t="str">
        <f t="shared" si="10"/>
        <v/>
      </c>
      <c r="Q67" s="63"/>
      <c r="R67" s="63"/>
      <c r="S67" s="64" t="str">
        <f t="shared" si="11"/>
        <v/>
      </c>
      <c r="T67" s="65"/>
      <c r="U67" s="66"/>
      <c r="V67" s="18" t="s">
        <v>68</v>
      </c>
      <c r="W67" s="69" t="s">
        <v>68</v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180" t="s">
        <v>68</v>
      </c>
      <c r="E68" s="21"/>
      <c r="F68" s="195" t="s">
        <v>68</v>
      </c>
      <c r="G68" s="23"/>
      <c r="H68" s="22"/>
      <c r="I68" s="22"/>
      <c r="J68" s="62" t="str">
        <f t="shared" si="8"/>
        <v/>
      </c>
      <c r="K68" s="63"/>
      <c r="L68" s="63"/>
      <c r="M68" s="64" t="str">
        <f t="shared" si="9"/>
        <v/>
      </c>
      <c r="N68" s="22"/>
      <c r="O68" s="22"/>
      <c r="P68" s="62" t="str">
        <f t="shared" si="10"/>
        <v/>
      </c>
      <c r="Q68" s="63"/>
      <c r="R68" s="63"/>
      <c r="S68" s="64" t="str">
        <f t="shared" si="11"/>
        <v/>
      </c>
      <c r="T68" s="65"/>
      <c r="U68" s="66"/>
      <c r="V68" s="18" t="s">
        <v>68</v>
      </c>
      <c r="W68" s="69" t="s">
        <v>68</v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180" t="s">
        <v>68</v>
      </c>
      <c r="E69" s="21"/>
      <c r="F69" s="195" t="s">
        <v>68</v>
      </c>
      <c r="G69" s="23"/>
      <c r="H69" s="22"/>
      <c r="I69" s="22"/>
      <c r="J69" s="62" t="str">
        <f t="shared" si="8"/>
        <v/>
      </c>
      <c r="K69" s="63"/>
      <c r="L69" s="63"/>
      <c r="M69" s="64" t="str">
        <f t="shared" si="9"/>
        <v/>
      </c>
      <c r="N69" s="22"/>
      <c r="O69" s="22"/>
      <c r="P69" s="62" t="str">
        <f t="shared" si="10"/>
        <v/>
      </c>
      <c r="Q69" s="63"/>
      <c r="R69" s="63"/>
      <c r="S69" s="64" t="str">
        <f t="shared" si="11"/>
        <v/>
      </c>
      <c r="T69" s="65"/>
      <c r="U69" s="66"/>
      <c r="V69" s="18" t="s">
        <v>68</v>
      </c>
      <c r="W69" s="69" t="s">
        <v>68</v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180" t="s">
        <v>68</v>
      </c>
      <c r="E70" s="21"/>
      <c r="F70" s="195" t="s">
        <v>68</v>
      </c>
      <c r="G70" s="23"/>
      <c r="H70" s="22"/>
      <c r="I70" s="22"/>
      <c r="J70" s="62" t="str">
        <f t="shared" si="8"/>
        <v/>
      </c>
      <c r="K70" s="63"/>
      <c r="L70" s="63"/>
      <c r="M70" s="64" t="str">
        <f t="shared" si="9"/>
        <v/>
      </c>
      <c r="N70" s="22"/>
      <c r="O70" s="22"/>
      <c r="P70" s="62" t="str">
        <f t="shared" si="10"/>
        <v/>
      </c>
      <c r="Q70" s="63"/>
      <c r="R70" s="63"/>
      <c r="S70" s="64" t="str">
        <f t="shared" si="11"/>
        <v/>
      </c>
      <c r="T70" s="65"/>
      <c r="U70" s="66"/>
      <c r="V70" s="18" t="s">
        <v>68</v>
      </c>
      <c r="W70" s="69" t="s">
        <v>68</v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180" t="s">
        <v>68</v>
      </c>
      <c r="E71" s="21"/>
      <c r="F71" s="195" t="s">
        <v>68</v>
      </c>
      <c r="G71" s="23"/>
      <c r="H71" s="22"/>
      <c r="I71" s="22"/>
      <c r="J71" s="62" t="str">
        <f t="shared" si="8"/>
        <v/>
      </c>
      <c r="K71" s="63"/>
      <c r="L71" s="63"/>
      <c r="M71" s="64" t="str">
        <f t="shared" si="9"/>
        <v/>
      </c>
      <c r="N71" s="22"/>
      <c r="O71" s="22"/>
      <c r="P71" s="62" t="str">
        <f t="shared" si="10"/>
        <v/>
      </c>
      <c r="Q71" s="63"/>
      <c r="R71" s="63"/>
      <c r="S71" s="64" t="str">
        <f t="shared" si="11"/>
        <v/>
      </c>
      <c r="T71" s="65"/>
      <c r="U71" s="66"/>
      <c r="V71" s="18" t="s">
        <v>68</v>
      </c>
      <c r="W71" s="69" t="s">
        <v>68</v>
      </c>
      <c r="Y71"/>
      <c r="Z71"/>
      <c r="AA71"/>
      <c r="AB71"/>
      <c r="AC71"/>
    </row>
    <row r="72" spans="1:29" s="67" customFormat="1" ht="18" customHeight="1">
      <c r="A72" s="60"/>
      <c r="B72" s="61"/>
      <c r="C72" s="21"/>
      <c r="D72" s="180" t="s">
        <v>68</v>
      </c>
      <c r="E72" s="21"/>
      <c r="F72" s="195" t="s">
        <v>68</v>
      </c>
      <c r="G72" s="23"/>
      <c r="H72" s="22"/>
      <c r="I72" s="22"/>
      <c r="J72" s="62" t="str">
        <f t="shared" si="8"/>
        <v/>
      </c>
      <c r="K72" s="63"/>
      <c r="L72" s="63"/>
      <c r="M72" s="64" t="str">
        <f t="shared" si="9"/>
        <v/>
      </c>
      <c r="N72" s="22"/>
      <c r="O72" s="22"/>
      <c r="P72" s="62" t="str">
        <f t="shared" si="10"/>
        <v/>
      </c>
      <c r="Q72" s="63"/>
      <c r="R72" s="63"/>
      <c r="S72" s="64" t="str">
        <f t="shared" si="11"/>
        <v/>
      </c>
      <c r="T72" s="65"/>
      <c r="U72" s="66"/>
      <c r="V72" s="18" t="s">
        <v>68</v>
      </c>
      <c r="W72" s="69" t="s">
        <v>68</v>
      </c>
      <c r="Y72"/>
      <c r="Z72"/>
      <c r="AA72"/>
      <c r="AB72"/>
      <c r="AC72"/>
    </row>
    <row r="73" spans="1:29" s="67" customFormat="1" ht="18" customHeight="1">
      <c r="A73" s="60"/>
      <c r="B73" s="61"/>
      <c r="C73" s="21"/>
      <c r="D73" s="180" t="s">
        <v>68</v>
      </c>
      <c r="E73" s="21"/>
      <c r="F73" s="195" t="s">
        <v>68</v>
      </c>
      <c r="G73" s="23"/>
      <c r="H73" s="22"/>
      <c r="I73" s="22"/>
      <c r="J73" s="62" t="str">
        <f t="shared" si="8"/>
        <v/>
      </c>
      <c r="K73" s="63"/>
      <c r="L73" s="63"/>
      <c r="M73" s="64" t="str">
        <f t="shared" si="9"/>
        <v/>
      </c>
      <c r="N73" s="22"/>
      <c r="O73" s="22"/>
      <c r="P73" s="62" t="str">
        <f t="shared" si="10"/>
        <v/>
      </c>
      <c r="Q73" s="63"/>
      <c r="R73" s="63"/>
      <c r="S73" s="64" t="str">
        <f t="shared" si="11"/>
        <v/>
      </c>
      <c r="T73" s="65"/>
      <c r="U73" s="66"/>
      <c r="V73" s="18" t="s">
        <v>68</v>
      </c>
      <c r="W73" s="69" t="s">
        <v>68</v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W13" xr:uid="{00000000-0001-0000-1200-000000000000}">
    <sortState xmlns:xlrd2="http://schemas.microsoft.com/office/spreadsheetml/2017/richdata2" ref="A14:W73">
      <sortCondition ref="B13"/>
    </sortState>
  </autoFilter>
  <sortState xmlns:xlrd2="http://schemas.microsoft.com/office/spreadsheetml/2017/richdata2" ref="A22:AD25">
    <sortCondition ref="B22:B25"/>
  </sortState>
  <phoneticPr fontId="7"/>
  <conditionalFormatting sqref="V14:V73">
    <cfRule type="cellIs" dxfId="15" priority="4" stopIfTrue="1" operator="notBetween">
      <formula>"A"</formula>
      <formula>"Ｂ"</formula>
    </cfRule>
  </conditionalFormatting>
  <conditionalFormatting sqref="W14:W73">
    <cfRule type="cellIs" dxfId="14" priority="3" stopIfTrue="1" operator="between">
      <formula>"-"</formula>
      <formula>"申請中"</formula>
    </cfRule>
  </conditionalFormatting>
  <conditionalFormatting sqref="Y14:Z73">
    <cfRule type="expression" dxfId="13" priority="2">
      <formula>Y14&lt;&gt;C14</formula>
    </cfRule>
  </conditionalFormatting>
  <conditionalFormatting sqref="AB14:AC73">
    <cfRule type="expression" dxfId="12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GetJEFInfo">
                <anchor moveWithCells="1" sizeWithCells="1">
                  <from>
                    <xdr:col>25</xdr:col>
                    <xdr:colOff>60960</xdr:colOff>
                    <xdr:row>5</xdr:row>
                    <xdr:rowOff>297180</xdr:rowOff>
                  </from>
                  <to>
                    <xdr:col>28</xdr:col>
                    <xdr:colOff>213360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4">
    <tabColor rgb="FFFFC000"/>
  </sheetPr>
  <dimension ref="A1:AD201"/>
  <sheetViews>
    <sheetView workbookViewId="0">
      <selection activeCell="A14" sqref="A14:G14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30" s="25" customFormat="1" ht="18" customHeight="1">
      <c r="B2" s="26" t="s">
        <v>1</v>
      </c>
      <c r="C2" s="27"/>
      <c r="E2" s="26" t="s">
        <v>2</v>
      </c>
      <c r="F2" s="30"/>
      <c r="G2" s="132">
        <v>46276</v>
      </c>
      <c r="L2" s="28"/>
      <c r="N2" s="26" t="s">
        <v>3</v>
      </c>
      <c r="O2" s="29"/>
      <c r="P2" s="30"/>
      <c r="Q2" s="30"/>
      <c r="R2" s="30"/>
      <c r="S2" s="30"/>
      <c r="T2" s="30"/>
    </row>
    <row r="3" spans="1:30" s="25" customFormat="1" ht="18" customHeight="1">
      <c r="A3" s="31"/>
      <c r="B3" s="26" t="s">
        <v>4</v>
      </c>
      <c r="C3" s="120" t="s">
        <v>516</v>
      </c>
      <c r="D3" s="121"/>
      <c r="E3" s="121"/>
      <c r="F3" s="121"/>
      <c r="G3" s="121"/>
      <c r="Q3" s="26" t="s">
        <v>5</v>
      </c>
      <c r="R3" s="29"/>
      <c r="S3" s="30"/>
      <c r="T3" s="30"/>
      <c r="U3" s="32"/>
    </row>
    <row r="4" spans="1:30" s="25" customFormat="1" ht="18" customHeight="1">
      <c r="B4" s="26" t="s">
        <v>6</v>
      </c>
      <c r="C4" s="33">
        <v>8</v>
      </c>
      <c r="D4" s="25" t="s">
        <v>7</v>
      </c>
      <c r="E4" s="26" t="s">
        <v>8</v>
      </c>
      <c r="F4" s="191" t="s">
        <v>81</v>
      </c>
      <c r="G4" s="30"/>
      <c r="H4" s="30"/>
      <c r="J4" s="26" t="s">
        <v>9</v>
      </c>
      <c r="K4" s="34" t="s">
        <v>74</v>
      </c>
      <c r="N4" s="26" t="s">
        <v>10</v>
      </c>
      <c r="O4" s="35">
        <v>350</v>
      </c>
    </row>
    <row r="5" spans="1:30" s="25" customFormat="1" ht="18" customHeight="1">
      <c r="C5" s="26" t="s">
        <v>11</v>
      </c>
      <c r="D5" s="27" t="s">
        <v>72</v>
      </c>
      <c r="E5" s="26" t="s">
        <v>12</v>
      </c>
      <c r="F5" s="36" t="s">
        <v>78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</row>
    <row r="6" spans="1:30" s="25" customFormat="1" ht="35.1" customHeight="1">
      <c r="C6" s="40" t="s">
        <v>18</v>
      </c>
      <c r="D6" s="175" t="s">
        <v>39</v>
      </c>
      <c r="E6" s="26" t="s">
        <v>19</v>
      </c>
      <c r="F6" s="181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</row>
    <row r="7" spans="1:30" s="25" customFormat="1" ht="15" customHeight="1">
      <c r="A7" s="26" t="s">
        <v>62</v>
      </c>
      <c r="B7" s="73" t="s">
        <v>0</v>
      </c>
      <c r="C7" s="76"/>
      <c r="D7" s="26" t="s">
        <v>63</v>
      </c>
      <c r="E7" s="74"/>
      <c r="F7" s="32"/>
      <c r="I7" s="26"/>
      <c r="J7" s="37"/>
      <c r="K7" s="32"/>
      <c r="L7" s="26"/>
      <c r="M7" s="32"/>
      <c r="N7" s="26"/>
      <c r="O7" s="42"/>
      <c r="Q7" s="26"/>
      <c r="R7" s="43"/>
    </row>
    <row r="8" spans="1:30" s="25" customFormat="1" ht="15" customHeight="1">
      <c r="A8" s="26" t="s">
        <v>64</v>
      </c>
      <c r="B8" s="73" t="s">
        <v>0</v>
      </c>
      <c r="C8" s="72"/>
      <c r="D8" s="26" t="s">
        <v>63</v>
      </c>
      <c r="E8" s="75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</row>
    <row r="9" spans="1:30" s="25" customFormat="1" ht="15" customHeight="1">
      <c r="A9" s="26" t="s">
        <v>65</v>
      </c>
      <c r="B9" s="73" t="s">
        <v>0</v>
      </c>
      <c r="C9" s="72"/>
      <c r="D9" s="26" t="s">
        <v>63</v>
      </c>
      <c r="E9" s="75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</row>
    <row r="10" spans="1:30" s="25" customFormat="1" ht="15" customHeight="1">
      <c r="A10" s="26" t="s">
        <v>66</v>
      </c>
      <c r="B10" s="73" t="s">
        <v>0</v>
      </c>
      <c r="C10" s="72"/>
      <c r="D10" s="26" t="s">
        <v>63</v>
      </c>
      <c r="E10" s="75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</row>
    <row r="11" spans="1:30" s="25" customFormat="1" ht="15" customHeight="1">
      <c r="A11" s="26" t="s">
        <v>67</v>
      </c>
      <c r="B11" s="73" t="s">
        <v>0</v>
      </c>
      <c r="C11" s="72"/>
      <c r="D11" s="26" t="s">
        <v>63</v>
      </c>
      <c r="E11" s="75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V11" s="25">
        <f>COUNTA(C14:C73)</f>
        <v>1</v>
      </c>
      <c r="W11" s="25">
        <f>COUNTA(E14:E73)</f>
        <v>1</v>
      </c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50</v>
      </c>
      <c r="W12" s="15" t="s">
        <v>51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176" t="s">
        <v>0</v>
      </c>
      <c r="E13" s="53" t="s">
        <v>27</v>
      </c>
      <c r="F13" s="176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56</v>
      </c>
      <c r="W13" s="15" t="s">
        <v>57</v>
      </c>
    </row>
    <row r="14" spans="1:30" s="67" customFormat="1" ht="18" customHeight="1">
      <c r="A14" s="60" t="s">
        <v>602</v>
      </c>
      <c r="B14" s="61">
        <v>1</v>
      </c>
      <c r="C14" s="84" t="s">
        <v>598</v>
      </c>
      <c r="D14" s="198">
        <v>15169</v>
      </c>
      <c r="E14" s="141" t="s">
        <v>601</v>
      </c>
      <c r="F14" s="198">
        <v>59391</v>
      </c>
      <c r="G14" s="111" t="s">
        <v>600</v>
      </c>
      <c r="H14" s="22"/>
      <c r="I14" s="22"/>
      <c r="J14" s="62" t="str">
        <f t="shared" ref="J14:J45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e">
        <v>#N/A</v>
      </c>
      <c r="W14" s="69" t="e">
        <v>#N/A</v>
      </c>
      <c r="Y14" t="s">
        <v>251</v>
      </c>
      <c r="Z14">
        <v>4416</v>
      </c>
      <c r="AA14" t="s">
        <v>250</v>
      </c>
      <c r="AB14" t="s">
        <v>159</v>
      </c>
      <c r="AC14">
        <v>57652</v>
      </c>
      <c r="AD14" s="67" t="s">
        <v>433</v>
      </c>
    </row>
    <row r="15" spans="1:30" s="67" customFormat="1" ht="18" customHeight="1">
      <c r="A15" s="60"/>
      <c r="B15" s="61">
        <v>2</v>
      </c>
      <c r="C15" s="84"/>
      <c r="D15" s="198"/>
      <c r="E15" s="84"/>
      <c r="F15" s="198"/>
      <c r="G15" s="111"/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v>#REF!</v>
      </c>
      <c r="W15" s="69" t="e">
        <v>#REF!</v>
      </c>
      <c r="Y15" t="s">
        <v>321</v>
      </c>
      <c r="Z15">
        <v>14856</v>
      </c>
      <c r="AA15" t="s">
        <v>320</v>
      </c>
      <c r="AB15" t="s">
        <v>172</v>
      </c>
      <c r="AC15">
        <v>59965</v>
      </c>
      <c r="AD15" s="67" t="s">
        <v>435</v>
      </c>
    </row>
    <row r="16" spans="1:30" s="67" customFormat="1" ht="18" customHeight="1">
      <c r="A16" s="60"/>
      <c r="B16" s="61">
        <v>3</v>
      </c>
      <c r="C16" s="78"/>
      <c r="D16" s="199"/>
      <c r="E16" s="142"/>
      <c r="F16" s="200"/>
      <c r="G16" s="78"/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s">
        <v>68</v>
      </c>
      <c r="W16" s="69" t="s">
        <v>68</v>
      </c>
      <c r="Y16"/>
      <c r="Z16"/>
      <c r="AA16"/>
      <c r="AB16"/>
      <c r="AC16"/>
    </row>
    <row r="17" spans="1:30" s="67" customFormat="1" ht="18" customHeight="1">
      <c r="A17" s="60"/>
      <c r="B17" s="61">
        <v>4</v>
      </c>
      <c r="C17" s="80"/>
      <c r="D17" s="178"/>
      <c r="E17" s="81"/>
      <c r="F17" s="182"/>
      <c r="G17" s="143"/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v>#N/A</v>
      </c>
      <c r="W17" s="69" t="e">
        <v>#N/A</v>
      </c>
      <c r="Y17" t="s">
        <v>315</v>
      </c>
      <c r="Z17">
        <v>9498</v>
      </c>
      <c r="AA17" t="s">
        <v>314</v>
      </c>
      <c r="AB17"/>
      <c r="AC17"/>
    </row>
    <row r="18" spans="1:30" s="67" customFormat="1" ht="18" customHeight="1">
      <c r="A18" s="60"/>
      <c r="B18" s="61">
        <v>5</v>
      </c>
      <c r="C18" s="21"/>
      <c r="D18" s="177"/>
      <c r="E18" s="21"/>
      <c r="F18" s="177"/>
      <c r="G18" s="21"/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e">
        <v>#N/A</v>
      </c>
      <c r="W18" s="69" t="e">
        <v>#N/A</v>
      </c>
      <c r="Y18" t="s">
        <v>432</v>
      </c>
      <c r="Z18">
        <v>9323</v>
      </c>
      <c r="AA18" t="s">
        <v>431</v>
      </c>
      <c r="AB18" t="s">
        <v>222</v>
      </c>
      <c r="AC18">
        <v>58656</v>
      </c>
      <c r="AD18" s="67" t="s">
        <v>434</v>
      </c>
    </row>
    <row r="19" spans="1:30" s="67" customFormat="1" ht="18" customHeight="1">
      <c r="A19" s="60"/>
      <c r="B19" s="61">
        <v>6</v>
      </c>
      <c r="C19" s="21"/>
      <c r="D19" s="177"/>
      <c r="E19" s="21"/>
      <c r="F19" s="177"/>
      <c r="G19" s="23"/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s">
        <v>68</v>
      </c>
      <c r="W19" s="69" t="s">
        <v>68</v>
      </c>
      <c r="Y19"/>
      <c r="Z19"/>
      <c r="AA19"/>
      <c r="AB19"/>
      <c r="AC19"/>
    </row>
    <row r="20" spans="1:30" s="67" customFormat="1" ht="18" customHeight="1">
      <c r="A20" s="60"/>
      <c r="B20" s="61">
        <v>7</v>
      </c>
      <c r="C20" s="21"/>
      <c r="D20" s="177"/>
      <c r="E20" s="21"/>
      <c r="F20" s="177"/>
      <c r="G20" s="23"/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s">
        <v>68</v>
      </c>
      <c r="W20" s="69" t="s">
        <v>68</v>
      </c>
      <c r="Y20"/>
      <c r="Z20"/>
      <c r="AA20"/>
      <c r="AB20"/>
      <c r="AC20"/>
    </row>
    <row r="21" spans="1:30" s="67" customFormat="1" ht="18" customHeight="1">
      <c r="A21" s="60"/>
      <c r="B21" s="61">
        <v>8</v>
      </c>
      <c r="C21" s="21"/>
      <c r="D21" s="177"/>
      <c r="E21" s="21"/>
      <c r="F21" s="177"/>
      <c r="G21" s="23"/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s">
        <v>68</v>
      </c>
      <c r="W21" s="69" t="s">
        <v>68</v>
      </c>
      <c r="Y21"/>
      <c r="Z21"/>
      <c r="AA21"/>
      <c r="AB21"/>
      <c r="AC21"/>
    </row>
    <row r="22" spans="1:30" s="67" customFormat="1" ht="18" customHeight="1">
      <c r="A22" s="60"/>
      <c r="B22" s="61">
        <v>9</v>
      </c>
      <c r="C22" s="21"/>
      <c r="D22" s="177" t="s">
        <v>68</v>
      </c>
      <c r="E22" s="21"/>
      <c r="F22" s="177" t="s">
        <v>68</v>
      </c>
      <c r="G22" s="23"/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s">
        <v>68</v>
      </c>
      <c r="W22" s="69" t="s">
        <v>68</v>
      </c>
      <c r="Y22"/>
      <c r="Z22"/>
      <c r="AA22"/>
      <c r="AB22"/>
      <c r="AC22"/>
    </row>
    <row r="23" spans="1:30" s="67" customFormat="1" ht="18" customHeight="1">
      <c r="A23" s="60"/>
      <c r="B23" s="61">
        <v>10</v>
      </c>
      <c r="C23" s="21"/>
      <c r="D23" s="177" t="s">
        <v>68</v>
      </c>
      <c r="E23" s="21"/>
      <c r="F23" s="177" t="s">
        <v>68</v>
      </c>
      <c r="G23" s="23"/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s">
        <v>68</v>
      </c>
      <c r="W23" s="69" t="s">
        <v>68</v>
      </c>
      <c r="Y23"/>
      <c r="Z23"/>
      <c r="AA23"/>
      <c r="AB23"/>
      <c r="AC23"/>
    </row>
    <row r="24" spans="1:30" s="67" customFormat="1" ht="18" customHeight="1">
      <c r="A24" s="60"/>
      <c r="B24" s="61">
        <v>11</v>
      </c>
      <c r="C24" s="21"/>
      <c r="D24" s="177" t="s">
        <v>68</v>
      </c>
      <c r="E24" s="21"/>
      <c r="F24" s="177" t="s">
        <v>68</v>
      </c>
      <c r="G24" s="23"/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s">
        <v>68</v>
      </c>
      <c r="W24" s="69" t="s">
        <v>68</v>
      </c>
      <c r="Y24"/>
      <c r="Z24"/>
      <c r="AA24"/>
      <c r="AB24"/>
      <c r="AC24"/>
    </row>
    <row r="25" spans="1:30" s="67" customFormat="1" ht="18" customHeight="1">
      <c r="A25" s="60"/>
      <c r="B25" s="61">
        <v>12</v>
      </c>
      <c r="C25" s="21"/>
      <c r="D25" s="177" t="s">
        <v>68</v>
      </c>
      <c r="E25" s="21"/>
      <c r="F25" s="177" t="s">
        <v>68</v>
      </c>
      <c r="G25" s="23"/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s">
        <v>68</v>
      </c>
      <c r="W25" s="69" t="s">
        <v>68</v>
      </c>
      <c r="Y25"/>
      <c r="Z25"/>
      <c r="AA25"/>
      <c r="AB25"/>
      <c r="AC25"/>
    </row>
    <row r="26" spans="1:30" s="67" customFormat="1" ht="18" customHeight="1">
      <c r="A26" s="60"/>
      <c r="B26" s="61">
        <v>13</v>
      </c>
      <c r="C26" s="21"/>
      <c r="D26" s="177" t="s">
        <v>68</v>
      </c>
      <c r="E26" s="21"/>
      <c r="F26" s="177" t="s">
        <v>68</v>
      </c>
      <c r="G26" s="23"/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s">
        <v>68</v>
      </c>
      <c r="W26" s="69" t="s">
        <v>68</v>
      </c>
      <c r="Y26"/>
      <c r="Z26"/>
      <c r="AA26"/>
      <c r="AB26"/>
      <c r="AC26"/>
    </row>
    <row r="27" spans="1:30" s="67" customFormat="1" ht="18" customHeight="1">
      <c r="A27" s="60"/>
      <c r="B27" s="61">
        <v>14</v>
      </c>
      <c r="C27" s="21"/>
      <c r="D27" s="177" t="s">
        <v>68</v>
      </c>
      <c r="E27" s="21"/>
      <c r="F27" s="177" t="s">
        <v>68</v>
      </c>
      <c r="G27" s="23"/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s">
        <v>68</v>
      </c>
      <c r="W27" s="69" t="s">
        <v>68</v>
      </c>
      <c r="Y27"/>
      <c r="Z27"/>
      <c r="AA27"/>
      <c r="AB27"/>
      <c r="AC27"/>
    </row>
    <row r="28" spans="1:30" s="67" customFormat="1" ht="18" customHeight="1">
      <c r="A28" s="60"/>
      <c r="B28" s="61">
        <v>15</v>
      </c>
      <c r="C28" s="21"/>
      <c r="D28" s="177" t="s">
        <v>68</v>
      </c>
      <c r="E28" s="21"/>
      <c r="F28" s="177" t="s">
        <v>68</v>
      </c>
      <c r="G28" s="23"/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s">
        <v>68</v>
      </c>
      <c r="W28" s="69" t="s">
        <v>68</v>
      </c>
      <c r="Y28"/>
      <c r="Z28"/>
      <c r="AA28"/>
      <c r="AB28"/>
      <c r="AC28"/>
    </row>
    <row r="29" spans="1:30" s="67" customFormat="1" ht="18" customHeight="1">
      <c r="A29" s="60"/>
      <c r="B29" s="61">
        <v>16</v>
      </c>
      <c r="C29" s="21"/>
      <c r="D29" s="177" t="s">
        <v>68</v>
      </c>
      <c r="E29" s="21"/>
      <c r="F29" s="177" t="s">
        <v>68</v>
      </c>
      <c r="G29" s="23"/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s">
        <v>68</v>
      </c>
      <c r="W29" s="69" t="s">
        <v>68</v>
      </c>
      <c r="Y29"/>
      <c r="Z29"/>
      <c r="AA29"/>
      <c r="AB29"/>
      <c r="AC29"/>
    </row>
    <row r="30" spans="1:30" s="67" customFormat="1" ht="18" customHeight="1">
      <c r="A30" s="60"/>
      <c r="B30" s="61">
        <v>17</v>
      </c>
      <c r="C30" s="21"/>
      <c r="D30" s="177" t="s">
        <v>68</v>
      </c>
      <c r="E30" s="21"/>
      <c r="F30" s="177" t="s">
        <v>68</v>
      </c>
      <c r="G30" s="23"/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s">
        <v>68</v>
      </c>
      <c r="W30" s="69" t="s">
        <v>68</v>
      </c>
      <c r="Y30"/>
      <c r="Z30"/>
      <c r="AA30"/>
      <c r="AB30"/>
      <c r="AC30"/>
    </row>
    <row r="31" spans="1:30" s="67" customFormat="1" ht="18" customHeight="1">
      <c r="A31" s="60"/>
      <c r="B31" s="61">
        <v>18</v>
      </c>
      <c r="C31" s="21"/>
      <c r="D31" s="177" t="s">
        <v>68</v>
      </c>
      <c r="E31" s="21"/>
      <c r="F31" s="177" t="s">
        <v>68</v>
      </c>
      <c r="G31" s="23"/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s">
        <v>68</v>
      </c>
      <c r="W31" s="69" t="s">
        <v>68</v>
      </c>
      <c r="Y31"/>
      <c r="Z31"/>
      <c r="AA31"/>
      <c r="AB31"/>
      <c r="AC31"/>
    </row>
    <row r="32" spans="1:30" s="67" customFormat="1" ht="18" customHeight="1">
      <c r="A32" s="60"/>
      <c r="B32" s="61">
        <v>19</v>
      </c>
      <c r="C32" s="21"/>
      <c r="D32" s="177" t="s">
        <v>68</v>
      </c>
      <c r="E32" s="21"/>
      <c r="F32" s="177" t="s">
        <v>68</v>
      </c>
      <c r="G32" s="23"/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s">
        <v>68</v>
      </c>
      <c r="W32" s="69" t="s">
        <v>68</v>
      </c>
      <c r="Y32"/>
      <c r="Z32"/>
      <c r="AA32"/>
      <c r="AB32"/>
      <c r="AC32"/>
    </row>
    <row r="33" spans="1:29" s="67" customFormat="1" ht="18" customHeight="1">
      <c r="A33" s="60"/>
      <c r="B33" s="61">
        <v>20</v>
      </c>
      <c r="C33" s="21"/>
      <c r="D33" s="177" t="s">
        <v>68</v>
      </c>
      <c r="E33" s="21"/>
      <c r="F33" s="177" t="s">
        <v>68</v>
      </c>
      <c r="G33" s="23"/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s">
        <v>68</v>
      </c>
      <c r="W33" s="69" t="s">
        <v>68</v>
      </c>
      <c r="Y33"/>
      <c r="Z33"/>
      <c r="AA33"/>
      <c r="AB33"/>
      <c r="AC33"/>
    </row>
    <row r="34" spans="1:29" s="67" customFormat="1" ht="18" customHeight="1">
      <c r="A34" s="60"/>
      <c r="B34" s="61">
        <v>21</v>
      </c>
      <c r="C34" s="21"/>
      <c r="D34" s="177" t="s">
        <v>68</v>
      </c>
      <c r="E34" s="21"/>
      <c r="F34" s="177" t="s">
        <v>68</v>
      </c>
      <c r="G34" s="23"/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s">
        <v>68</v>
      </c>
      <c r="W34" s="69" t="s">
        <v>68</v>
      </c>
      <c r="Y34"/>
      <c r="Z34"/>
      <c r="AA34"/>
      <c r="AB34"/>
      <c r="AC34"/>
    </row>
    <row r="35" spans="1:29" s="67" customFormat="1" ht="18" customHeight="1">
      <c r="A35" s="60"/>
      <c r="B35" s="61">
        <v>22</v>
      </c>
      <c r="C35" s="21"/>
      <c r="D35" s="180" t="s">
        <v>68</v>
      </c>
      <c r="E35" s="21"/>
      <c r="F35" s="195" t="s">
        <v>68</v>
      </c>
      <c r="G35" s="23"/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s">
        <v>68</v>
      </c>
      <c r="W35" s="69" t="s">
        <v>68</v>
      </c>
      <c r="Y35"/>
      <c r="Z35"/>
      <c r="AA35"/>
      <c r="AB35"/>
      <c r="AC35"/>
    </row>
    <row r="36" spans="1:29" s="67" customFormat="1" ht="18" customHeight="1">
      <c r="A36" s="60"/>
      <c r="B36" s="61">
        <v>23</v>
      </c>
      <c r="C36" s="21"/>
      <c r="D36" s="180" t="s">
        <v>68</v>
      </c>
      <c r="E36" s="21"/>
      <c r="F36" s="195" t="s">
        <v>68</v>
      </c>
      <c r="G36" s="23"/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">
        <v>68</v>
      </c>
      <c r="W36" s="69" t="s">
        <v>68</v>
      </c>
      <c r="Y36"/>
      <c r="Z36"/>
      <c r="AA36"/>
      <c r="AB36"/>
      <c r="AC36"/>
    </row>
    <row r="37" spans="1:29" s="67" customFormat="1" ht="18" customHeight="1">
      <c r="A37" s="60"/>
      <c r="B37" s="61">
        <v>24</v>
      </c>
      <c r="C37" s="21"/>
      <c r="D37" s="180" t="s">
        <v>68</v>
      </c>
      <c r="E37" s="21"/>
      <c r="F37" s="195" t="s">
        <v>68</v>
      </c>
      <c r="G37" s="23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">
        <v>68</v>
      </c>
      <c r="W37" s="69" t="s">
        <v>68</v>
      </c>
      <c r="Y37"/>
      <c r="Z37"/>
      <c r="AA37"/>
      <c r="AB37"/>
      <c r="AC37"/>
    </row>
    <row r="38" spans="1:29" s="67" customFormat="1" ht="18" customHeight="1">
      <c r="A38" s="60"/>
      <c r="B38" s="61">
        <v>25</v>
      </c>
      <c r="C38" s="21"/>
      <c r="D38" s="180" t="s">
        <v>68</v>
      </c>
      <c r="E38" s="21"/>
      <c r="F38" s="195" t="s">
        <v>68</v>
      </c>
      <c r="G38" s="23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">
        <v>68</v>
      </c>
      <c r="W38" s="69" t="s">
        <v>68</v>
      </c>
      <c r="Y38"/>
      <c r="Z38"/>
      <c r="AA38"/>
      <c r="AB38"/>
      <c r="AC38"/>
    </row>
    <row r="39" spans="1:29" s="67" customFormat="1" ht="18" customHeight="1">
      <c r="A39" s="60"/>
      <c r="B39" s="61">
        <v>26</v>
      </c>
      <c r="C39" s="21"/>
      <c r="D39" s="180" t="s">
        <v>68</v>
      </c>
      <c r="E39" s="21"/>
      <c r="F39" s="195" t="s">
        <v>68</v>
      </c>
      <c r="G39" s="23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">
        <v>68</v>
      </c>
      <c r="W39" s="69" t="s">
        <v>68</v>
      </c>
      <c r="Y39"/>
      <c r="Z39"/>
      <c r="AA39"/>
      <c r="AB39"/>
      <c r="AC39"/>
    </row>
    <row r="40" spans="1:29" s="67" customFormat="1" ht="18" customHeight="1">
      <c r="A40" s="60"/>
      <c r="B40" s="61">
        <v>27</v>
      </c>
      <c r="C40" s="21"/>
      <c r="D40" s="180" t="s">
        <v>68</v>
      </c>
      <c r="E40" s="21"/>
      <c r="F40" s="195" t="s">
        <v>68</v>
      </c>
      <c r="G40" s="23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">
        <v>68</v>
      </c>
      <c r="W40" s="69" t="s">
        <v>68</v>
      </c>
      <c r="Y40"/>
      <c r="Z40"/>
      <c r="AA40"/>
      <c r="AB40"/>
      <c r="AC40"/>
    </row>
    <row r="41" spans="1:29" s="67" customFormat="1" ht="18" customHeight="1">
      <c r="A41" s="60"/>
      <c r="B41" s="61">
        <v>28</v>
      </c>
      <c r="C41" s="21"/>
      <c r="D41" s="180" t="s">
        <v>68</v>
      </c>
      <c r="E41" s="21"/>
      <c r="F41" s="195" t="s">
        <v>68</v>
      </c>
      <c r="G41" s="23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">
        <v>68</v>
      </c>
      <c r="W41" s="69" t="s">
        <v>68</v>
      </c>
      <c r="Y41"/>
      <c r="Z41"/>
      <c r="AA41"/>
      <c r="AB41"/>
      <c r="AC41"/>
    </row>
    <row r="42" spans="1:29" s="67" customFormat="1" ht="18" customHeight="1">
      <c r="A42" s="60"/>
      <c r="B42" s="61">
        <v>29</v>
      </c>
      <c r="C42" s="21"/>
      <c r="D42" s="180" t="s">
        <v>68</v>
      </c>
      <c r="E42" s="21"/>
      <c r="F42" s="195" t="s">
        <v>68</v>
      </c>
      <c r="G42" s="23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">
        <v>68</v>
      </c>
      <c r="W42" s="69" t="s">
        <v>68</v>
      </c>
      <c r="Y42"/>
      <c r="Z42"/>
      <c r="AA42"/>
      <c r="AB42"/>
      <c r="AC42"/>
    </row>
    <row r="43" spans="1:29" s="67" customFormat="1" ht="18" customHeight="1">
      <c r="A43" s="60"/>
      <c r="B43" s="61">
        <v>30</v>
      </c>
      <c r="C43" s="21"/>
      <c r="D43" s="180" t="s">
        <v>68</v>
      </c>
      <c r="E43" s="21"/>
      <c r="F43" s="195" t="s">
        <v>68</v>
      </c>
      <c r="G43" s="23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">
        <v>68</v>
      </c>
      <c r="W43" s="69" t="s">
        <v>68</v>
      </c>
      <c r="Y43"/>
      <c r="Z43"/>
      <c r="AA43"/>
      <c r="AB43"/>
      <c r="AC43"/>
    </row>
    <row r="44" spans="1:29" s="67" customFormat="1" ht="18" customHeight="1">
      <c r="A44" s="60"/>
      <c r="B44" s="61"/>
      <c r="C44" s="21"/>
      <c r="D44" s="180" t="s">
        <v>68</v>
      </c>
      <c r="E44" s="21"/>
      <c r="F44" s="195" t="s">
        <v>68</v>
      </c>
      <c r="G44" s="23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">
        <v>68</v>
      </c>
      <c r="W44" s="69" t="s">
        <v>68</v>
      </c>
      <c r="Y44"/>
      <c r="Z44"/>
      <c r="AA44"/>
      <c r="AB44"/>
      <c r="AC44"/>
    </row>
    <row r="45" spans="1:29" s="67" customFormat="1" ht="18" customHeight="1">
      <c r="A45" s="60"/>
      <c r="B45" s="61"/>
      <c r="C45" s="21"/>
      <c r="D45" s="180" t="s">
        <v>68</v>
      </c>
      <c r="E45" s="21"/>
      <c r="F45" s="195" t="s">
        <v>68</v>
      </c>
      <c r="G45" s="23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">
        <v>68</v>
      </c>
      <c r="W45" s="69" t="s">
        <v>68</v>
      </c>
      <c r="Y45"/>
      <c r="Z45"/>
      <c r="AA45"/>
      <c r="AB45"/>
      <c r="AC45"/>
    </row>
    <row r="46" spans="1:29" s="67" customFormat="1" ht="18" customHeight="1">
      <c r="A46" s="60"/>
      <c r="B46" s="61"/>
      <c r="C46" s="21"/>
      <c r="D46" s="180" t="s">
        <v>68</v>
      </c>
      <c r="E46" s="21"/>
      <c r="F46" s="195" t="s">
        <v>68</v>
      </c>
      <c r="G46" s="23"/>
      <c r="H46" s="22"/>
      <c r="I46" s="22"/>
      <c r="J46" s="62" t="str">
        <f t="shared" ref="J46:J73" si="4">IF(H46="","",H46+I46)</f>
        <v/>
      </c>
      <c r="K46" s="63"/>
      <c r="L46" s="63"/>
      <c r="M46" s="64" t="str">
        <f t="shared" ref="M46:M73" si="5">IF(L46="","",K46+L46)</f>
        <v/>
      </c>
      <c r="N46" s="22"/>
      <c r="O46" s="22"/>
      <c r="P46" s="62" t="str">
        <f t="shared" ref="P46:P73" si="6">IF(N46="","",N46+O46)</f>
        <v/>
      </c>
      <c r="Q46" s="63"/>
      <c r="R46" s="63"/>
      <c r="S46" s="64" t="str">
        <f t="shared" ref="S46:S73" si="7">IF(R46="","",Q46+R46)</f>
        <v/>
      </c>
      <c r="T46" s="65"/>
      <c r="U46" s="66"/>
      <c r="V46" s="18" t="s">
        <v>68</v>
      </c>
      <c r="W46" s="69" t="s">
        <v>68</v>
      </c>
      <c r="Y46"/>
      <c r="Z46"/>
      <c r="AA46"/>
      <c r="AB46"/>
      <c r="AC46"/>
    </row>
    <row r="47" spans="1:29" s="67" customFormat="1" ht="18" customHeight="1">
      <c r="A47" s="60"/>
      <c r="B47" s="61"/>
      <c r="C47" s="21"/>
      <c r="D47" s="180" t="s">
        <v>68</v>
      </c>
      <c r="E47" s="21"/>
      <c r="F47" s="195" t="s">
        <v>68</v>
      </c>
      <c r="G47" s="23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">
        <v>68</v>
      </c>
      <c r="W47" s="69" t="s">
        <v>68</v>
      </c>
      <c r="Y47"/>
      <c r="Z47"/>
      <c r="AA47"/>
      <c r="AB47"/>
      <c r="AC47"/>
    </row>
    <row r="48" spans="1:29" s="67" customFormat="1" ht="18" customHeight="1">
      <c r="A48" s="60"/>
      <c r="B48" s="61"/>
      <c r="C48" s="21"/>
      <c r="D48" s="180" t="s">
        <v>68</v>
      </c>
      <c r="E48" s="21"/>
      <c r="F48" s="195" t="s">
        <v>68</v>
      </c>
      <c r="G48" s="23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">
        <v>68</v>
      </c>
      <c r="W48" s="69" t="s">
        <v>68</v>
      </c>
      <c r="Y48"/>
      <c r="Z48"/>
      <c r="AA48"/>
      <c r="AB48"/>
      <c r="AC48"/>
    </row>
    <row r="49" spans="1:29" s="67" customFormat="1" ht="18" customHeight="1">
      <c r="A49" s="60"/>
      <c r="B49" s="61"/>
      <c r="C49" s="21"/>
      <c r="D49" s="180" t="s">
        <v>68</v>
      </c>
      <c r="E49" s="21"/>
      <c r="F49" s="195" t="s">
        <v>68</v>
      </c>
      <c r="G49" s="23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">
        <v>68</v>
      </c>
      <c r="W49" s="69" t="s">
        <v>68</v>
      </c>
      <c r="Y49"/>
      <c r="Z49"/>
      <c r="AA49"/>
      <c r="AB49"/>
      <c r="AC49"/>
    </row>
    <row r="50" spans="1:29" s="67" customFormat="1" ht="18" customHeight="1">
      <c r="A50" s="60"/>
      <c r="B50" s="61"/>
      <c r="C50" s="21"/>
      <c r="D50" s="180" t="s">
        <v>68</v>
      </c>
      <c r="E50" s="21"/>
      <c r="F50" s="195" t="s">
        <v>68</v>
      </c>
      <c r="G50" s="23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">
        <v>68</v>
      </c>
      <c r="W50" s="69" t="s">
        <v>68</v>
      </c>
      <c r="Y50"/>
      <c r="Z50"/>
      <c r="AA50"/>
      <c r="AB50"/>
      <c r="AC50"/>
    </row>
    <row r="51" spans="1:29" s="67" customFormat="1" ht="18" customHeight="1">
      <c r="A51" s="60"/>
      <c r="B51" s="61"/>
      <c r="C51" s="21"/>
      <c r="D51" s="180" t="s">
        <v>68</v>
      </c>
      <c r="E51" s="21"/>
      <c r="F51" s="195" t="s">
        <v>68</v>
      </c>
      <c r="G51" s="23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">
        <v>68</v>
      </c>
      <c r="W51" s="69" t="s">
        <v>68</v>
      </c>
      <c r="Y51"/>
      <c r="Z51"/>
      <c r="AA51"/>
      <c r="AB51"/>
      <c r="AC51"/>
    </row>
    <row r="52" spans="1:29" s="67" customFormat="1" ht="18" customHeight="1">
      <c r="A52" s="60"/>
      <c r="B52" s="61"/>
      <c r="C52" s="21"/>
      <c r="D52" s="180" t="s">
        <v>68</v>
      </c>
      <c r="E52" s="21"/>
      <c r="F52" s="195" t="s">
        <v>68</v>
      </c>
      <c r="G52" s="23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">
        <v>68</v>
      </c>
      <c r="W52" s="69" t="s">
        <v>68</v>
      </c>
      <c r="Y52"/>
      <c r="Z52"/>
      <c r="AA52"/>
      <c r="AB52"/>
      <c r="AC52"/>
    </row>
    <row r="53" spans="1:29" s="67" customFormat="1" ht="18" customHeight="1">
      <c r="A53" s="60"/>
      <c r="B53" s="61"/>
      <c r="C53" s="21"/>
      <c r="D53" s="180" t="s">
        <v>68</v>
      </c>
      <c r="E53" s="21"/>
      <c r="F53" s="195" t="s">
        <v>68</v>
      </c>
      <c r="G53" s="23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">
        <v>68</v>
      </c>
      <c r="W53" s="69" t="s">
        <v>68</v>
      </c>
      <c r="Y53"/>
      <c r="Z53"/>
      <c r="AA53"/>
      <c r="AB53"/>
      <c r="AC53"/>
    </row>
    <row r="54" spans="1:29" s="67" customFormat="1" ht="18" customHeight="1">
      <c r="A54" s="60"/>
      <c r="B54" s="61"/>
      <c r="C54" s="21"/>
      <c r="D54" s="180" t="s">
        <v>68</v>
      </c>
      <c r="E54" s="21"/>
      <c r="F54" s="195" t="s">
        <v>68</v>
      </c>
      <c r="G54" s="23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">
        <v>68</v>
      </c>
      <c r="W54" s="69" t="s">
        <v>68</v>
      </c>
      <c r="Y54"/>
      <c r="Z54"/>
      <c r="AA54"/>
      <c r="AB54"/>
      <c r="AC54"/>
    </row>
    <row r="55" spans="1:29" s="67" customFormat="1" ht="18" customHeight="1">
      <c r="A55" s="60"/>
      <c r="B55" s="61"/>
      <c r="C55" s="21"/>
      <c r="D55" s="180" t="s">
        <v>68</v>
      </c>
      <c r="E55" s="21"/>
      <c r="F55" s="195" t="s">
        <v>68</v>
      </c>
      <c r="G55" s="23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">
        <v>68</v>
      </c>
      <c r="W55" s="69" t="s">
        <v>68</v>
      </c>
      <c r="Y55"/>
      <c r="Z55"/>
      <c r="AA55"/>
      <c r="AB55"/>
      <c r="AC55"/>
    </row>
    <row r="56" spans="1:29" s="67" customFormat="1" ht="18" customHeight="1">
      <c r="A56" s="60"/>
      <c r="B56" s="61"/>
      <c r="C56" s="21"/>
      <c r="D56" s="180" t="s">
        <v>68</v>
      </c>
      <c r="E56" s="21"/>
      <c r="F56" s="195" t="s">
        <v>68</v>
      </c>
      <c r="G56" s="23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">
        <v>68</v>
      </c>
      <c r="W56" s="69" t="s">
        <v>68</v>
      </c>
      <c r="Y56"/>
      <c r="Z56"/>
      <c r="AA56"/>
      <c r="AB56"/>
      <c r="AC56"/>
    </row>
    <row r="57" spans="1:29" s="67" customFormat="1" ht="18" customHeight="1">
      <c r="A57" s="60"/>
      <c r="B57" s="61"/>
      <c r="C57" s="21"/>
      <c r="D57" s="180" t="s">
        <v>68</v>
      </c>
      <c r="E57" s="21"/>
      <c r="F57" s="195" t="s">
        <v>68</v>
      </c>
      <c r="G57" s="23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">
        <v>68</v>
      </c>
      <c r="W57" s="69" t="s">
        <v>68</v>
      </c>
      <c r="Y57"/>
      <c r="Z57"/>
      <c r="AA57"/>
      <c r="AB57"/>
      <c r="AC57"/>
    </row>
    <row r="58" spans="1:29" s="67" customFormat="1" ht="18" customHeight="1">
      <c r="A58" s="60"/>
      <c r="B58" s="61"/>
      <c r="C58" s="21"/>
      <c r="D58" s="180" t="s">
        <v>68</v>
      </c>
      <c r="E58" s="21"/>
      <c r="F58" s="195" t="s">
        <v>68</v>
      </c>
      <c r="G58" s="23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">
        <v>68</v>
      </c>
      <c r="W58" s="69" t="s">
        <v>68</v>
      </c>
      <c r="Y58"/>
      <c r="Z58"/>
      <c r="AA58"/>
      <c r="AB58"/>
      <c r="AC58"/>
    </row>
    <row r="59" spans="1:29" s="67" customFormat="1" ht="18" customHeight="1">
      <c r="A59" s="60"/>
      <c r="B59" s="61"/>
      <c r="C59" s="21"/>
      <c r="D59" s="180" t="s">
        <v>68</v>
      </c>
      <c r="E59" s="21"/>
      <c r="F59" s="195" t="s">
        <v>68</v>
      </c>
      <c r="G59" s="23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">
        <v>68</v>
      </c>
      <c r="W59" s="69" t="s">
        <v>68</v>
      </c>
      <c r="Y59"/>
      <c r="Z59"/>
      <c r="AA59"/>
      <c r="AB59"/>
      <c r="AC59"/>
    </row>
    <row r="60" spans="1:29" s="67" customFormat="1" ht="18" customHeight="1">
      <c r="A60" s="60"/>
      <c r="B60" s="61"/>
      <c r="C60" s="21"/>
      <c r="D60" s="180" t="s">
        <v>68</v>
      </c>
      <c r="E60" s="21"/>
      <c r="F60" s="195" t="s">
        <v>68</v>
      </c>
      <c r="G60" s="23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">
        <v>68</v>
      </c>
      <c r="W60" s="69" t="s">
        <v>68</v>
      </c>
      <c r="Y60"/>
      <c r="Z60"/>
      <c r="AA60"/>
      <c r="AB60"/>
      <c r="AC60"/>
    </row>
    <row r="61" spans="1:29" s="67" customFormat="1" ht="18" customHeight="1">
      <c r="A61" s="60"/>
      <c r="B61" s="61"/>
      <c r="C61" s="21"/>
      <c r="D61" s="180" t="s">
        <v>68</v>
      </c>
      <c r="E61" s="21"/>
      <c r="F61" s="195" t="s">
        <v>68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">
        <v>68</v>
      </c>
      <c r="W61" s="69" t="s">
        <v>68</v>
      </c>
      <c r="Y61"/>
      <c r="Z61"/>
      <c r="AA61"/>
      <c r="AB61"/>
      <c r="AC61"/>
    </row>
    <row r="62" spans="1:29" s="67" customFormat="1" ht="18" customHeight="1">
      <c r="A62" s="60"/>
      <c r="B62" s="61"/>
      <c r="C62" s="21"/>
      <c r="D62" s="180" t="s">
        <v>68</v>
      </c>
      <c r="E62" s="21"/>
      <c r="F62" s="195" t="s">
        <v>68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">
        <v>68</v>
      </c>
      <c r="W62" s="69" t="s">
        <v>68</v>
      </c>
      <c r="Y62"/>
      <c r="Z62"/>
      <c r="AA62"/>
      <c r="AB62"/>
      <c r="AC62"/>
    </row>
    <row r="63" spans="1:29" s="67" customFormat="1" ht="18" customHeight="1">
      <c r="A63" s="60"/>
      <c r="B63" s="61"/>
      <c r="C63" s="21"/>
      <c r="D63" s="180" t="s">
        <v>68</v>
      </c>
      <c r="E63" s="21"/>
      <c r="F63" s="195" t="s">
        <v>68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">
        <v>68</v>
      </c>
      <c r="W63" s="69" t="s">
        <v>68</v>
      </c>
      <c r="Y63"/>
      <c r="Z63"/>
      <c r="AA63"/>
      <c r="AB63"/>
      <c r="AC63"/>
    </row>
    <row r="64" spans="1:29" s="67" customFormat="1" ht="18" customHeight="1">
      <c r="A64" s="60"/>
      <c r="B64" s="61"/>
      <c r="C64" s="21"/>
      <c r="D64" s="180" t="s">
        <v>68</v>
      </c>
      <c r="E64" s="21"/>
      <c r="F64" s="195" t="s">
        <v>68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">
        <v>68</v>
      </c>
      <c r="W64" s="69" t="s">
        <v>68</v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180" t="s">
        <v>68</v>
      </c>
      <c r="E65" s="21"/>
      <c r="F65" s="195" t="s">
        <v>68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">
        <v>68</v>
      </c>
      <c r="W65" s="69" t="s">
        <v>68</v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180" t="s">
        <v>68</v>
      </c>
      <c r="E66" s="21"/>
      <c r="F66" s="195" t="s">
        <v>68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">
        <v>68</v>
      </c>
      <c r="W66" s="69" t="s">
        <v>68</v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180" t="s">
        <v>68</v>
      </c>
      <c r="E67" s="21"/>
      <c r="F67" s="195" t="s">
        <v>68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">
        <v>68</v>
      </c>
      <c r="W67" s="69" t="s">
        <v>68</v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180" t="s">
        <v>68</v>
      </c>
      <c r="E68" s="21"/>
      <c r="F68" s="195" t="s">
        <v>68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">
        <v>68</v>
      </c>
      <c r="W68" s="69" t="s">
        <v>68</v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180" t="s">
        <v>68</v>
      </c>
      <c r="E69" s="21"/>
      <c r="F69" s="195" t="s">
        <v>68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">
        <v>68</v>
      </c>
      <c r="W69" s="69" t="s">
        <v>68</v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180" t="s">
        <v>68</v>
      </c>
      <c r="E70" s="21"/>
      <c r="F70" s="195" t="s">
        <v>68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">
        <v>68</v>
      </c>
      <c r="W70" s="69" t="s">
        <v>68</v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180" t="s">
        <v>68</v>
      </c>
      <c r="E71" s="21"/>
      <c r="F71" s="195" t="s">
        <v>68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">
        <v>68</v>
      </c>
      <c r="W71" s="69" t="s">
        <v>68</v>
      </c>
      <c r="Y71"/>
      <c r="Z71"/>
      <c r="AA71"/>
      <c r="AB71"/>
      <c r="AC71"/>
    </row>
    <row r="72" spans="1:29" s="67" customFormat="1" ht="18" customHeight="1">
      <c r="A72" s="60"/>
      <c r="B72" s="61"/>
      <c r="C72" s="21"/>
      <c r="D72" s="180" t="s">
        <v>68</v>
      </c>
      <c r="E72" s="21"/>
      <c r="F72" s="195" t="s">
        <v>68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">
        <v>68</v>
      </c>
      <c r="W72" s="69" t="s">
        <v>68</v>
      </c>
      <c r="Y72"/>
      <c r="Z72"/>
      <c r="AA72"/>
      <c r="AB72"/>
      <c r="AC72"/>
    </row>
    <row r="73" spans="1:29" s="67" customFormat="1" ht="18" customHeight="1">
      <c r="A73" s="60"/>
      <c r="B73" s="61"/>
      <c r="C73" s="21"/>
      <c r="D73" s="180" t="s">
        <v>68</v>
      </c>
      <c r="E73" s="21"/>
      <c r="F73" s="195" t="s">
        <v>68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">
        <v>68</v>
      </c>
      <c r="W73" s="69" t="s">
        <v>68</v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T13" xr:uid="{00000000-0001-0000-1300-000000000000}">
    <sortState xmlns:xlrd2="http://schemas.microsoft.com/office/spreadsheetml/2017/richdata2" ref="A14:T73">
      <sortCondition ref="B13"/>
    </sortState>
  </autoFilter>
  <sortState xmlns:xlrd2="http://schemas.microsoft.com/office/spreadsheetml/2017/richdata2" ref="A14:AD18">
    <sortCondition ref="B14:B18"/>
  </sortState>
  <phoneticPr fontId="7"/>
  <conditionalFormatting sqref="V14:V73">
    <cfRule type="cellIs" dxfId="11" priority="4" stopIfTrue="1" operator="notBetween">
      <formula>"A"</formula>
      <formula>"Ｂ"</formula>
    </cfRule>
  </conditionalFormatting>
  <conditionalFormatting sqref="W14:W73">
    <cfRule type="cellIs" dxfId="10" priority="3" stopIfTrue="1" operator="between">
      <formula>"-"</formula>
      <formula>"申請中"</formula>
    </cfRule>
  </conditionalFormatting>
  <conditionalFormatting sqref="Y14:Z73">
    <cfRule type="expression" dxfId="9" priority="2">
      <formula>Y14&lt;&gt;C14</formula>
    </cfRule>
  </conditionalFormatting>
  <conditionalFormatting sqref="AB14:AC73">
    <cfRule type="expression" dxfId="8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GetJEFInfo">
                <anchor moveWithCells="1" sizeWithCells="1">
                  <from>
                    <xdr:col>25</xdr:col>
                    <xdr:colOff>213360</xdr:colOff>
                    <xdr:row>5</xdr:row>
                    <xdr:rowOff>327660</xdr:rowOff>
                  </from>
                  <to>
                    <xdr:col>28</xdr:col>
                    <xdr:colOff>365760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tabColor rgb="FFFFC000"/>
  </sheetPr>
  <dimension ref="A1:AD201"/>
  <sheetViews>
    <sheetView zoomScaleNormal="100" workbookViewId="0">
      <selection activeCell="D31" sqref="D31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30" s="25" customFormat="1" ht="18" customHeight="1">
      <c r="B2" s="26" t="s">
        <v>1</v>
      </c>
      <c r="C2" s="27"/>
      <c r="E2" s="26" t="s">
        <v>2</v>
      </c>
      <c r="F2" s="30"/>
      <c r="G2" s="132">
        <v>46276</v>
      </c>
      <c r="L2" s="28"/>
      <c r="N2" s="26" t="s">
        <v>3</v>
      </c>
      <c r="O2" s="29"/>
      <c r="P2" s="30"/>
      <c r="Q2" s="30"/>
      <c r="R2" s="30"/>
      <c r="S2" s="30"/>
      <c r="T2" s="30"/>
    </row>
    <row r="3" spans="1:30" s="25" customFormat="1" ht="18" customHeight="1">
      <c r="A3" s="31"/>
      <c r="B3" s="26" t="s">
        <v>4</v>
      </c>
      <c r="C3" s="120" t="s">
        <v>516</v>
      </c>
      <c r="D3" s="121"/>
      <c r="E3" s="121"/>
      <c r="F3" s="121"/>
      <c r="G3" s="121"/>
      <c r="Q3" s="26" t="s">
        <v>5</v>
      </c>
      <c r="R3" s="29"/>
      <c r="S3" s="30"/>
      <c r="T3" s="30"/>
      <c r="U3" s="32"/>
    </row>
    <row r="4" spans="1:30" s="25" customFormat="1" ht="18" customHeight="1">
      <c r="B4" s="26" t="s">
        <v>6</v>
      </c>
      <c r="C4" s="33">
        <v>9</v>
      </c>
      <c r="D4" s="25" t="s">
        <v>7</v>
      </c>
      <c r="E4" s="26" t="s">
        <v>8</v>
      </c>
      <c r="F4" s="191" t="s">
        <v>80</v>
      </c>
      <c r="G4" s="30"/>
      <c r="H4" s="30"/>
      <c r="J4" s="26" t="s">
        <v>9</v>
      </c>
      <c r="K4" s="34" t="s">
        <v>75</v>
      </c>
      <c r="N4" s="26" t="s">
        <v>10</v>
      </c>
      <c r="O4" s="35"/>
    </row>
    <row r="5" spans="1:30" s="25" customFormat="1" ht="18" customHeight="1">
      <c r="C5" s="26" t="s">
        <v>11</v>
      </c>
      <c r="D5" s="27">
        <v>3</v>
      </c>
      <c r="E5" s="26" t="s">
        <v>12</v>
      </c>
      <c r="F5" s="29" t="s">
        <v>517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</row>
    <row r="6" spans="1:30" s="25" customFormat="1" ht="35.1" customHeight="1">
      <c r="C6" s="40" t="s">
        <v>18</v>
      </c>
      <c r="D6" s="175" t="s">
        <v>39</v>
      </c>
      <c r="E6" s="26" t="s">
        <v>19</v>
      </c>
      <c r="F6" s="181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</row>
    <row r="7" spans="1:30" s="25" customFormat="1" ht="15" customHeight="1">
      <c r="A7" s="26" t="s">
        <v>62</v>
      </c>
      <c r="B7" s="73" t="s">
        <v>0</v>
      </c>
      <c r="C7" s="76"/>
      <c r="D7" s="26" t="s">
        <v>63</v>
      </c>
      <c r="E7" s="74"/>
      <c r="F7" s="32"/>
      <c r="I7" s="26"/>
      <c r="J7" s="37"/>
      <c r="K7" s="32"/>
      <c r="L7" s="26"/>
      <c r="M7" s="32"/>
      <c r="N7" s="26"/>
      <c r="O7" s="42"/>
      <c r="Q7" s="26"/>
      <c r="R7" s="43"/>
    </row>
    <row r="8" spans="1:30" s="25" customFormat="1" ht="15" customHeight="1">
      <c r="A8" s="26" t="s">
        <v>64</v>
      </c>
      <c r="B8" s="73" t="s">
        <v>0</v>
      </c>
      <c r="C8" s="72"/>
      <c r="D8" s="26" t="s">
        <v>63</v>
      </c>
      <c r="E8" s="75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</row>
    <row r="9" spans="1:30" s="25" customFormat="1" ht="15" customHeight="1">
      <c r="A9" s="26" t="s">
        <v>65</v>
      </c>
      <c r="B9" s="73" t="s">
        <v>0</v>
      </c>
      <c r="C9" s="72"/>
      <c r="D9" s="26" t="s">
        <v>63</v>
      </c>
      <c r="E9" s="75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</row>
    <row r="10" spans="1:30" s="25" customFormat="1" ht="15" customHeight="1">
      <c r="A10" s="26" t="s">
        <v>66</v>
      </c>
      <c r="B10" s="73" t="s">
        <v>0</v>
      </c>
      <c r="C10" s="72"/>
      <c r="D10" s="26" t="s">
        <v>63</v>
      </c>
      <c r="E10" s="75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</row>
    <row r="11" spans="1:30" s="25" customFormat="1" ht="15" customHeight="1">
      <c r="A11" s="26" t="s">
        <v>67</v>
      </c>
      <c r="B11" s="73" t="s">
        <v>0</v>
      </c>
      <c r="C11" s="72"/>
      <c r="D11" s="26" t="s">
        <v>63</v>
      </c>
      <c r="E11" s="75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V11" s="25">
        <f>COUNTA(C14:C73)</f>
        <v>18</v>
      </c>
      <c r="W11" s="25">
        <f>COUNTA(E14:E73)</f>
        <v>18</v>
      </c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50</v>
      </c>
      <c r="W12" s="15" t="s">
        <v>51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176" t="s">
        <v>0</v>
      </c>
      <c r="E13" s="53" t="s">
        <v>27</v>
      </c>
      <c r="F13" s="176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56</v>
      </c>
      <c r="W13" s="15" t="s">
        <v>57</v>
      </c>
    </row>
    <row r="14" spans="1:30" s="67" customFormat="1" ht="18" customHeight="1">
      <c r="A14" s="60"/>
      <c r="B14" s="61">
        <v>1</v>
      </c>
      <c r="C14" s="80" t="s">
        <v>461</v>
      </c>
      <c r="D14" s="187">
        <v>7270</v>
      </c>
      <c r="E14" s="90" t="s">
        <v>686</v>
      </c>
      <c r="F14" s="186">
        <v>62036</v>
      </c>
      <c r="G14" s="87" t="s">
        <v>722</v>
      </c>
      <c r="H14" s="22"/>
      <c r="I14" s="22"/>
      <c r="J14" s="62" t="str">
        <f t="shared" ref="J14:J45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e">
        <v>#N/A</v>
      </c>
      <c r="W14" s="69" t="e">
        <v>#N/A</v>
      </c>
      <c r="Y14" t="s">
        <v>461</v>
      </c>
      <c r="Z14">
        <v>7270</v>
      </c>
      <c r="AA14" t="s">
        <v>460</v>
      </c>
      <c r="AB14" t="s">
        <v>168</v>
      </c>
      <c r="AC14">
        <v>59342</v>
      </c>
      <c r="AD14" s="67" t="s">
        <v>485</v>
      </c>
    </row>
    <row r="15" spans="1:30" s="67" customFormat="1" ht="18" customHeight="1">
      <c r="A15" s="60"/>
      <c r="B15" s="61">
        <v>2</v>
      </c>
      <c r="C15" s="84" t="s">
        <v>610</v>
      </c>
      <c r="D15" s="185">
        <v>14718</v>
      </c>
      <c r="E15" s="119" t="s">
        <v>611</v>
      </c>
      <c r="F15" s="194">
        <v>60096</v>
      </c>
      <c r="G15" s="122" t="s">
        <v>612</v>
      </c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v>#N/A</v>
      </c>
      <c r="W15" s="69" t="e">
        <v>#N/A</v>
      </c>
      <c r="Y15" t="s">
        <v>457</v>
      </c>
      <c r="Z15">
        <v>22328</v>
      </c>
      <c r="AA15" t="s">
        <v>456</v>
      </c>
      <c r="AB15" t="s">
        <v>203</v>
      </c>
      <c r="AC15">
        <v>59502</v>
      </c>
      <c r="AD15" s="67" t="s">
        <v>480</v>
      </c>
    </row>
    <row r="16" spans="1:30" s="67" customFormat="1" ht="18" customHeight="1">
      <c r="A16" s="60"/>
      <c r="B16" s="61">
        <v>3</v>
      </c>
      <c r="C16" s="80" t="s">
        <v>441</v>
      </c>
      <c r="D16" s="187">
        <v>1384</v>
      </c>
      <c r="E16" s="92" t="s">
        <v>555</v>
      </c>
      <c r="F16" s="193">
        <v>61343</v>
      </c>
      <c r="G16" s="122" t="s">
        <v>554</v>
      </c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e">
        <v>#N/A</v>
      </c>
      <c r="W16" s="69" t="e">
        <v>#N/A</v>
      </c>
      <c r="Y16" t="s">
        <v>329</v>
      </c>
      <c r="Z16">
        <v>23892</v>
      </c>
      <c r="AA16" t="s">
        <v>328</v>
      </c>
      <c r="AB16" t="s">
        <v>120</v>
      </c>
      <c r="AC16">
        <v>60299</v>
      </c>
      <c r="AD16" s="67" t="s">
        <v>474</v>
      </c>
    </row>
    <row r="17" spans="1:30" s="67" customFormat="1" ht="18" customHeight="1">
      <c r="A17" s="60"/>
      <c r="B17" s="61">
        <v>4</v>
      </c>
      <c r="C17" s="80" t="s">
        <v>184</v>
      </c>
      <c r="D17" s="187">
        <v>23529</v>
      </c>
      <c r="E17" s="91" t="s">
        <v>185</v>
      </c>
      <c r="F17" s="193">
        <v>60111</v>
      </c>
      <c r="G17" s="92" t="s">
        <v>538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v>#N/A</v>
      </c>
      <c r="W17" s="69" t="e">
        <v>#N/A</v>
      </c>
      <c r="Y17" t="s">
        <v>441</v>
      </c>
      <c r="Z17">
        <v>1384</v>
      </c>
      <c r="AA17" t="s">
        <v>440</v>
      </c>
      <c r="AB17"/>
      <c r="AC17"/>
    </row>
    <row r="18" spans="1:30" s="67" customFormat="1" ht="18" customHeight="1">
      <c r="A18" s="60"/>
      <c r="B18" s="61">
        <v>5</v>
      </c>
      <c r="C18" s="21" t="s">
        <v>723</v>
      </c>
      <c r="D18" s="190">
        <v>15169</v>
      </c>
      <c r="E18" s="119" t="s">
        <v>599</v>
      </c>
      <c r="F18" s="194">
        <v>61438</v>
      </c>
      <c r="G18" s="122" t="s">
        <v>600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e">
        <v>#N/A</v>
      </c>
      <c r="W18" s="69" t="e">
        <v>#N/A</v>
      </c>
      <c r="Y18" t="s">
        <v>437</v>
      </c>
      <c r="Z18">
        <v>24341</v>
      </c>
      <c r="AA18" t="s">
        <v>436</v>
      </c>
      <c r="AB18"/>
      <c r="AC18"/>
    </row>
    <row r="19" spans="1:30" s="67" customFormat="1" ht="18" customHeight="1">
      <c r="A19" s="60"/>
      <c r="B19" s="61">
        <v>6</v>
      </c>
      <c r="C19" s="233" t="s">
        <v>724</v>
      </c>
      <c r="D19" s="190">
        <v>28066</v>
      </c>
      <c r="E19" s="231" t="s">
        <v>562</v>
      </c>
      <c r="F19" s="194">
        <v>59979</v>
      </c>
      <c r="G19" s="232" t="s">
        <v>554</v>
      </c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v>#N/A</v>
      </c>
      <c r="W19" s="69" t="e">
        <v>#REF!</v>
      </c>
      <c r="Y19" t="s">
        <v>455</v>
      </c>
      <c r="Z19">
        <v>21152</v>
      </c>
      <c r="AA19" t="s">
        <v>454</v>
      </c>
      <c r="AB19" t="s">
        <v>105</v>
      </c>
      <c r="AC19">
        <v>59548</v>
      </c>
      <c r="AD19" s="67" t="s">
        <v>479</v>
      </c>
    </row>
    <row r="20" spans="1:30" s="67" customFormat="1" ht="18" customHeight="1">
      <c r="A20" s="60"/>
      <c r="B20" s="61">
        <v>7</v>
      </c>
      <c r="C20" s="84" t="s">
        <v>350</v>
      </c>
      <c r="D20" s="189">
        <v>31292</v>
      </c>
      <c r="E20" s="118" t="s">
        <v>108</v>
      </c>
      <c r="F20" s="189">
        <v>60391</v>
      </c>
      <c r="G20" s="89" t="s">
        <v>604</v>
      </c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v>#N/A</v>
      </c>
      <c r="W20" s="69" t="e">
        <v>#N/A</v>
      </c>
      <c r="Y20" t="s">
        <v>350</v>
      </c>
      <c r="Z20">
        <v>31292</v>
      </c>
      <c r="AA20" t="s">
        <v>349</v>
      </c>
      <c r="AB20" t="s">
        <v>108</v>
      </c>
      <c r="AC20">
        <v>60391</v>
      </c>
      <c r="AD20" s="67" t="s">
        <v>483</v>
      </c>
    </row>
    <row r="21" spans="1:30" s="67" customFormat="1" ht="18" customHeight="1">
      <c r="A21" s="60"/>
      <c r="B21" s="61">
        <v>8</v>
      </c>
      <c r="C21" s="21" t="s">
        <v>461</v>
      </c>
      <c r="D21" s="183">
        <v>7270</v>
      </c>
      <c r="E21" s="119" t="s">
        <v>522</v>
      </c>
      <c r="F21" s="183">
        <v>61511</v>
      </c>
      <c r="G21" s="89" t="s">
        <v>519</v>
      </c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e">
        <v>#N/A</v>
      </c>
      <c r="W21" s="69" t="e">
        <v>#N/A</v>
      </c>
      <c r="Y21" t="s">
        <v>453</v>
      </c>
      <c r="Z21">
        <v>20507</v>
      </c>
      <c r="AA21" t="s">
        <v>452</v>
      </c>
      <c r="AB21" t="s">
        <v>195</v>
      </c>
      <c r="AC21">
        <v>58648</v>
      </c>
      <c r="AD21" s="67" t="s">
        <v>478</v>
      </c>
    </row>
    <row r="22" spans="1:30" s="67" customFormat="1" ht="18" customHeight="1">
      <c r="A22" s="60"/>
      <c r="B22" s="61">
        <v>9</v>
      </c>
      <c r="C22" s="21" t="s">
        <v>325</v>
      </c>
      <c r="D22" s="190">
        <v>18386</v>
      </c>
      <c r="E22" s="119" t="s">
        <v>648</v>
      </c>
      <c r="F22" s="194">
        <v>60264</v>
      </c>
      <c r="G22" s="122" t="s">
        <v>649</v>
      </c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e">
        <v>#N/A</v>
      </c>
      <c r="W22" s="69" t="e">
        <v>#N/A</v>
      </c>
      <c r="Y22" t="s">
        <v>447</v>
      </c>
      <c r="Z22">
        <v>28000</v>
      </c>
      <c r="AA22" t="s">
        <v>446</v>
      </c>
      <c r="AB22" t="s">
        <v>196</v>
      </c>
      <c r="AC22">
        <v>59567</v>
      </c>
      <c r="AD22" s="67" t="s">
        <v>471</v>
      </c>
    </row>
    <row r="23" spans="1:30" s="67" customFormat="1" ht="18" customHeight="1">
      <c r="A23" s="60"/>
      <c r="B23" s="61">
        <v>10</v>
      </c>
      <c r="C23" s="80" t="s">
        <v>160</v>
      </c>
      <c r="D23" s="187">
        <v>19572</v>
      </c>
      <c r="E23" s="102" t="s">
        <v>161</v>
      </c>
      <c r="F23" s="207">
        <v>59650</v>
      </c>
      <c r="G23" s="114" t="s">
        <v>595</v>
      </c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s">
        <v>233</v>
      </c>
      <c r="W23" s="69" t="e">
        <v>#N/A</v>
      </c>
      <c r="Y23" t="s">
        <v>403</v>
      </c>
      <c r="Z23">
        <v>27610</v>
      </c>
      <c r="AA23" t="s">
        <v>402</v>
      </c>
      <c r="AB23" t="s">
        <v>188</v>
      </c>
      <c r="AC23">
        <v>60068</v>
      </c>
      <c r="AD23" s="67" t="s">
        <v>484</v>
      </c>
    </row>
    <row r="24" spans="1:30" s="67" customFormat="1" ht="18" customHeight="1">
      <c r="A24" s="60"/>
      <c r="B24" s="61">
        <v>11</v>
      </c>
      <c r="C24" s="21" t="s">
        <v>725</v>
      </c>
      <c r="D24" s="183">
        <v>29957</v>
      </c>
      <c r="E24" s="119" t="s">
        <v>553</v>
      </c>
      <c r="F24" s="183">
        <v>61353</v>
      </c>
      <c r="G24" s="89" t="s">
        <v>554</v>
      </c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e">
        <v>#N/A</v>
      </c>
      <c r="W24" s="69" t="e">
        <v>#N/A</v>
      </c>
      <c r="Y24" t="s">
        <v>165</v>
      </c>
      <c r="Z24">
        <v>12159</v>
      </c>
      <c r="AA24" t="s">
        <v>336</v>
      </c>
      <c r="AB24" t="s">
        <v>166</v>
      </c>
      <c r="AC24">
        <v>60956</v>
      </c>
      <c r="AD24" s="67" t="s">
        <v>473</v>
      </c>
    </row>
    <row r="25" spans="1:30" s="67" customFormat="1" ht="18" customHeight="1">
      <c r="A25" s="60"/>
      <c r="B25" s="61">
        <v>12</v>
      </c>
      <c r="C25" s="78" t="s">
        <v>309</v>
      </c>
      <c r="D25" s="203">
        <v>8082</v>
      </c>
      <c r="E25" s="99" t="s">
        <v>506</v>
      </c>
      <c r="F25" s="197">
        <v>60750</v>
      </c>
      <c r="G25" s="100" t="s">
        <v>652</v>
      </c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e">
        <v>#N/A</v>
      </c>
      <c r="W25" s="69" t="e">
        <v>#N/A</v>
      </c>
      <c r="Y25" t="s">
        <v>321</v>
      </c>
      <c r="Z25">
        <v>14856</v>
      </c>
      <c r="AA25" t="s">
        <v>320</v>
      </c>
      <c r="AB25" t="s">
        <v>173</v>
      </c>
      <c r="AC25">
        <v>60949</v>
      </c>
      <c r="AD25" s="67" t="s">
        <v>245</v>
      </c>
    </row>
    <row r="26" spans="1:30" s="67" customFormat="1" ht="18" customHeight="1">
      <c r="A26" s="60"/>
      <c r="B26" s="61">
        <v>13</v>
      </c>
      <c r="C26" s="234" t="s">
        <v>317</v>
      </c>
      <c r="D26" s="222">
        <v>10571</v>
      </c>
      <c r="E26" s="118" t="s">
        <v>654</v>
      </c>
      <c r="F26" s="189">
        <v>61278</v>
      </c>
      <c r="G26" s="124" t="s">
        <v>652</v>
      </c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e">
        <v>#N/A</v>
      </c>
      <c r="W26" s="69" t="e">
        <v>#N/A</v>
      </c>
      <c r="Y26" t="s">
        <v>317</v>
      </c>
      <c r="Z26">
        <v>10571</v>
      </c>
      <c r="AA26" t="s">
        <v>316</v>
      </c>
      <c r="AB26" t="s">
        <v>131</v>
      </c>
      <c r="AC26">
        <v>57819</v>
      </c>
      <c r="AD26" s="67" t="s">
        <v>472</v>
      </c>
    </row>
    <row r="27" spans="1:30" s="67" customFormat="1" ht="18" customHeight="1">
      <c r="A27" s="60"/>
      <c r="B27" s="61">
        <v>14</v>
      </c>
      <c r="C27" s="80" t="s">
        <v>610</v>
      </c>
      <c r="D27" s="187">
        <v>14718</v>
      </c>
      <c r="E27" s="90" t="s">
        <v>613</v>
      </c>
      <c r="F27" s="186">
        <v>60418</v>
      </c>
      <c r="G27" s="114" t="s">
        <v>612</v>
      </c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e">
        <v>#N/A</v>
      </c>
      <c r="W27" s="69" t="e">
        <v>#N/A</v>
      </c>
      <c r="Y27" t="s">
        <v>325</v>
      </c>
      <c r="Z27">
        <v>18386</v>
      </c>
      <c r="AA27" t="s">
        <v>324</v>
      </c>
      <c r="AB27"/>
      <c r="AC27"/>
    </row>
    <row r="28" spans="1:30" s="67" customFormat="1" ht="18" customHeight="1">
      <c r="A28" s="60"/>
      <c r="B28" s="61">
        <v>15</v>
      </c>
      <c r="C28" s="21" t="s">
        <v>461</v>
      </c>
      <c r="D28" s="183">
        <v>7270</v>
      </c>
      <c r="E28" s="119" t="s">
        <v>518</v>
      </c>
      <c r="F28" s="183">
        <v>61183</v>
      </c>
      <c r="G28" s="122" t="s">
        <v>519</v>
      </c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e">
        <v>#N/A</v>
      </c>
      <c r="W28" s="69" t="e">
        <v>#N/A</v>
      </c>
      <c r="Y28" t="s">
        <v>399</v>
      </c>
      <c r="Z28">
        <v>27113</v>
      </c>
      <c r="AA28" t="s">
        <v>398</v>
      </c>
      <c r="AB28"/>
      <c r="AC28"/>
    </row>
    <row r="29" spans="1:30" s="67" customFormat="1" ht="18" customHeight="1">
      <c r="A29" s="60" t="s">
        <v>703</v>
      </c>
      <c r="B29" s="61">
        <v>16</v>
      </c>
      <c r="C29" s="80" t="s">
        <v>445</v>
      </c>
      <c r="D29" s="187">
        <v>5943</v>
      </c>
      <c r="E29" s="90" t="s">
        <v>726</v>
      </c>
      <c r="F29" s="186">
        <v>61733</v>
      </c>
      <c r="G29" s="87" t="s">
        <v>592</v>
      </c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e">
        <v>#N/A</v>
      </c>
      <c r="W29" s="69" t="e">
        <v>#N/A</v>
      </c>
      <c r="Y29" t="s">
        <v>327</v>
      </c>
      <c r="Z29">
        <v>25761</v>
      </c>
      <c r="AA29" t="s">
        <v>326</v>
      </c>
      <c r="AB29" t="s">
        <v>199</v>
      </c>
      <c r="AC29">
        <v>58584</v>
      </c>
      <c r="AD29" s="67" t="s">
        <v>475</v>
      </c>
    </row>
    <row r="30" spans="1:30" s="67" customFormat="1" ht="18" customHeight="1">
      <c r="A30" s="60" t="s">
        <v>703</v>
      </c>
      <c r="B30" s="61">
        <v>17</v>
      </c>
      <c r="C30" s="229" t="s">
        <v>445</v>
      </c>
      <c r="D30" s="184">
        <v>5943</v>
      </c>
      <c r="E30" s="90" t="s">
        <v>594</v>
      </c>
      <c r="F30" s="186">
        <v>60218</v>
      </c>
      <c r="G30" s="89" t="s">
        <v>592</v>
      </c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e">
        <v>#N/A</v>
      </c>
      <c r="W30" s="69" t="e">
        <v>#N/A</v>
      </c>
      <c r="Y30" t="s">
        <v>437</v>
      </c>
      <c r="Z30">
        <v>24341</v>
      </c>
      <c r="AA30" t="s">
        <v>436</v>
      </c>
      <c r="AB30" t="s">
        <v>151</v>
      </c>
      <c r="AC30">
        <v>59063</v>
      </c>
      <c r="AD30" s="67" t="s">
        <v>365</v>
      </c>
    </row>
    <row r="31" spans="1:30" s="67" customFormat="1" ht="18" customHeight="1">
      <c r="A31" s="60" t="s">
        <v>703</v>
      </c>
      <c r="B31" s="61">
        <v>18</v>
      </c>
      <c r="C31" s="21" t="s">
        <v>718</v>
      </c>
      <c r="D31" s="183">
        <v>12188</v>
      </c>
      <c r="E31" s="119" t="s">
        <v>666</v>
      </c>
      <c r="F31" s="183">
        <v>60248</v>
      </c>
      <c r="G31" s="122" t="s">
        <v>665</v>
      </c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s">
        <v>233</v>
      </c>
      <c r="W31" s="69" t="e">
        <v>#N/A</v>
      </c>
      <c r="Y31" t="s">
        <v>439</v>
      </c>
      <c r="Z31">
        <v>6082</v>
      </c>
      <c r="AA31" t="s">
        <v>438</v>
      </c>
      <c r="AB31" t="s">
        <v>149</v>
      </c>
      <c r="AC31">
        <v>59898</v>
      </c>
      <c r="AD31" s="67" t="s">
        <v>466</v>
      </c>
    </row>
    <row r="32" spans="1:30" s="67" customFormat="1" ht="18" customHeight="1">
      <c r="A32" s="60"/>
      <c r="B32" s="61">
        <v>19</v>
      </c>
      <c r="C32" s="119"/>
      <c r="D32" s="183"/>
      <c r="E32" s="119"/>
      <c r="F32" s="183"/>
      <c r="G32" s="122"/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e">
        <v>#N/A</v>
      </c>
      <c r="W32" s="69" t="e">
        <v>#N/A</v>
      </c>
      <c r="Y32" t="s">
        <v>177</v>
      </c>
      <c r="Z32">
        <v>26056</v>
      </c>
      <c r="AA32" t="s">
        <v>443</v>
      </c>
      <c r="AB32" t="s">
        <v>176</v>
      </c>
      <c r="AC32">
        <v>56454</v>
      </c>
      <c r="AD32" s="67" t="s">
        <v>469</v>
      </c>
    </row>
    <row r="33" spans="1:30" s="67" customFormat="1" ht="18" customHeight="1">
      <c r="A33" s="60"/>
      <c r="B33" s="61">
        <v>20</v>
      </c>
      <c r="C33" s="87"/>
      <c r="D33" s="187"/>
      <c r="E33" s="90"/>
      <c r="F33" s="186"/>
      <c r="G33" s="89"/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e">
        <v>#N/A</v>
      </c>
      <c r="W33" s="69" t="e">
        <v>#N/A</v>
      </c>
      <c r="Y33" t="s">
        <v>441</v>
      </c>
      <c r="Z33">
        <v>1384</v>
      </c>
      <c r="AA33" t="s">
        <v>440</v>
      </c>
      <c r="AB33"/>
      <c r="AC33"/>
    </row>
    <row r="34" spans="1:30" s="67" customFormat="1" ht="18" customHeight="1">
      <c r="A34" s="60"/>
      <c r="B34" s="61">
        <v>21</v>
      </c>
      <c r="C34" s="87"/>
      <c r="D34" s="187"/>
      <c r="E34" s="90"/>
      <c r="F34" s="186"/>
      <c r="G34" s="89"/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e">
        <v>#REF!</v>
      </c>
      <c r="W34" s="69" t="e">
        <v>#REF!</v>
      </c>
      <c r="Y34" t="s">
        <v>449</v>
      </c>
      <c r="Z34">
        <v>24931</v>
      </c>
      <c r="AA34" t="s">
        <v>448</v>
      </c>
      <c r="AB34" t="s">
        <v>207</v>
      </c>
      <c r="AC34">
        <v>60368</v>
      </c>
      <c r="AD34" s="67" t="s">
        <v>476</v>
      </c>
    </row>
    <row r="35" spans="1:30" s="67" customFormat="1" ht="18" customHeight="1">
      <c r="A35" s="60"/>
      <c r="B35" s="61">
        <v>22</v>
      </c>
      <c r="C35" s="119"/>
      <c r="D35" s="190"/>
      <c r="E35" s="119"/>
      <c r="F35" s="194"/>
      <c r="G35" s="122"/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e">
        <v>#N/A</v>
      </c>
      <c r="W35" s="69" t="e">
        <v>#N/A</v>
      </c>
      <c r="Y35" t="s">
        <v>445</v>
      </c>
      <c r="Z35">
        <v>5943</v>
      </c>
      <c r="AA35" t="s">
        <v>444</v>
      </c>
      <c r="AB35" t="s">
        <v>202</v>
      </c>
      <c r="AC35">
        <v>59857</v>
      </c>
      <c r="AD35" s="67" t="s">
        <v>470</v>
      </c>
    </row>
    <row r="36" spans="1:30" s="67" customFormat="1" ht="18" customHeight="1">
      <c r="A36" s="60"/>
      <c r="B36" s="61">
        <v>23</v>
      </c>
      <c r="C36" s="87"/>
      <c r="D36" s="187"/>
      <c r="E36" s="90"/>
      <c r="F36" s="186"/>
      <c r="G36" s="89"/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e">
        <v>#N/A</v>
      </c>
      <c r="W36" s="69" t="e">
        <v>#N/A</v>
      </c>
      <c r="Y36" t="s">
        <v>309</v>
      </c>
      <c r="Z36">
        <v>8082</v>
      </c>
      <c r="AA36" t="s">
        <v>308</v>
      </c>
      <c r="AB36" t="s">
        <v>130</v>
      </c>
      <c r="AC36">
        <v>60439</v>
      </c>
      <c r="AD36" s="67" t="s">
        <v>467</v>
      </c>
    </row>
    <row r="37" spans="1:30" s="67" customFormat="1" ht="18" customHeight="1">
      <c r="A37" s="60"/>
      <c r="B37" s="61">
        <v>24</v>
      </c>
      <c r="C37" s="87"/>
      <c r="D37" s="187"/>
      <c r="E37" s="90"/>
      <c r="F37" s="186"/>
      <c r="G37" s="89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e">
        <v>#N/A</v>
      </c>
      <c r="W37" s="69" t="e">
        <v>#N/A</v>
      </c>
      <c r="Y37" t="s">
        <v>459</v>
      </c>
      <c r="Z37">
        <v>5830</v>
      </c>
      <c r="AA37" t="s">
        <v>458</v>
      </c>
      <c r="AB37" t="s">
        <v>190</v>
      </c>
      <c r="AC37">
        <v>58426</v>
      </c>
      <c r="AD37" s="67" t="s">
        <v>481</v>
      </c>
    </row>
    <row r="38" spans="1:30" s="67" customFormat="1" ht="18" customHeight="1">
      <c r="A38" s="60"/>
      <c r="B38" s="61">
        <v>25</v>
      </c>
      <c r="C38" s="119"/>
      <c r="D38" s="183"/>
      <c r="E38" s="119"/>
      <c r="F38" s="183"/>
      <c r="G38" s="122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">
        <v>233</v>
      </c>
      <c r="W38" s="69" t="e">
        <v>#N/A</v>
      </c>
      <c r="Y38" t="s">
        <v>432</v>
      </c>
      <c r="Z38">
        <v>9323</v>
      </c>
      <c r="AA38" t="s">
        <v>431</v>
      </c>
      <c r="AB38" t="s">
        <v>219</v>
      </c>
      <c r="AC38">
        <v>60262</v>
      </c>
      <c r="AD38" s="67" t="s">
        <v>482</v>
      </c>
    </row>
    <row r="39" spans="1:30" s="67" customFormat="1" ht="18" customHeight="1">
      <c r="A39" s="60"/>
      <c r="B39" s="61">
        <v>26</v>
      </c>
      <c r="C39" s="87"/>
      <c r="D39" s="187"/>
      <c r="E39" s="90"/>
      <c r="F39" s="186"/>
      <c r="G39" s="87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">
        <v>233</v>
      </c>
      <c r="W39" s="69" t="e">
        <v>#N/A</v>
      </c>
      <c r="Y39" t="s">
        <v>160</v>
      </c>
      <c r="Z39">
        <v>19572</v>
      </c>
      <c r="AA39" t="s">
        <v>442</v>
      </c>
      <c r="AB39" t="s">
        <v>161</v>
      </c>
      <c r="AC39">
        <v>59650</v>
      </c>
      <c r="AD39" s="67" t="s">
        <v>468</v>
      </c>
    </row>
    <row r="40" spans="1:30" s="67" customFormat="1" ht="18" customHeight="1">
      <c r="A40" s="60"/>
      <c r="B40" s="61">
        <v>27</v>
      </c>
      <c r="C40" s="87"/>
      <c r="D40" s="187"/>
      <c r="E40" s="90"/>
      <c r="F40" s="186"/>
      <c r="G40" s="89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e">
        <v>#N/A</v>
      </c>
      <c r="W40" s="69" t="e">
        <v>#N/A</v>
      </c>
      <c r="Y40" t="s">
        <v>451</v>
      </c>
      <c r="Z40">
        <v>22560</v>
      </c>
      <c r="AA40" t="s">
        <v>450</v>
      </c>
      <c r="AB40" t="s">
        <v>208</v>
      </c>
      <c r="AC40">
        <v>59757</v>
      </c>
      <c r="AD40" s="67" t="s">
        <v>477</v>
      </c>
    </row>
    <row r="41" spans="1:30" s="67" customFormat="1" ht="18" customHeight="1">
      <c r="A41" s="60"/>
      <c r="B41" s="61">
        <v>28</v>
      </c>
      <c r="C41" s="119"/>
      <c r="D41" s="183"/>
      <c r="E41" s="119"/>
      <c r="F41" s="183"/>
      <c r="G41" s="89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e">
        <v>#N/A</v>
      </c>
      <c r="W41" s="69" t="e">
        <v>#N/A</v>
      </c>
      <c r="Y41" t="s">
        <v>447</v>
      </c>
      <c r="Z41">
        <v>28000</v>
      </c>
      <c r="AA41" t="s">
        <v>446</v>
      </c>
      <c r="AB41" t="s">
        <v>197</v>
      </c>
      <c r="AC41">
        <v>60925</v>
      </c>
      <c r="AD41" s="67" t="s">
        <v>486</v>
      </c>
    </row>
    <row r="42" spans="1:30" s="67" customFormat="1" ht="18" customHeight="1">
      <c r="A42" s="60"/>
      <c r="B42" s="61"/>
      <c r="C42" s="119"/>
      <c r="D42" s="190"/>
      <c r="E42" s="119"/>
      <c r="F42" s="194"/>
      <c r="G42" s="122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e">
        <v>#N/A</v>
      </c>
      <c r="W42" s="69" t="e">
        <v>#N/A</v>
      </c>
      <c r="Y42" t="s">
        <v>327</v>
      </c>
      <c r="Z42">
        <v>25761</v>
      </c>
      <c r="AA42" t="s">
        <v>326</v>
      </c>
      <c r="AB42" t="s">
        <v>230</v>
      </c>
      <c r="AC42">
        <v>59460</v>
      </c>
      <c r="AD42" s="67" t="s">
        <v>487</v>
      </c>
    </row>
    <row r="43" spans="1:30" s="67" customFormat="1" ht="18" customHeight="1">
      <c r="A43" s="60"/>
      <c r="B43" s="61"/>
      <c r="C43" s="87"/>
      <c r="D43" s="187"/>
      <c r="E43" s="90"/>
      <c r="F43" s="186"/>
      <c r="G43" s="114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">
        <v>233</v>
      </c>
      <c r="W43" s="69" t="e">
        <v>#N/A</v>
      </c>
      <c r="Y43" t="s">
        <v>463</v>
      </c>
      <c r="Z43">
        <v>30587</v>
      </c>
      <c r="AA43" t="s">
        <v>462</v>
      </c>
      <c r="AB43" t="s">
        <v>194</v>
      </c>
      <c r="AC43">
        <v>58649</v>
      </c>
      <c r="AD43" s="67" t="s">
        <v>488</v>
      </c>
    </row>
    <row r="44" spans="1:30" s="67" customFormat="1" ht="18" customHeight="1">
      <c r="A44" s="60"/>
      <c r="B44" s="61"/>
      <c r="C44" s="87"/>
      <c r="D44" s="187"/>
      <c r="E44" s="118"/>
      <c r="F44" s="189"/>
      <c r="G44" s="98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">
        <v>233</v>
      </c>
      <c r="W44" s="69" t="e">
        <v>#N/A</v>
      </c>
      <c r="Y44" t="s">
        <v>465</v>
      </c>
      <c r="Z44">
        <v>24357</v>
      </c>
      <c r="AA44" t="s">
        <v>464</v>
      </c>
      <c r="AB44" t="s">
        <v>193</v>
      </c>
      <c r="AC44">
        <v>59568</v>
      </c>
      <c r="AD44" s="67" t="s">
        <v>489</v>
      </c>
    </row>
    <row r="45" spans="1:30" s="67" customFormat="1" ht="18" customHeight="1">
      <c r="A45" s="60"/>
      <c r="B45" s="61"/>
      <c r="C45" s="119"/>
      <c r="D45" s="190"/>
      <c r="E45" s="118"/>
      <c r="F45" s="192"/>
      <c r="G45" s="122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e">
        <v>#N/A</v>
      </c>
      <c r="W45" s="69" t="e">
        <v>#N/A</v>
      </c>
      <c r="Y45" t="s">
        <v>389</v>
      </c>
      <c r="Z45">
        <v>26776</v>
      </c>
      <c r="AA45" t="s">
        <v>388</v>
      </c>
      <c r="AB45"/>
      <c r="AC45"/>
    </row>
    <row r="46" spans="1:30" s="67" customFormat="1" ht="18" customHeight="1">
      <c r="A46" s="60"/>
      <c r="B46" s="61"/>
      <c r="C46" s="119"/>
      <c r="D46" s="190"/>
      <c r="E46" s="119"/>
      <c r="F46" s="194"/>
      <c r="G46" s="122"/>
      <c r="H46" s="22"/>
      <c r="I46" s="22"/>
      <c r="J46" s="62" t="str">
        <f t="shared" ref="J46:J77" si="4">IF(H46="","",H46+I46)</f>
        <v/>
      </c>
      <c r="K46" s="63"/>
      <c r="L46" s="63"/>
      <c r="M46" s="64" t="str">
        <f t="shared" ref="M46:M77" si="5">IF(L46="","",K46+L46)</f>
        <v/>
      </c>
      <c r="N46" s="22"/>
      <c r="O46" s="22"/>
      <c r="P46" s="62" t="str">
        <f t="shared" ref="P46:P77" si="6">IF(N46="","",N46+O46)</f>
        <v/>
      </c>
      <c r="Q46" s="63"/>
      <c r="R46" s="63"/>
      <c r="S46" s="64" t="str">
        <f t="shared" ref="S46:S77" si="7">IF(R46="","",Q46+R46)</f>
        <v/>
      </c>
      <c r="T46" s="65"/>
      <c r="U46" s="66"/>
      <c r="V46" s="18" t="s">
        <v>68</v>
      </c>
      <c r="W46" s="69" t="s">
        <v>68</v>
      </c>
      <c r="Y46"/>
      <c r="Z46"/>
      <c r="AA46"/>
      <c r="AB46"/>
      <c r="AC46"/>
    </row>
    <row r="47" spans="1:30" s="67" customFormat="1" ht="18" customHeight="1">
      <c r="A47" s="60"/>
      <c r="B47" s="61"/>
      <c r="C47" s="119"/>
      <c r="D47" s="190"/>
      <c r="E47" s="119"/>
      <c r="F47" s="194"/>
      <c r="G47" s="122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">
        <v>68</v>
      </c>
      <c r="W47" s="69" t="s">
        <v>68</v>
      </c>
      <c r="Y47"/>
      <c r="Z47"/>
      <c r="AA47"/>
      <c r="AB47"/>
      <c r="AC47"/>
    </row>
    <row r="48" spans="1:30" s="67" customFormat="1" ht="18" customHeight="1">
      <c r="A48" s="60"/>
      <c r="B48" s="61"/>
      <c r="C48" s="119"/>
      <c r="D48" s="190"/>
      <c r="E48" s="119"/>
      <c r="F48" s="194"/>
      <c r="G48" s="122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">
        <v>68</v>
      </c>
      <c r="W48" s="69" t="s">
        <v>68</v>
      </c>
      <c r="Y48"/>
      <c r="Z48"/>
      <c r="AA48"/>
      <c r="AB48"/>
      <c r="AC48"/>
    </row>
    <row r="49" spans="1:29" s="67" customFormat="1" ht="18" customHeight="1">
      <c r="A49" s="60"/>
      <c r="B49" s="61"/>
      <c r="C49" s="119"/>
      <c r="D49" s="190"/>
      <c r="E49" s="119"/>
      <c r="F49" s="194"/>
      <c r="G49" s="122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">
        <v>68</v>
      </c>
      <c r="W49" s="69" t="s">
        <v>68</v>
      </c>
      <c r="Y49"/>
      <c r="Z49"/>
      <c r="AA49"/>
      <c r="AB49"/>
      <c r="AC49"/>
    </row>
    <row r="50" spans="1:29" s="67" customFormat="1" ht="18" customHeight="1">
      <c r="A50" s="60"/>
      <c r="B50" s="61"/>
      <c r="C50" s="119"/>
      <c r="D50" s="190"/>
      <c r="E50" s="119"/>
      <c r="F50" s="194"/>
      <c r="G50" s="122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">
        <v>68</v>
      </c>
      <c r="W50" s="69" t="s">
        <v>68</v>
      </c>
      <c r="Y50"/>
      <c r="Z50"/>
      <c r="AA50"/>
      <c r="AB50"/>
      <c r="AC50"/>
    </row>
    <row r="51" spans="1:29" s="67" customFormat="1" ht="18" customHeight="1">
      <c r="A51" s="60"/>
      <c r="B51" s="61"/>
      <c r="C51" s="119"/>
      <c r="D51" s="190"/>
      <c r="E51" s="119"/>
      <c r="F51" s="194"/>
      <c r="G51" s="122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">
        <v>68</v>
      </c>
      <c r="W51" s="69" t="s">
        <v>68</v>
      </c>
      <c r="Y51"/>
      <c r="Z51"/>
      <c r="AA51"/>
      <c r="AB51"/>
      <c r="AC51"/>
    </row>
    <row r="52" spans="1:29" s="67" customFormat="1" ht="18" customHeight="1">
      <c r="A52" s="60"/>
      <c r="B52" s="61"/>
      <c r="C52" s="119"/>
      <c r="D52" s="190"/>
      <c r="E52" s="119"/>
      <c r="F52" s="194"/>
      <c r="G52" s="122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">
        <v>68</v>
      </c>
      <c r="W52" s="69" t="s">
        <v>68</v>
      </c>
      <c r="Y52"/>
      <c r="Z52"/>
      <c r="AA52"/>
      <c r="AB52"/>
      <c r="AC52"/>
    </row>
    <row r="53" spans="1:29" s="67" customFormat="1" ht="18" customHeight="1">
      <c r="A53" s="60"/>
      <c r="B53" s="61"/>
      <c r="C53" s="119"/>
      <c r="D53" s="190"/>
      <c r="E53" s="119"/>
      <c r="F53" s="194"/>
      <c r="G53" s="122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">
        <v>68</v>
      </c>
      <c r="W53" s="69" t="s">
        <v>68</v>
      </c>
      <c r="Y53"/>
      <c r="Z53"/>
      <c r="AA53"/>
      <c r="AB53"/>
      <c r="AC53"/>
    </row>
    <row r="54" spans="1:29" s="67" customFormat="1" ht="18" customHeight="1">
      <c r="A54" s="60"/>
      <c r="B54" s="61"/>
      <c r="C54" s="119"/>
      <c r="D54" s="190"/>
      <c r="E54" s="119"/>
      <c r="F54" s="194"/>
      <c r="G54" s="122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">
        <v>68</v>
      </c>
      <c r="W54" s="69" t="s">
        <v>68</v>
      </c>
      <c r="Y54"/>
      <c r="Z54"/>
      <c r="AA54"/>
      <c r="AB54"/>
      <c r="AC54"/>
    </row>
    <row r="55" spans="1:29" s="67" customFormat="1" ht="18" customHeight="1">
      <c r="A55" s="60"/>
      <c r="B55" s="61"/>
      <c r="C55" s="119"/>
      <c r="D55" s="190"/>
      <c r="E55" s="119"/>
      <c r="F55" s="194"/>
      <c r="G55" s="122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">
        <v>68</v>
      </c>
      <c r="W55" s="69" t="s">
        <v>68</v>
      </c>
      <c r="Y55"/>
      <c r="Z55"/>
      <c r="AA55"/>
      <c r="AB55"/>
      <c r="AC55"/>
    </row>
    <row r="56" spans="1:29" s="67" customFormat="1" ht="18" customHeight="1">
      <c r="A56" s="60"/>
      <c r="B56" s="61"/>
      <c r="C56" s="119"/>
      <c r="D56" s="190"/>
      <c r="E56" s="119"/>
      <c r="F56" s="194"/>
      <c r="G56" s="122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">
        <v>68</v>
      </c>
      <c r="W56" s="69" t="s">
        <v>68</v>
      </c>
      <c r="Y56"/>
      <c r="Z56"/>
      <c r="AA56"/>
      <c r="AB56"/>
      <c r="AC56"/>
    </row>
    <row r="57" spans="1:29" s="67" customFormat="1" ht="18" customHeight="1">
      <c r="A57" s="60"/>
      <c r="B57" s="61"/>
      <c r="C57" s="119"/>
      <c r="D57" s="190"/>
      <c r="E57" s="119"/>
      <c r="F57" s="194"/>
      <c r="G57" s="122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">
        <v>68</v>
      </c>
      <c r="W57" s="69" t="s">
        <v>68</v>
      </c>
      <c r="Y57"/>
      <c r="Z57"/>
      <c r="AA57"/>
      <c r="AB57"/>
      <c r="AC57"/>
    </row>
    <row r="58" spans="1:29" s="67" customFormat="1" ht="18" customHeight="1">
      <c r="A58" s="60"/>
      <c r="B58" s="61"/>
      <c r="C58" s="119"/>
      <c r="D58" s="190"/>
      <c r="E58" s="119"/>
      <c r="F58" s="194"/>
      <c r="G58" s="122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">
        <v>68</v>
      </c>
      <c r="W58" s="69" t="s">
        <v>68</v>
      </c>
      <c r="Y58"/>
      <c r="Z58"/>
      <c r="AA58"/>
      <c r="AB58"/>
      <c r="AC58"/>
    </row>
    <row r="59" spans="1:29" s="67" customFormat="1" ht="18" customHeight="1">
      <c r="A59" s="60"/>
      <c r="B59" s="61"/>
      <c r="C59" s="119"/>
      <c r="D59" s="190"/>
      <c r="E59" s="119"/>
      <c r="F59" s="194"/>
      <c r="G59" s="122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">
        <v>68</v>
      </c>
      <c r="W59" s="69" t="s">
        <v>68</v>
      </c>
      <c r="Y59"/>
      <c r="Z59"/>
      <c r="AA59"/>
      <c r="AB59"/>
      <c r="AC59"/>
    </row>
    <row r="60" spans="1:29" s="67" customFormat="1" ht="18" customHeight="1">
      <c r="A60" s="60"/>
      <c r="B60" s="61"/>
      <c r="C60" s="119"/>
      <c r="D60" s="190"/>
      <c r="E60" s="119"/>
      <c r="F60" s="194"/>
      <c r="G60" s="122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">
        <v>68</v>
      </c>
      <c r="W60" s="69" t="s">
        <v>68</v>
      </c>
      <c r="Y60"/>
      <c r="Z60"/>
      <c r="AA60"/>
      <c r="AB60"/>
      <c r="AC60"/>
    </row>
    <row r="61" spans="1:29" s="67" customFormat="1" ht="18" customHeight="1">
      <c r="A61" s="60"/>
      <c r="B61" s="61"/>
      <c r="C61" s="119"/>
      <c r="D61" s="190"/>
      <c r="E61" s="119"/>
      <c r="F61" s="194"/>
      <c r="G61" s="122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">
        <v>68</v>
      </c>
      <c r="W61" s="69" t="s">
        <v>68</v>
      </c>
      <c r="Y61"/>
      <c r="Z61"/>
      <c r="AA61"/>
      <c r="AB61"/>
      <c r="AC61"/>
    </row>
    <row r="62" spans="1:29" s="67" customFormat="1" ht="18" customHeight="1">
      <c r="A62" s="60"/>
      <c r="B62" s="61"/>
      <c r="C62" s="21"/>
      <c r="D62" s="180" t="s">
        <v>68</v>
      </c>
      <c r="E62" s="21"/>
      <c r="F62" s="195" t="s">
        <v>68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">
        <v>68</v>
      </c>
      <c r="W62" s="69" t="s">
        <v>68</v>
      </c>
      <c r="Y62"/>
      <c r="Z62"/>
      <c r="AA62"/>
      <c r="AB62"/>
      <c r="AC62"/>
    </row>
    <row r="63" spans="1:29" s="67" customFormat="1" ht="18" customHeight="1">
      <c r="A63" s="60"/>
      <c r="B63" s="61"/>
      <c r="C63" s="21"/>
      <c r="D63" s="180" t="s">
        <v>68</v>
      </c>
      <c r="E63" s="21"/>
      <c r="F63" s="195" t="s">
        <v>68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">
        <v>68</v>
      </c>
      <c r="W63" s="69" t="s">
        <v>68</v>
      </c>
      <c r="Y63"/>
      <c r="Z63"/>
      <c r="AA63"/>
      <c r="AB63"/>
      <c r="AC63"/>
    </row>
    <row r="64" spans="1:29" s="67" customFormat="1" ht="18" customHeight="1">
      <c r="A64" s="60"/>
      <c r="B64" s="61"/>
      <c r="C64" s="21"/>
      <c r="D64" s="180" t="s">
        <v>68</v>
      </c>
      <c r="E64" s="21"/>
      <c r="F64" s="195" t="s">
        <v>68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">
        <v>68</v>
      </c>
      <c r="W64" s="69" t="s">
        <v>68</v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180" t="s">
        <v>68</v>
      </c>
      <c r="E65" s="21"/>
      <c r="F65" s="195" t="s">
        <v>68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">
        <v>68</v>
      </c>
      <c r="W65" s="69" t="s">
        <v>68</v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180" t="s">
        <v>68</v>
      </c>
      <c r="E66" s="21"/>
      <c r="F66" s="195" t="s">
        <v>68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">
        <v>68</v>
      </c>
      <c r="W66" s="69" t="s">
        <v>68</v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180" t="s">
        <v>68</v>
      </c>
      <c r="E67" s="21"/>
      <c r="F67" s="195" t="s">
        <v>68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">
        <v>68</v>
      </c>
      <c r="W67" s="69" t="s">
        <v>68</v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180" t="s">
        <v>68</v>
      </c>
      <c r="E68" s="21"/>
      <c r="F68" s="195" t="s">
        <v>68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">
        <v>68</v>
      </c>
      <c r="W68" s="69" t="s">
        <v>68</v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180" t="s">
        <v>68</v>
      </c>
      <c r="E69" s="21"/>
      <c r="F69" s="195" t="s">
        <v>68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">
        <v>68</v>
      </c>
      <c r="W69" s="69" t="s">
        <v>68</v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180" t="s">
        <v>68</v>
      </c>
      <c r="E70" s="21"/>
      <c r="F70" s="195" t="s">
        <v>68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">
        <v>68</v>
      </c>
      <c r="W70" s="69" t="s">
        <v>68</v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180" t="s">
        <v>68</v>
      </c>
      <c r="E71" s="21"/>
      <c r="F71" s="195" t="s">
        <v>68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">
        <v>68</v>
      </c>
      <c r="W71" s="69" t="s">
        <v>68</v>
      </c>
      <c r="Y71"/>
      <c r="Z71"/>
      <c r="AA71"/>
      <c r="AB71"/>
      <c r="AC71"/>
    </row>
    <row r="72" spans="1:29" s="67" customFormat="1" ht="18" customHeight="1">
      <c r="A72" s="60"/>
      <c r="B72" s="61"/>
      <c r="C72" s="21"/>
      <c r="D72" s="180" t="s">
        <v>68</v>
      </c>
      <c r="E72" s="21"/>
      <c r="F72" s="195" t="s">
        <v>68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">
        <v>68</v>
      </c>
      <c r="W72" s="69" t="s">
        <v>68</v>
      </c>
      <c r="Y72"/>
      <c r="Z72"/>
      <c r="AA72"/>
      <c r="AB72"/>
      <c r="AC72"/>
    </row>
    <row r="73" spans="1:29" s="67" customFormat="1" ht="18" customHeight="1">
      <c r="A73" s="60"/>
      <c r="B73" s="61"/>
      <c r="C73" s="21"/>
      <c r="D73" s="180" t="s">
        <v>68</v>
      </c>
      <c r="E73" s="21"/>
      <c r="F73" s="195" t="s">
        <v>68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">
        <v>68</v>
      </c>
      <c r="W73" s="69" t="s">
        <v>68</v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W13" xr:uid="{00000000-0001-0000-1400-000000000000}">
    <sortState xmlns:xlrd2="http://schemas.microsoft.com/office/spreadsheetml/2017/richdata2" ref="A14:W73">
      <sortCondition ref="B13"/>
    </sortState>
  </autoFilter>
  <sortState xmlns:xlrd2="http://schemas.microsoft.com/office/spreadsheetml/2017/richdata2" ref="A14:AD31">
    <sortCondition ref="B14:B31"/>
  </sortState>
  <phoneticPr fontId="7"/>
  <conditionalFormatting sqref="V14:V73">
    <cfRule type="cellIs" dxfId="7" priority="4" stopIfTrue="1" operator="notBetween">
      <formula>"A"</formula>
      <formula>"Ｂ"</formula>
    </cfRule>
  </conditionalFormatting>
  <conditionalFormatting sqref="W14:W73">
    <cfRule type="cellIs" dxfId="6" priority="3" stopIfTrue="1" operator="between">
      <formula>"-"</formula>
      <formula>"申請中"</formula>
    </cfRule>
  </conditionalFormatting>
  <conditionalFormatting sqref="Y14:Z73">
    <cfRule type="expression" dxfId="5" priority="2">
      <formula>Y14&lt;&gt;C14</formula>
    </cfRule>
  </conditionalFormatting>
  <conditionalFormatting sqref="AB14:AC73">
    <cfRule type="expression" dxfId="4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213360</xdr:colOff>
                    <xdr:row>5</xdr:row>
                    <xdr:rowOff>327660</xdr:rowOff>
                  </from>
                  <to>
                    <xdr:col>27</xdr:col>
                    <xdr:colOff>365760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>
    <tabColor rgb="FFFFC000"/>
  </sheetPr>
  <dimension ref="A1:AD199"/>
  <sheetViews>
    <sheetView workbookViewId="0">
      <selection activeCell="F21" sqref="F21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30" s="25" customFormat="1" ht="18" customHeight="1">
      <c r="B2" s="26" t="s">
        <v>1</v>
      </c>
      <c r="C2" s="27"/>
      <c r="E2" s="26" t="s">
        <v>2</v>
      </c>
      <c r="F2" s="30"/>
      <c r="G2" s="132">
        <v>46276</v>
      </c>
      <c r="L2" s="28"/>
      <c r="N2" s="26" t="s">
        <v>3</v>
      </c>
      <c r="O2" s="29"/>
      <c r="P2" s="30"/>
      <c r="Q2" s="30"/>
      <c r="R2" s="30"/>
      <c r="S2" s="30"/>
      <c r="T2" s="30"/>
    </row>
    <row r="3" spans="1:30" s="25" customFormat="1" ht="18" customHeight="1">
      <c r="A3" s="31"/>
      <c r="B3" s="26" t="s">
        <v>4</v>
      </c>
      <c r="C3" s="120" t="s">
        <v>516</v>
      </c>
      <c r="D3" s="121"/>
      <c r="E3" s="121"/>
      <c r="F3" s="121"/>
      <c r="G3" s="121"/>
      <c r="Q3" s="26" t="s">
        <v>5</v>
      </c>
      <c r="R3" s="29"/>
      <c r="S3" s="30"/>
      <c r="T3" s="30"/>
      <c r="U3" s="32"/>
    </row>
    <row r="4" spans="1:30" s="25" customFormat="1" ht="18" customHeight="1">
      <c r="B4" s="26" t="s">
        <v>6</v>
      </c>
      <c r="C4" s="33">
        <v>10</v>
      </c>
      <c r="D4" s="25" t="s">
        <v>7</v>
      </c>
      <c r="E4" s="26" t="s">
        <v>8</v>
      </c>
      <c r="F4" s="191" t="s">
        <v>103</v>
      </c>
      <c r="G4" s="30"/>
      <c r="H4" s="30"/>
      <c r="J4" s="26" t="s">
        <v>9</v>
      </c>
      <c r="K4" s="34" t="s">
        <v>76</v>
      </c>
      <c r="N4" s="26" t="s">
        <v>10</v>
      </c>
      <c r="O4" s="35"/>
    </row>
    <row r="5" spans="1:30" s="25" customFormat="1" ht="18" customHeight="1">
      <c r="C5" s="26" t="s">
        <v>11</v>
      </c>
      <c r="D5" s="27">
        <v>4</v>
      </c>
      <c r="E5" s="26" t="s">
        <v>12</v>
      </c>
      <c r="F5" s="29" t="s">
        <v>517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</row>
    <row r="6" spans="1:30" s="25" customFormat="1" ht="35.1" customHeight="1">
      <c r="C6" s="40" t="s">
        <v>18</v>
      </c>
      <c r="D6" s="175" t="s">
        <v>39</v>
      </c>
      <c r="E6" s="26" t="s">
        <v>19</v>
      </c>
      <c r="F6" s="181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</row>
    <row r="7" spans="1:30" s="25" customFormat="1" ht="15" customHeight="1">
      <c r="A7" s="26" t="s">
        <v>62</v>
      </c>
      <c r="B7" s="73" t="s">
        <v>0</v>
      </c>
      <c r="C7" s="76"/>
      <c r="D7" s="26" t="s">
        <v>63</v>
      </c>
      <c r="E7" s="74"/>
      <c r="F7" s="32"/>
      <c r="I7" s="26"/>
      <c r="J7" s="37"/>
      <c r="K7" s="32"/>
      <c r="L7" s="26"/>
      <c r="M7" s="32"/>
      <c r="N7" s="26"/>
      <c r="O7" s="42"/>
      <c r="Q7" s="26"/>
      <c r="R7" s="43"/>
    </row>
    <row r="8" spans="1:30" s="25" customFormat="1" ht="15" customHeight="1">
      <c r="A8" s="26" t="s">
        <v>64</v>
      </c>
      <c r="B8" s="73" t="s">
        <v>0</v>
      </c>
      <c r="C8" s="72"/>
      <c r="D8" s="26" t="s">
        <v>63</v>
      </c>
      <c r="E8" s="75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</row>
    <row r="9" spans="1:30" s="25" customFormat="1" ht="15" customHeight="1">
      <c r="A9" s="26" t="s">
        <v>65</v>
      </c>
      <c r="B9" s="73" t="s">
        <v>0</v>
      </c>
      <c r="C9" s="72"/>
      <c r="D9" s="26" t="s">
        <v>63</v>
      </c>
      <c r="E9" s="75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</row>
    <row r="10" spans="1:30" s="25" customFormat="1" ht="15" customHeight="1">
      <c r="A10" s="26" t="s">
        <v>66</v>
      </c>
      <c r="B10" s="73" t="s">
        <v>0</v>
      </c>
      <c r="C10" s="72"/>
      <c r="D10" s="26" t="s">
        <v>63</v>
      </c>
      <c r="E10" s="75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</row>
    <row r="11" spans="1:30" s="25" customFormat="1" ht="15" customHeight="1">
      <c r="A11" s="26" t="s">
        <v>67</v>
      </c>
      <c r="B11" s="73" t="s">
        <v>0</v>
      </c>
      <c r="C11" s="72"/>
      <c r="D11" s="26" t="s">
        <v>63</v>
      </c>
      <c r="E11" s="75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V11" s="25">
        <f>COUNTA(C14:C71)</f>
        <v>1</v>
      </c>
      <c r="W11" s="25">
        <f>COUNTA(E14:E71)</f>
        <v>1</v>
      </c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50</v>
      </c>
      <c r="W12" s="15" t="s">
        <v>51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176" t="s">
        <v>0</v>
      </c>
      <c r="E13" s="53" t="s">
        <v>27</v>
      </c>
      <c r="F13" s="176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56</v>
      </c>
      <c r="W13" s="15" t="s">
        <v>57</v>
      </c>
    </row>
    <row r="14" spans="1:30" s="67" customFormat="1" ht="18" customHeight="1">
      <c r="A14" s="60" t="s">
        <v>712</v>
      </c>
      <c r="B14" s="61">
        <v>1</v>
      </c>
      <c r="C14" s="119" t="s">
        <v>591</v>
      </c>
      <c r="D14" s="183">
        <v>5943</v>
      </c>
      <c r="E14" s="119" t="s">
        <v>593</v>
      </c>
      <c r="F14" s="183">
        <v>59622</v>
      </c>
      <c r="G14" s="122" t="s">
        <v>592</v>
      </c>
      <c r="H14" s="22"/>
      <c r="I14" s="22"/>
      <c r="J14" s="62" t="str">
        <f t="shared" ref="J14:J45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s">
        <v>233</v>
      </c>
      <c r="W14" s="69" t="e">
        <v>#N/A</v>
      </c>
      <c r="Y14" t="s">
        <v>309</v>
      </c>
      <c r="Z14">
        <v>8082</v>
      </c>
      <c r="AA14" t="s">
        <v>308</v>
      </c>
      <c r="AB14" t="s">
        <v>506</v>
      </c>
      <c r="AC14">
        <v>60750</v>
      </c>
      <c r="AD14" s="67" t="s">
        <v>505</v>
      </c>
    </row>
    <row r="15" spans="1:30" s="67" customFormat="1" ht="18" customHeight="1">
      <c r="A15" s="60"/>
      <c r="B15" s="61">
        <v>2</v>
      </c>
      <c r="C15" s="119"/>
      <c r="D15" s="183"/>
      <c r="E15" s="119"/>
      <c r="F15" s="183"/>
      <c r="G15" s="122"/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s">
        <v>232</v>
      </c>
      <c r="W15" s="69" t="e">
        <v>#N/A</v>
      </c>
      <c r="Y15" t="s">
        <v>396</v>
      </c>
      <c r="Z15">
        <v>27696</v>
      </c>
      <c r="AA15" t="s">
        <v>395</v>
      </c>
      <c r="AB15" t="s">
        <v>191</v>
      </c>
      <c r="AC15">
        <v>60255</v>
      </c>
      <c r="AD15" s="67" t="s">
        <v>496</v>
      </c>
    </row>
    <row r="16" spans="1:30" s="67" customFormat="1" ht="18" customHeight="1">
      <c r="A16" s="60"/>
      <c r="B16" s="61">
        <v>3</v>
      </c>
      <c r="C16" s="112"/>
      <c r="D16" s="184"/>
      <c r="E16" s="90" ph="1"/>
      <c r="F16" s="186"/>
      <c r="G16" s="89"/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e">
        <v>#N/A</v>
      </c>
      <c r="W16" s="69" t="e">
        <v>#N/A</v>
      </c>
      <c r="Y16" t="s">
        <v>432</v>
      </c>
      <c r="Z16">
        <v>9323</v>
      </c>
      <c r="AA16" t="s">
        <v>431</v>
      </c>
      <c r="AB16" t="s">
        <v>221</v>
      </c>
      <c r="AC16">
        <v>56402</v>
      </c>
      <c r="AD16" s="67" t="s">
        <v>500</v>
      </c>
    </row>
    <row r="17" spans="1:30" s="67" customFormat="1" ht="18" customHeight="1">
      <c r="A17" s="60"/>
      <c r="B17" s="61">
        <v>4</v>
      </c>
      <c r="C17" s="119"/>
      <c r="D17" s="183"/>
      <c r="E17" s="119"/>
      <c r="F17" s="183"/>
      <c r="G17" s="122"/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v>#N/A</v>
      </c>
      <c r="W17" s="69" t="e">
        <v>#N/A</v>
      </c>
      <c r="Y17" t="s">
        <v>491</v>
      </c>
      <c r="Z17">
        <v>29499</v>
      </c>
      <c r="AA17" t="s">
        <v>490</v>
      </c>
      <c r="AB17" t="s">
        <v>206</v>
      </c>
      <c r="AC17">
        <v>60223</v>
      </c>
      <c r="AD17" s="67" t="s">
        <v>494</v>
      </c>
    </row>
    <row r="18" spans="1:30" s="67" customFormat="1" ht="18" customHeight="1">
      <c r="A18" s="60"/>
      <c r="B18" s="61">
        <v>5</v>
      </c>
      <c r="C18" s="118"/>
      <c r="D18" s="185"/>
      <c r="E18" s="118"/>
      <c r="F18" s="192"/>
      <c r="G18" s="124"/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s">
        <v>233</v>
      </c>
      <c r="W18" s="69" t="e">
        <v>#N/A</v>
      </c>
      <c r="Y18" t="s">
        <v>165</v>
      </c>
      <c r="Z18">
        <v>12159</v>
      </c>
      <c r="AA18" t="s">
        <v>336</v>
      </c>
      <c r="AB18" t="s">
        <v>167</v>
      </c>
      <c r="AC18">
        <v>58807</v>
      </c>
      <c r="AD18" s="67" t="s">
        <v>497</v>
      </c>
    </row>
    <row r="19" spans="1:30" s="67" customFormat="1" ht="18" customHeight="1">
      <c r="A19" s="60"/>
      <c r="B19" s="61">
        <v>6</v>
      </c>
      <c r="C19" s="119"/>
      <c r="D19" s="183"/>
      <c r="E19" s="119"/>
      <c r="F19" s="183"/>
      <c r="G19" s="122"/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v>#N/A</v>
      </c>
      <c r="W19" s="69" t="e">
        <v>#N/A</v>
      </c>
      <c r="Y19" t="s">
        <v>284</v>
      </c>
      <c r="Z19">
        <v>13918</v>
      </c>
      <c r="AA19" t="s">
        <v>283</v>
      </c>
      <c r="AB19" t="s">
        <v>104</v>
      </c>
      <c r="AC19">
        <v>58338</v>
      </c>
      <c r="AD19" s="67" t="s">
        <v>502</v>
      </c>
    </row>
    <row r="20" spans="1:30" s="67" customFormat="1" ht="18" customHeight="1">
      <c r="A20" s="60"/>
      <c r="B20" s="61">
        <v>7</v>
      </c>
      <c r="C20" s="87"/>
      <c r="D20" s="186"/>
      <c r="E20" s="90" ph="1"/>
      <c r="F20" s="186"/>
      <c r="G20" s="87"/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v>#N/A</v>
      </c>
      <c r="W20" s="69" t="e">
        <v>#N/A</v>
      </c>
      <c r="Y20" t="s">
        <v>457</v>
      </c>
      <c r="Z20">
        <v>22328</v>
      </c>
      <c r="AA20" t="s">
        <v>456</v>
      </c>
      <c r="AB20"/>
      <c r="AC20"/>
    </row>
    <row r="21" spans="1:30" s="67" customFormat="1" ht="18" customHeight="1">
      <c r="A21" s="60"/>
      <c r="B21" s="61">
        <v>8</v>
      </c>
      <c r="C21" s="87"/>
      <c r="D21" s="183"/>
      <c r="E21" s="90"/>
      <c r="F21" s="186"/>
      <c r="G21" s="89"/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e">
        <v>#N/A</v>
      </c>
      <c r="W21" s="69" t="e">
        <v>#N/A</v>
      </c>
      <c r="Y21" t="s">
        <v>449</v>
      </c>
      <c r="Z21">
        <v>24931</v>
      </c>
      <c r="AA21" t="s">
        <v>448</v>
      </c>
      <c r="AB21" t="s">
        <v>205</v>
      </c>
      <c r="AC21">
        <v>61007</v>
      </c>
      <c r="AD21" s="67" t="s">
        <v>501</v>
      </c>
    </row>
    <row r="22" spans="1:30" s="67" customFormat="1" ht="18" customHeight="1">
      <c r="A22" s="60"/>
      <c r="B22" s="61">
        <v>9</v>
      </c>
      <c r="C22" s="119"/>
      <c r="D22" s="183"/>
      <c r="E22" s="119"/>
      <c r="F22" s="183"/>
      <c r="G22" s="122"/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s">
        <v>233</v>
      </c>
      <c r="W22" s="69" t="e">
        <v>#N/A</v>
      </c>
      <c r="Y22" t="s">
        <v>461</v>
      </c>
      <c r="Z22">
        <v>7270</v>
      </c>
      <c r="AA22" t="s">
        <v>460</v>
      </c>
      <c r="AB22" t="s">
        <v>171</v>
      </c>
      <c r="AC22">
        <v>60712</v>
      </c>
      <c r="AD22" s="67" t="s">
        <v>507</v>
      </c>
    </row>
    <row r="23" spans="1:30" s="67" customFormat="1" ht="18" customHeight="1">
      <c r="A23" s="60"/>
      <c r="B23" s="61">
        <v>10</v>
      </c>
      <c r="C23" s="118"/>
      <c r="D23" s="183"/>
      <c r="E23" s="119"/>
      <c r="F23" s="183"/>
      <c r="G23" s="122"/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s">
        <v>233</v>
      </c>
      <c r="W23" s="69" t="e">
        <v>#N/A</v>
      </c>
      <c r="Y23" t="s">
        <v>325</v>
      </c>
      <c r="Z23">
        <v>18386</v>
      </c>
      <c r="AA23" t="s">
        <v>324</v>
      </c>
      <c r="AB23"/>
      <c r="AC23"/>
    </row>
    <row r="24" spans="1:30" s="67" customFormat="1" ht="18" customHeight="1">
      <c r="A24" s="60"/>
      <c r="B24" s="61">
        <v>11</v>
      </c>
      <c r="C24" s="87"/>
      <c r="D24" s="187"/>
      <c r="E24" s="90"/>
      <c r="F24" s="186"/>
      <c r="G24" s="104"/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e">
        <v>#N/A</v>
      </c>
      <c r="W24" s="69" t="e">
        <v>#N/A</v>
      </c>
      <c r="Y24" t="s">
        <v>445</v>
      </c>
      <c r="Z24">
        <v>5943</v>
      </c>
      <c r="AA24" t="s">
        <v>444</v>
      </c>
      <c r="AB24" t="s">
        <v>499</v>
      </c>
      <c r="AC24">
        <v>59622</v>
      </c>
      <c r="AD24" s="67" t="s">
        <v>498</v>
      </c>
    </row>
    <row r="25" spans="1:30" s="67" customFormat="1" ht="18" customHeight="1">
      <c r="A25" s="60"/>
      <c r="B25" s="61">
        <v>12</v>
      </c>
      <c r="C25" s="118"/>
      <c r="D25" s="183"/>
      <c r="E25" s="119"/>
      <c r="F25" s="183"/>
      <c r="G25" s="122"/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s">
        <v>233</v>
      </c>
      <c r="W25" s="69" t="e">
        <v>#N/A</v>
      </c>
      <c r="Y25" t="s">
        <v>107</v>
      </c>
      <c r="Z25">
        <v>18834</v>
      </c>
      <c r="AA25" t="s">
        <v>397</v>
      </c>
      <c r="AB25" t="s">
        <v>504</v>
      </c>
      <c r="AC25">
        <v>58555</v>
      </c>
      <c r="AD25" s="67" t="s">
        <v>503</v>
      </c>
    </row>
    <row r="26" spans="1:30" s="67" customFormat="1" ht="18" customHeight="1">
      <c r="A26" s="60"/>
      <c r="B26" s="61">
        <v>13</v>
      </c>
      <c r="C26" s="119"/>
      <c r="D26" s="183"/>
      <c r="E26" s="119"/>
      <c r="F26" s="183"/>
      <c r="G26" s="122"/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e">
        <v>#N/A</v>
      </c>
      <c r="W26" s="69" t="e">
        <v>#N/A</v>
      </c>
      <c r="Y26" t="s">
        <v>493</v>
      </c>
      <c r="Z26">
        <v>29308</v>
      </c>
      <c r="AA26" t="s">
        <v>492</v>
      </c>
      <c r="AB26" t="s">
        <v>147</v>
      </c>
      <c r="AC26">
        <v>59250</v>
      </c>
      <c r="AD26" s="67" t="s">
        <v>495</v>
      </c>
    </row>
    <row r="27" spans="1:30" s="67" customFormat="1" ht="18" customHeight="1">
      <c r="A27" s="60"/>
      <c r="B27" s="61">
        <v>14</v>
      </c>
      <c r="C27" s="119"/>
      <c r="D27" s="183"/>
      <c r="E27" s="119"/>
      <c r="F27" s="183"/>
      <c r="G27" s="122"/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e">
        <v>#REF!</v>
      </c>
      <c r="W27" s="69" t="e">
        <v>#REF!</v>
      </c>
      <c r="Y27" t="s">
        <v>441</v>
      </c>
      <c r="Z27">
        <v>1384</v>
      </c>
      <c r="AA27" t="s">
        <v>440</v>
      </c>
      <c r="AB27" t="s">
        <v>181</v>
      </c>
      <c r="AC27">
        <v>60415</v>
      </c>
      <c r="AD27" s="67" t="s">
        <v>508</v>
      </c>
    </row>
    <row r="28" spans="1:30" s="67" customFormat="1" ht="18" customHeight="1">
      <c r="A28" s="60"/>
      <c r="B28" s="61">
        <v>15</v>
      </c>
      <c r="C28" s="119"/>
      <c r="D28" s="183"/>
      <c r="E28" s="119"/>
      <c r="F28" s="183"/>
      <c r="G28" s="122"/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e">
        <v>#REF!</v>
      </c>
      <c r="W28" s="69" t="e">
        <v>#REF!</v>
      </c>
      <c r="Y28" t="s">
        <v>249</v>
      </c>
      <c r="Z28">
        <v>11802</v>
      </c>
      <c r="AA28" t="s">
        <v>248</v>
      </c>
      <c r="AB28" t="s">
        <v>140</v>
      </c>
      <c r="AC28">
        <v>59963</v>
      </c>
      <c r="AD28" s="67" t="s">
        <v>509</v>
      </c>
    </row>
    <row r="29" spans="1:30" s="67" customFormat="1" ht="18" customHeight="1">
      <c r="A29" s="60"/>
      <c r="B29" s="61">
        <v>16</v>
      </c>
      <c r="C29" s="95"/>
      <c r="D29" s="188"/>
      <c r="E29" s="91"/>
      <c r="F29" s="193"/>
      <c r="G29" s="112"/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s">
        <v>232</v>
      </c>
      <c r="W29" s="69" t="e">
        <v>#N/A</v>
      </c>
      <c r="Y29" t="s">
        <v>224</v>
      </c>
      <c r="Z29">
        <v>13141</v>
      </c>
      <c r="AA29" t="s">
        <v>333</v>
      </c>
      <c r="AB29" t="s">
        <v>227</v>
      </c>
      <c r="AC29">
        <v>56296</v>
      </c>
      <c r="AD29" s="67" t="s">
        <v>510</v>
      </c>
    </row>
    <row r="30" spans="1:30" s="67" customFormat="1" ht="18" customHeight="1">
      <c r="A30" s="60"/>
      <c r="B30" s="61">
        <v>17</v>
      </c>
      <c r="C30" s="112"/>
      <c r="D30" s="184"/>
      <c r="E30" s="90"/>
      <c r="F30" s="186"/>
      <c r="G30" s="87"/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e">
        <v>#N/A</v>
      </c>
      <c r="W30" s="69" t="e">
        <v>#N/A</v>
      </c>
      <c r="Y30" t="s">
        <v>307</v>
      </c>
      <c r="Z30">
        <v>27056</v>
      </c>
      <c r="AA30" t="s">
        <v>306</v>
      </c>
      <c r="AB30" t="s">
        <v>152</v>
      </c>
      <c r="AC30">
        <v>58641</v>
      </c>
      <c r="AD30" s="67" t="s">
        <v>511</v>
      </c>
    </row>
    <row r="31" spans="1:30" s="67" customFormat="1" ht="18" customHeight="1">
      <c r="A31" s="60"/>
      <c r="B31" s="61">
        <v>18</v>
      </c>
      <c r="C31" s="119"/>
      <c r="D31" s="183"/>
      <c r="E31" s="119"/>
      <c r="F31" s="183"/>
      <c r="G31" s="122"/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e">
        <v>#N/A</v>
      </c>
      <c r="W31" s="69" t="e">
        <v>#N/A</v>
      </c>
      <c r="Y31" t="s">
        <v>327</v>
      </c>
      <c r="Z31">
        <v>25761</v>
      </c>
      <c r="AA31" t="s">
        <v>326</v>
      </c>
      <c r="AB31" t="s">
        <v>198</v>
      </c>
      <c r="AC31">
        <v>59397</v>
      </c>
      <c r="AD31" s="67" t="s">
        <v>512</v>
      </c>
    </row>
    <row r="32" spans="1:30" s="67" customFormat="1" ht="18" customHeight="1">
      <c r="A32" s="60"/>
      <c r="B32" s="61">
        <v>19</v>
      </c>
      <c r="C32" s="119"/>
      <c r="D32" s="183"/>
      <c r="E32" s="119"/>
      <c r="F32" s="183"/>
      <c r="G32" s="122"/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e">
        <v>#N/A</v>
      </c>
      <c r="W32" s="69" t="e">
        <v>#N/A</v>
      </c>
      <c r="Y32" t="s">
        <v>112</v>
      </c>
      <c r="Z32">
        <v>1541</v>
      </c>
      <c r="AA32" t="s">
        <v>282</v>
      </c>
      <c r="AB32" t="s">
        <v>116</v>
      </c>
      <c r="AC32">
        <v>59771</v>
      </c>
      <c r="AD32" s="67" t="s">
        <v>513</v>
      </c>
    </row>
    <row r="33" spans="1:30" s="67" customFormat="1" ht="18" customHeight="1">
      <c r="A33" s="60"/>
      <c r="B33" s="61">
        <v>20</v>
      </c>
      <c r="C33" s="119"/>
      <c r="D33" s="183"/>
      <c r="E33" s="119"/>
      <c r="F33" s="183"/>
      <c r="G33" s="122"/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e">
        <v>#N/A</v>
      </c>
      <c r="W33" s="69" t="e">
        <v>#N/A</v>
      </c>
      <c r="Y33" t="s">
        <v>491</v>
      </c>
      <c r="Z33">
        <v>29499</v>
      </c>
      <c r="AA33" t="s">
        <v>490</v>
      </c>
      <c r="AB33" t="s">
        <v>204</v>
      </c>
      <c r="AC33">
        <v>61008</v>
      </c>
      <c r="AD33" s="67" t="s">
        <v>514</v>
      </c>
    </row>
    <row r="34" spans="1:30" s="67" customFormat="1" ht="18" customHeight="1">
      <c r="A34" s="60"/>
      <c r="B34" s="61">
        <v>21</v>
      </c>
      <c r="C34" s="87"/>
      <c r="D34" s="187"/>
      <c r="E34" s="90"/>
      <c r="F34" s="186"/>
      <c r="G34" s="89"/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e">
        <v>#N/A</v>
      </c>
      <c r="W34" s="69" t="e">
        <v>#N/A</v>
      </c>
      <c r="Y34" t="s">
        <v>493</v>
      </c>
      <c r="Z34">
        <v>29308</v>
      </c>
      <c r="AA34" t="s">
        <v>492</v>
      </c>
      <c r="AB34" t="s">
        <v>148</v>
      </c>
      <c r="AC34">
        <v>59711</v>
      </c>
      <c r="AD34" s="67" t="s">
        <v>515</v>
      </c>
    </row>
    <row r="35" spans="1:30" s="67" customFormat="1" ht="18" customHeight="1">
      <c r="A35" s="60"/>
      <c r="B35" s="61">
        <v>22</v>
      </c>
      <c r="C35" s="118"/>
      <c r="D35" s="189"/>
      <c r="E35" s="118"/>
      <c r="F35" s="189"/>
      <c r="G35" s="124"/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s">
        <v>232</v>
      </c>
      <c r="W35" s="69" t="e">
        <v>#N/A</v>
      </c>
      <c r="Y35" t="s">
        <v>396</v>
      </c>
      <c r="Z35">
        <v>27696</v>
      </c>
      <c r="AA35" t="s">
        <v>395</v>
      </c>
      <c r="AB35" t="s">
        <v>192</v>
      </c>
      <c r="AC35">
        <v>60923</v>
      </c>
      <c r="AD35" s="67" t="s">
        <v>415</v>
      </c>
    </row>
    <row r="36" spans="1:30" s="67" customFormat="1" ht="18" customHeight="1">
      <c r="A36" s="60"/>
      <c r="B36" s="61">
        <v>23</v>
      </c>
      <c r="C36" s="119"/>
      <c r="D36" s="190"/>
      <c r="E36" s="119"/>
      <c r="F36" s="194"/>
      <c r="G36" s="122"/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">
        <v>232</v>
      </c>
      <c r="W36" s="69" t="e">
        <v>#N/A</v>
      </c>
      <c r="Y36"/>
      <c r="Z36"/>
      <c r="AA36"/>
      <c r="AB36"/>
      <c r="AC36"/>
    </row>
    <row r="37" spans="1:30" s="67" customFormat="1" ht="18" customHeight="1">
      <c r="A37" s="60"/>
      <c r="B37" s="61">
        <v>24</v>
      </c>
      <c r="C37" s="119"/>
      <c r="D37" s="190"/>
      <c r="E37" s="119"/>
      <c r="F37" s="194"/>
      <c r="G37" s="122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">
        <v>68</v>
      </c>
      <c r="W37" s="69" t="s">
        <v>68</v>
      </c>
      <c r="Y37"/>
      <c r="Z37"/>
      <c r="AA37"/>
      <c r="AB37"/>
      <c r="AC37"/>
    </row>
    <row r="38" spans="1:30" s="67" customFormat="1" ht="18" customHeight="1">
      <c r="A38" s="60"/>
      <c r="B38" s="61">
        <v>25</v>
      </c>
      <c r="C38" s="119"/>
      <c r="D38" s="190"/>
      <c r="E38" s="119"/>
      <c r="F38" s="194"/>
      <c r="G38" s="122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">
        <v>68</v>
      </c>
      <c r="W38" s="69" t="s">
        <v>68</v>
      </c>
      <c r="Y38"/>
      <c r="Z38"/>
      <c r="AA38"/>
      <c r="AB38"/>
      <c r="AC38"/>
    </row>
    <row r="39" spans="1:30" s="67" customFormat="1" ht="18" customHeight="1">
      <c r="A39" s="60"/>
      <c r="B39" s="61">
        <v>26</v>
      </c>
      <c r="C39" s="119"/>
      <c r="D39" s="190"/>
      <c r="E39" s="119"/>
      <c r="F39" s="194"/>
      <c r="G39" s="122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">
        <v>68</v>
      </c>
      <c r="W39" s="69" t="s">
        <v>68</v>
      </c>
      <c r="Y39"/>
      <c r="Z39"/>
      <c r="AA39"/>
      <c r="AB39"/>
      <c r="AC39"/>
    </row>
    <row r="40" spans="1:30" s="67" customFormat="1" ht="18" customHeight="1">
      <c r="A40" s="60"/>
      <c r="B40" s="61">
        <v>27</v>
      </c>
      <c r="C40" s="119"/>
      <c r="D40" s="190"/>
      <c r="E40" s="119"/>
      <c r="F40" s="194"/>
      <c r="G40" s="122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">
        <v>68</v>
      </c>
      <c r="W40" s="69" t="s">
        <v>68</v>
      </c>
      <c r="Y40"/>
      <c r="Z40"/>
      <c r="AA40"/>
      <c r="AB40"/>
      <c r="AC40"/>
    </row>
    <row r="41" spans="1:30" s="67" customFormat="1" ht="18" customHeight="1">
      <c r="A41" s="60"/>
      <c r="B41" s="61">
        <v>28</v>
      </c>
      <c r="C41" s="119"/>
      <c r="D41" s="190"/>
      <c r="E41" s="119"/>
      <c r="F41" s="194"/>
      <c r="G41" s="122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">
        <v>68</v>
      </c>
      <c r="W41" s="69" t="s">
        <v>68</v>
      </c>
      <c r="Y41"/>
      <c r="Z41"/>
      <c r="AA41"/>
      <c r="AB41"/>
      <c r="AC41"/>
    </row>
    <row r="42" spans="1:30" s="67" customFormat="1" ht="18" customHeight="1">
      <c r="A42" s="60"/>
      <c r="B42" s="61">
        <v>29</v>
      </c>
      <c r="C42" s="119"/>
      <c r="D42" s="190"/>
      <c r="E42" s="119"/>
      <c r="F42" s="194"/>
      <c r="G42" s="122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">
        <v>68</v>
      </c>
      <c r="W42" s="69" t="s">
        <v>68</v>
      </c>
      <c r="Y42"/>
      <c r="Z42"/>
      <c r="AA42"/>
      <c r="AB42"/>
      <c r="AC42"/>
    </row>
    <row r="43" spans="1:30" s="67" customFormat="1" ht="18" customHeight="1">
      <c r="A43" s="60"/>
      <c r="B43" s="61">
        <v>30</v>
      </c>
      <c r="C43" s="119"/>
      <c r="D43" s="190"/>
      <c r="E43" s="119"/>
      <c r="F43" s="194"/>
      <c r="G43" s="122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">
        <v>68</v>
      </c>
      <c r="W43" s="69" t="s">
        <v>68</v>
      </c>
      <c r="Y43"/>
      <c r="Z43"/>
      <c r="AA43"/>
      <c r="AB43"/>
      <c r="AC43"/>
    </row>
    <row r="44" spans="1:30" s="67" customFormat="1" ht="18" customHeight="1">
      <c r="A44" s="60"/>
      <c r="B44" s="61"/>
      <c r="C44" s="21"/>
      <c r="D44" s="180" t="s">
        <v>68</v>
      </c>
      <c r="E44" s="21"/>
      <c r="F44" s="195" t="s">
        <v>68</v>
      </c>
      <c r="G44" s="23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">
        <v>68</v>
      </c>
      <c r="W44" s="69" t="s">
        <v>68</v>
      </c>
      <c r="Y44"/>
      <c r="Z44"/>
      <c r="AA44"/>
      <c r="AB44"/>
      <c r="AC44"/>
    </row>
    <row r="45" spans="1:30" s="67" customFormat="1" ht="18" customHeight="1">
      <c r="A45" s="60"/>
      <c r="B45" s="61"/>
      <c r="C45" s="21"/>
      <c r="D45" s="180" t="s">
        <v>68</v>
      </c>
      <c r="E45" s="21"/>
      <c r="F45" s="195" t="s">
        <v>68</v>
      </c>
      <c r="G45" s="23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">
        <v>68</v>
      </c>
      <c r="W45" s="69" t="s">
        <v>68</v>
      </c>
      <c r="Y45"/>
      <c r="Z45"/>
      <c r="AA45"/>
      <c r="AB45"/>
      <c r="AC45"/>
    </row>
    <row r="46" spans="1:30" s="67" customFormat="1" ht="18" customHeight="1">
      <c r="A46" s="60"/>
      <c r="B46" s="61"/>
      <c r="C46" s="21"/>
      <c r="D46" s="180" t="s">
        <v>68</v>
      </c>
      <c r="E46" s="21"/>
      <c r="F46" s="195" t="s">
        <v>68</v>
      </c>
      <c r="G46" s="23"/>
      <c r="H46" s="22"/>
      <c r="I46" s="22"/>
      <c r="J46" s="62" t="str">
        <f t="shared" ref="J46:J72" si="4">IF(H46="","",H46+I46)</f>
        <v/>
      </c>
      <c r="K46" s="63"/>
      <c r="L46" s="63"/>
      <c r="M46" s="64" t="str">
        <f t="shared" ref="M46:M72" si="5">IF(L46="","",K46+L46)</f>
        <v/>
      </c>
      <c r="N46" s="22"/>
      <c r="O46" s="22"/>
      <c r="P46" s="62" t="str">
        <f t="shared" ref="P46:P72" si="6">IF(N46="","",N46+O46)</f>
        <v/>
      </c>
      <c r="Q46" s="63"/>
      <c r="R46" s="63"/>
      <c r="S46" s="64" t="str">
        <f t="shared" ref="S46:S72" si="7">IF(R46="","",Q46+R46)</f>
        <v/>
      </c>
      <c r="T46" s="65"/>
      <c r="U46" s="66"/>
      <c r="V46" s="18" t="s">
        <v>68</v>
      </c>
      <c r="W46" s="69" t="s">
        <v>68</v>
      </c>
      <c r="Y46"/>
      <c r="Z46"/>
      <c r="AA46"/>
      <c r="AB46"/>
      <c r="AC46"/>
    </row>
    <row r="47" spans="1:30" s="67" customFormat="1" ht="18" customHeight="1">
      <c r="A47" s="60"/>
      <c r="B47" s="61"/>
      <c r="C47" s="21"/>
      <c r="D47" s="180" t="s">
        <v>68</v>
      </c>
      <c r="E47" s="21"/>
      <c r="F47" s="195" t="s">
        <v>68</v>
      </c>
      <c r="G47" s="23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">
        <v>68</v>
      </c>
      <c r="W47" s="69" t="s">
        <v>68</v>
      </c>
      <c r="Y47"/>
      <c r="Z47"/>
      <c r="AA47"/>
      <c r="AB47"/>
      <c r="AC47"/>
    </row>
    <row r="48" spans="1:30" s="67" customFormat="1" ht="18" customHeight="1">
      <c r="A48" s="60"/>
      <c r="B48" s="61"/>
      <c r="C48" s="21"/>
      <c r="D48" s="180" t="s">
        <v>68</v>
      </c>
      <c r="E48" s="21"/>
      <c r="F48" s="195" t="s">
        <v>68</v>
      </c>
      <c r="G48" s="23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">
        <v>68</v>
      </c>
      <c r="W48" s="69" t="s">
        <v>68</v>
      </c>
      <c r="Y48"/>
      <c r="Z48"/>
      <c r="AA48"/>
      <c r="AB48"/>
      <c r="AC48"/>
    </row>
    <row r="49" spans="1:29" s="67" customFormat="1" ht="18" customHeight="1">
      <c r="A49" s="60"/>
      <c r="B49" s="61"/>
      <c r="C49" s="21"/>
      <c r="D49" s="180" t="s">
        <v>68</v>
      </c>
      <c r="E49" s="21"/>
      <c r="F49" s="195" t="s">
        <v>68</v>
      </c>
      <c r="G49" s="23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">
        <v>68</v>
      </c>
      <c r="W49" s="69" t="s">
        <v>68</v>
      </c>
      <c r="Y49"/>
      <c r="Z49"/>
      <c r="AA49"/>
      <c r="AB49"/>
      <c r="AC49"/>
    </row>
    <row r="50" spans="1:29" s="67" customFormat="1" ht="18" customHeight="1">
      <c r="A50" s="60"/>
      <c r="B50" s="61"/>
      <c r="C50" s="21"/>
      <c r="D50" s="180" t="s">
        <v>68</v>
      </c>
      <c r="E50" s="21"/>
      <c r="F50" s="195" t="s">
        <v>68</v>
      </c>
      <c r="G50" s="23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">
        <v>68</v>
      </c>
      <c r="W50" s="69" t="s">
        <v>68</v>
      </c>
      <c r="Y50"/>
      <c r="Z50"/>
      <c r="AA50"/>
      <c r="AB50"/>
      <c r="AC50"/>
    </row>
    <row r="51" spans="1:29" s="67" customFormat="1" ht="18" customHeight="1">
      <c r="A51" s="60"/>
      <c r="B51" s="61"/>
      <c r="C51" s="21"/>
      <c r="D51" s="180" t="s">
        <v>68</v>
      </c>
      <c r="E51" s="21"/>
      <c r="F51" s="195" t="s">
        <v>68</v>
      </c>
      <c r="G51" s="23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">
        <v>68</v>
      </c>
      <c r="W51" s="69" t="s">
        <v>68</v>
      </c>
      <c r="Y51"/>
      <c r="Z51"/>
      <c r="AA51"/>
      <c r="AB51"/>
      <c r="AC51"/>
    </row>
    <row r="52" spans="1:29" s="67" customFormat="1" ht="18" customHeight="1">
      <c r="A52" s="60"/>
      <c r="B52" s="61"/>
      <c r="C52" s="21"/>
      <c r="D52" s="180" t="s">
        <v>68</v>
      </c>
      <c r="E52" s="21"/>
      <c r="F52" s="195" t="s">
        <v>68</v>
      </c>
      <c r="G52" s="23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">
        <v>68</v>
      </c>
      <c r="W52" s="69" t="s">
        <v>68</v>
      </c>
      <c r="Y52"/>
      <c r="Z52"/>
      <c r="AA52"/>
      <c r="AB52"/>
      <c r="AC52"/>
    </row>
    <row r="53" spans="1:29" s="67" customFormat="1" ht="18" customHeight="1">
      <c r="A53" s="60"/>
      <c r="B53" s="61"/>
      <c r="C53" s="21"/>
      <c r="D53" s="180" t="s">
        <v>68</v>
      </c>
      <c r="E53" s="21"/>
      <c r="F53" s="195" t="s">
        <v>68</v>
      </c>
      <c r="G53" s="23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">
        <v>68</v>
      </c>
      <c r="W53" s="69" t="s">
        <v>68</v>
      </c>
      <c r="Y53"/>
      <c r="Z53"/>
      <c r="AA53"/>
      <c r="AB53"/>
      <c r="AC53"/>
    </row>
    <row r="54" spans="1:29" s="67" customFormat="1" ht="18" customHeight="1">
      <c r="A54" s="60"/>
      <c r="B54" s="61"/>
      <c r="C54" s="21"/>
      <c r="D54" s="180" t="s">
        <v>68</v>
      </c>
      <c r="E54" s="21"/>
      <c r="F54" s="195" t="s">
        <v>68</v>
      </c>
      <c r="G54" s="23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">
        <v>68</v>
      </c>
      <c r="W54" s="69" t="s">
        <v>68</v>
      </c>
      <c r="Y54"/>
      <c r="Z54"/>
      <c r="AA54"/>
      <c r="AB54"/>
      <c r="AC54"/>
    </row>
    <row r="55" spans="1:29" s="67" customFormat="1" ht="18" customHeight="1">
      <c r="A55" s="60"/>
      <c r="B55" s="61"/>
      <c r="C55" s="21"/>
      <c r="D55" s="180" t="s">
        <v>68</v>
      </c>
      <c r="E55" s="21"/>
      <c r="F55" s="195" t="s">
        <v>68</v>
      </c>
      <c r="G55" s="23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">
        <v>68</v>
      </c>
      <c r="W55" s="69" t="s">
        <v>68</v>
      </c>
      <c r="Y55"/>
      <c r="Z55"/>
      <c r="AA55"/>
      <c r="AB55"/>
      <c r="AC55"/>
    </row>
    <row r="56" spans="1:29" s="67" customFormat="1" ht="18" customHeight="1">
      <c r="A56" s="60"/>
      <c r="B56" s="61"/>
      <c r="C56" s="21"/>
      <c r="D56" s="180" t="s">
        <v>68</v>
      </c>
      <c r="E56" s="21"/>
      <c r="F56" s="195" t="s">
        <v>68</v>
      </c>
      <c r="G56" s="23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">
        <v>68</v>
      </c>
      <c r="W56" s="69" t="s">
        <v>68</v>
      </c>
      <c r="Y56"/>
      <c r="Z56"/>
      <c r="AA56"/>
      <c r="AB56"/>
      <c r="AC56"/>
    </row>
    <row r="57" spans="1:29" s="67" customFormat="1" ht="18" customHeight="1">
      <c r="A57" s="60"/>
      <c r="B57" s="61"/>
      <c r="C57" s="21"/>
      <c r="D57" s="180" t="s">
        <v>68</v>
      </c>
      <c r="E57" s="21"/>
      <c r="F57" s="195" t="s">
        <v>68</v>
      </c>
      <c r="G57" s="23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">
        <v>68</v>
      </c>
      <c r="W57" s="69" t="s">
        <v>68</v>
      </c>
      <c r="Y57"/>
      <c r="Z57"/>
      <c r="AA57"/>
      <c r="AB57"/>
      <c r="AC57"/>
    </row>
    <row r="58" spans="1:29" s="67" customFormat="1" ht="18" customHeight="1">
      <c r="A58" s="60"/>
      <c r="B58" s="61"/>
      <c r="C58" s="21"/>
      <c r="D58" s="180" t="s">
        <v>68</v>
      </c>
      <c r="E58" s="21"/>
      <c r="F58" s="195" t="s">
        <v>68</v>
      </c>
      <c r="G58" s="23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">
        <v>68</v>
      </c>
      <c r="W58" s="69" t="s">
        <v>68</v>
      </c>
      <c r="Y58"/>
      <c r="Z58"/>
      <c r="AA58"/>
      <c r="AB58"/>
      <c r="AC58"/>
    </row>
    <row r="59" spans="1:29" s="67" customFormat="1" ht="18" customHeight="1">
      <c r="A59" s="60"/>
      <c r="B59" s="61"/>
      <c r="C59" s="21"/>
      <c r="D59" s="180" t="s">
        <v>68</v>
      </c>
      <c r="E59" s="21"/>
      <c r="F59" s="195" t="s">
        <v>68</v>
      </c>
      <c r="G59" s="23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">
        <v>68</v>
      </c>
      <c r="W59" s="69" t="s">
        <v>68</v>
      </c>
      <c r="Y59"/>
      <c r="Z59"/>
      <c r="AA59"/>
      <c r="AB59"/>
      <c r="AC59"/>
    </row>
    <row r="60" spans="1:29" s="67" customFormat="1" ht="18" customHeight="1">
      <c r="A60" s="60"/>
      <c r="B60" s="61"/>
      <c r="C60" s="21"/>
      <c r="D60" s="180" t="s">
        <v>68</v>
      </c>
      <c r="E60" s="21"/>
      <c r="F60" s="195" t="s">
        <v>68</v>
      </c>
      <c r="G60" s="23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">
        <v>68</v>
      </c>
      <c r="W60" s="69" t="s">
        <v>68</v>
      </c>
      <c r="Y60"/>
      <c r="Z60"/>
      <c r="AA60"/>
      <c r="AB60"/>
      <c r="AC60"/>
    </row>
    <row r="61" spans="1:29" s="67" customFormat="1" ht="18" customHeight="1">
      <c r="A61" s="60"/>
      <c r="B61" s="61"/>
      <c r="C61" s="21"/>
      <c r="D61" s="180" t="s">
        <v>68</v>
      </c>
      <c r="E61" s="21"/>
      <c r="F61" s="195" t="s">
        <v>68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">
        <v>68</v>
      </c>
      <c r="W61" s="69" t="s">
        <v>68</v>
      </c>
      <c r="Y61"/>
      <c r="Z61"/>
      <c r="AA61"/>
      <c r="AB61"/>
      <c r="AC61"/>
    </row>
    <row r="62" spans="1:29" s="67" customFormat="1" ht="18" customHeight="1">
      <c r="A62" s="60"/>
      <c r="B62" s="61"/>
      <c r="C62" s="21"/>
      <c r="D62" s="180" t="s">
        <v>68</v>
      </c>
      <c r="E62" s="21"/>
      <c r="F62" s="195" t="s">
        <v>68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">
        <v>68</v>
      </c>
      <c r="W62" s="69" t="s">
        <v>68</v>
      </c>
      <c r="Y62"/>
      <c r="Z62"/>
      <c r="AA62"/>
      <c r="AB62"/>
      <c r="AC62"/>
    </row>
    <row r="63" spans="1:29" s="67" customFormat="1" ht="18" customHeight="1">
      <c r="A63" s="60"/>
      <c r="B63" s="61"/>
      <c r="C63" s="21"/>
      <c r="D63" s="180" t="s">
        <v>68</v>
      </c>
      <c r="E63" s="21"/>
      <c r="F63" s="195" t="s">
        <v>68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">
        <v>68</v>
      </c>
      <c r="W63" s="69" t="s">
        <v>68</v>
      </c>
      <c r="Y63"/>
      <c r="Z63"/>
      <c r="AA63"/>
      <c r="AB63"/>
      <c r="AC63"/>
    </row>
    <row r="64" spans="1:29" s="67" customFormat="1" ht="18" customHeight="1">
      <c r="A64" s="60"/>
      <c r="B64" s="61"/>
      <c r="C64" s="21"/>
      <c r="D64" s="180" t="s">
        <v>68</v>
      </c>
      <c r="E64" s="21"/>
      <c r="F64" s="195" t="s">
        <v>68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">
        <v>68</v>
      </c>
      <c r="W64" s="69" t="s">
        <v>68</v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180" t="s">
        <v>68</v>
      </c>
      <c r="E65" s="21"/>
      <c r="F65" s="195" t="s">
        <v>68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">
        <v>68</v>
      </c>
      <c r="W65" s="69" t="s">
        <v>68</v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180" t="s">
        <v>68</v>
      </c>
      <c r="E66" s="21"/>
      <c r="F66" s="195" t="s">
        <v>68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">
        <v>68</v>
      </c>
      <c r="W66" s="69" t="s">
        <v>68</v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180" t="s">
        <v>68</v>
      </c>
      <c r="E67" s="21"/>
      <c r="F67" s="195" t="s">
        <v>68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">
        <v>68</v>
      </c>
      <c r="W67" s="69" t="s">
        <v>68</v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180" t="s">
        <v>68</v>
      </c>
      <c r="E68" s="21"/>
      <c r="F68" s="195" t="s">
        <v>68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">
        <v>68</v>
      </c>
      <c r="W68" s="69" t="s">
        <v>68</v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180" t="s">
        <v>68</v>
      </c>
      <c r="E69" s="21"/>
      <c r="F69" s="195" t="s">
        <v>68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">
        <v>68</v>
      </c>
      <c r="W69" s="69" t="s">
        <v>68</v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180" t="s">
        <v>68</v>
      </c>
      <c r="E70" s="21"/>
      <c r="F70" s="195" t="s">
        <v>68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">
        <v>68</v>
      </c>
      <c r="W70" s="69" t="s">
        <v>68</v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180" t="s">
        <v>68</v>
      </c>
      <c r="E71" s="21"/>
      <c r="F71" s="195" t="s">
        <v>68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">
        <v>68</v>
      </c>
      <c r="W71" s="69" t="s">
        <v>68</v>
      </c>
      <c r="Y71"/>
      <c r="Z71"/>
      <c r="AA71"/>
      <c r="AB71"/>
      <c r="AC71"/>
    </row>
    <row r="72" spans="1:29" s="67" customFormat="1" ht="18" customHeight="1">
      <c r="A72" s="60"/>
      <c r="B72" s="61"/>
      <c r="C72" s="20"/>
      <c r="D72" s="20"/>
      <c r="E72" s="20"/>
      <c r="F72" s="20"/>
      <c r="G72" s="20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">
        <v>68</v>
      </c>
      <c r="W72" s="69" t="s">
        <v>68</v>
      </c>
      <c r="Y72"/>
      <c r="Z72"/>
      <c r="AA72"/>
      <c r="AB72"/>
      <c r="AC72"/>
    </row>
    <row r="73" spans="1:29" ht="18" customHeight="1">
      <c r="Y73"/>
      <c r="Z73"/>
      <c r="AA73"/>
      <c r="AB73"/>
      <c r="AC73"/>
    </row>
    <row r="124" spans="5:5" ht="18" customHeight="1">
      <c r="E124" s="20" ph="1"/>
    </row>
    <row r="135" spans="5:5" ht="18" customHeight="1">
      <c r="E135" s="20" ph="1"/>
    </row>
    <row r="151" spans="5:5" ht="18" customHeight="1">
      <c r="E151" s="20" ph="1"/>
    </row>
    <row r="152" spans="5:5" ht="18" customHeight="1">
      <c r="E152" s="20" ph="1"/>
    </row>
    <row r="171" spans="5:5" ht="18" customHeight="1">
      <c r="E171" s="20" ph="1"/>
    </row>
    <row r="179" spans="5:5" ht="18" customHeight="1">
      <c r="E179" s="20" ph="1"/>
    </row>
    <row r="180" spans="5:5" ht="18" customHeight="1">
      <c r="E180" s="20" ph="1"/>
    </row>
    <row r="194" spans="5:5" ht="18" customHeight="1">
      <c r="E194" s="20" ph="1"/>
    </row>
    <row r="196" spans="5:5" ht="18" customHeight="1">
      <c r="E196" s="20" ph="1"/>
    </row>
    <row r="197" spans="5:5" ht="18" customHeight="1">
      <c r="E197" s="20" ph="1"/>
    </row>
    <row r="198" spans="5:5" ht="18" customHeight="1">
      <c r="E198" s="20" ph="1"/>
    </row>
    <row r="199" spans="5:5" ht="18" customHeight="1">
      <c r="E199" s="20" ph="1"/>
    </row>
  </sheetData>
  <autoFilter ref="A13:T13" xr:uid="{00000000-0001-0000-1500-000000000000}">
    <sortState xmlns:xlrd2="http://schemas.microsoft.com/office/spreadsheetml/2017/richdata2" ref="A14:T72">
      <sortCondition ref="B13"/>
    </sortState>
  </autoFilter>
  <sortState xmlns:xlrd2="http://schemas.microsoft.com/office/spreadsheetml/2017/richdata2" ref="A14:AD26">
    <sortCondition ref="B14:B26"/>
  </sortState>
  <phoneticPr fontId="7"/>
  <conditionalFormatting sqref="V14:V72">
    <cfRule type="cellIs" dxfId="3" priority="4" stopIfTrue="1" operator="notBetween">
      <formula>"A"</formula>
      <formula>"Ｂ"</formula>
    </cfRule>
  </conditionalFormatting>
  <conditionalFormatting sqref="W14:W72">
    <cfRule type="cellIs" dxfId="2" priority="3" stopIfTrue="1" operator="between">
      <formula>"-"</formula>
      <formula>"申請中"</formula>
    </cfRule>
  </conditionalFormatting>
  <conditionalFormatting sqref="Y14:Z73">
    <cfRule type="expression" dxfId="1" priority="2">
      <formula>Y14&lt;&gt;C14</formula>
    </cfRule>
  </conditionalFormatting>
  <conditionalFormatting sqref="AB14:AC73">
    <cfRule type="expression" dxfId="0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289560</xdr:colOff>
                    <xdr:row>5</xdr:row>
                    <xdr:rowOff>419100</xdr:rowOff>
                  </from>
                  <to>
                    <xdr:col>27</xdr:col>
                    <xdr:colOff>441960</xdr:colOff>
                    <xdr:row>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30</vt:i4>
      </vt:variant>
      <vt:variant>
        <vt:lpstr>名前付き一覧</vt:lpstr>
      </vt:variant>
      <vt:variant>
        <vt:i4>30</vt:i4>
      </vt:variant>
    </vt:vector>
  </HeadingPairs>
  <TitlesOfParts>
    <vt:vector size="60" baseType="lpstr">
      <vt:lpstr>1.1</vt:lpstr>
      <vt:lpstr>1-70</vt:lpstr>
      <vt:lpstr>2.1</vt:lpstr>
      <vt:lpstr>2-80</vt:lpstr>
      <vt:lpstr>3.1</vt:lpstr>
      <vt:lpstr>3-90</vt:lpstr>
      <vt:lpstr>4.1</vt:lpstr>
      <vt:lpstr>4-100</vt:lpstr>
      <vt:lpstr>5.1</vt:lpstr>
      <vt:lpstr>5_中D</vt:lpstr>
      <vt:lpstr>6.1</vt:lpstr>
      <vt:lpstr>6_MD</vt:lpstr>
      <vt:lpstr>7.1</vt:lpstr>
      <vt:lpstr>7_中Ｃ</vt:lpstr>
      <vt:lpstr>8.1</vt:lpstr>
      <vt:lpstr>8_MC</vt:lpstr>
      <vt:lpstr>9.1</vt:lpstr>
      <vt:lpstr>9_中B</vt:lpstr>
      <vt:lpstr>10.1</vt:lpstr>
      <vt:lpstr>10_中A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'10_中A'!Print_Area</vt:lpstr>
      <vt:lpstr>'1-70'!Print_Area</vt:lpstr>
      <vt:lpstr>'2-80'!Print_Area</vt:lpstr>
      <vt:lpstr>'3-90'!Print_Area</vt:lpstr>
      <vt:lpstr>'4-100'!Print_Area</vt:lpstr>
      <vt:lpstr>'5_中D'!Print_Area</vt:lpstr>
      <vt:lpstr>'6_MD'!Print_Area</vt:lpstr>
      <vt:lpstr>'7_中Ｃ'!Print_Area</vt:lpstr>
      <vt:lpstr>'8_MC'!Print_Area</vt:lpstr>
      <vt:lpstr>'9_中B'!Print_Area</vt:lpstr>
      <vt:lpstr>'1'!Print_Titles</vt:lpstr>
      <vt:lpstr>'10'!Print_Titles</vt:lpstr>
      <vt:lpstr>'10_中A'!Print_Titles</vt:lpstr>
      <vt:lpstr>'1-70'!Print_Titles</vt:lpstr>
      <vt:lpstr>'2'!Print_Titles</vt:lpstr>
      <vt:lpstr>'2-80'!Print_Titles</vt:lpstr>
      <vt:lpstr>'3'!Print_Titles</vt:lpstr>
      <vt:lpstr>'3-90'!Print_Titles</vt:lpstr>
      <vt:lpstr>'4'!Print_Titles</vt:lpstr>
      <vt:lpstr>'4-100'!Print_Titles</vt:lpstr>
      <vt:lpstr>'5'!Print_Titles</vt:lpstr>
      <vt:lpstr>'5_中D'!Print_Titles</vt:lpstr>
      <vt:lpstr>'6'!Print_Titles</vt:lpstr>
      <vt:lpstr>'6_MD'!Print_Titles</vt:lpstr>
      <vt:lpstr>'7'!Print_Titles</vt:lpstr>
      <vt:lpstr>'7_中Ｃ'!Print_Titles</vt:lpstr>
      <vt:lpstr>'8'!Print_Titles</vt:lpstr>
      <vt:lpstr>'8_MC'!Print_Titles</vt:lpstr>
      <vt:lpstr>'9'!Print_Titles</vt:lpstr>
      <vt:lpstr>'9_中B'!Print_Titles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Yukifumi TANAKA@JEF</dc:creator>
  <cp:lastModifiedBy>大輔 川口</cp:lastModifiedBy>
  <cp:lastPrinted>2026-09-10T09:21:52Z</cp:lastPrinted>
  <dcterms:created xsi:type="dcterms:W3CDTF">2014-02-05T04:04:40Z</dcterms:created>
  <dcterms:modified xsi:type="dcterms:W3CDTF">2026-09-10T10:17:48Z</dcterms:modified>
</cp:coreProperties>
</file>